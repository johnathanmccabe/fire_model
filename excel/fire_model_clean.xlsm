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8510" windowHeight="6975" tabRatio="763" firstSheet="4" activeTab="9"/>
  </bookViews>
  <sheets>
    <sheet name="Quote Info" sheetId="2" r:id="rId1"/>
    <sheet name="Account Link" sheetId="16" r:id="rId2"/>
    <sheet name="Fire Locations" sheetId="4" r:id="rId3"/>
    <sheet name="Base Rating" sheetId="3" r:id="rId4"/>
    <sheet name="Locations Summary" sheetId="5" r:id="rId5"/>
    <sheet name="Experience Rating" sheetId="6" r:id="rId6"/>
    <sheet name="Pricing Summary" sheetId="7" r:id="rId7"/>
    <sheet name="Final Terms" sheetId="8" r:id="rId8"/>
    <sheet name="Wind Seasons" sheetId="9" r:id="rId9"/>
    <sheet name="values" sheetId="10" r:id="rId10"/>
    <sheet name="map_code" sheetId="11" r:id="rId11"/>
    <sheet name="dq_code" sheetId="12" r:id="rId12"/>
    <sheet name="curves" sheetId="13" r:id="rId13"/>
    <sheet name="data_update" sheetId="17" r:id="rId14"/>
    <sheet name="AccGrpNameUPDATE" sheetId="18" r:id="rId15"/>
    <sheet name="DataUPDATE" sheetId="19" r:id="rId16"/>
  </sheets>
  <functionGroups builtInGroupCount="17"/>
  <externalReferences>
    <externalReference r:id="rId17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OUNT">[1]INTRODUCTION!$E$12</definedName>
    <definedName name="accounts">values!$H$2:$H$96</definedName>
    <definedName name="assured">'Quote Info'!$C$4</definedName>
    <definedName name="br_lr">'Base Rating'!$L$5</definedName>
    <definedName name="currencies">values!$E$2:$E$237</definedName>
    <definedName name="currency">'Quote Info'!$C$13</definedName>
    <definedName name="curve_names">curves!$B$1:$E$1</definedName>
    <definedName name="curves">curves!$A$2:$E$7502</definedName>
    <definedName name="Data_for_EDM" localSheetId="0">values!$G:$G</definedName>
    <definedName name="data_quality_labels">values!$D$2:$D$5</definedName>
    <definedName name="dq_construction">'Pricing Summary'!$M$6</definedName>
    <definedName name="dq_geocoding">'Pricing Summary'!$M$4</definedName>
    <definedName name="dq_gocoding">'Pricing Summary'!$M$4</definedName>
    <definedName name="dq_ns">'Pricing Summary'!$M$8</definedName>
    <definedName name="dq_occupancy">'Pricing Summary'!$M$5</definedName>
    <definedName name="dq_sm">'Pricing Summary'!$M$9</definedName>
    <definedName name="dq_yb">'Pricing Summary'!$M$7</definedName>
    <definedName name="EDM">[1]INTRODUCTION!$E$8</definedName>
    <definedName name="edm_names">values!$G$2:$G$151</definedName>
    <definedName name="edm_selection">values!$G:$G</definedName>
    <definedName name="exp_total_cycles">'Experience Rating'!$H$20</definedName>
    <definedName name="expiry">'Quote Info'!$C$12</definedName>
    <definedName name="faraday_lead">'Quote Info'!$C$16</definedName>
    <definedName name="inception">'Quote Info'!$C$11</definedName>
    <definedName name="is_renewal">'Quote Info'!$C$17</definedName>
    <definedName name="liab_experience">'Experience Rating'!$E$25</definedName>
    <definedName name="ls_count_not_mapped">'Locations Summary'!$C$9</definedName>
    <definedName name="ls_value_not_mapped">'Locations Summary'!$C$10</definedName>
    <definedName name="map_address">'Locations Summary'!$C$12</definedName>
    <definedName name="map_level">'Locations Summary'!$C$7</definedName>
    <definedName name="map_progress">'Locations Summary'!$C$8</definedName>
    <definedName name="Pal_Workbook_GUID" hidden="1">"LCB5ZPC7BPK83P3WM6CQP4FI"</definedName>
    <definedName name="_xlnm.Print_Area" localSheetId="5">'Experience Rating'!$A$1:$I$28</definedName>
    <definedName name="_xlnm.Print_Area" localSheetId="4">'Locations Summary'!$A$1:$I$43</definedName>
    <definedName name="_xlnm.Print_Area" localSheetId="8">'Wind Seasons'!$A$1:$P$42</definedName>
    <definedName name="qi_broker_contact">'Quote Info'!$C$9</definedName>
    <definedName name="qi_broker_pseud">'Quote Info'!$C$8</definedName>
    <definedName name="Query_from_PRICING_PROD" localSheetId="9" hidden="1">values!$P$4:$P$90</definedName>
    <definedName name="RDM">[1]INTRODUCTION!$E$10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s_account">'Account Link'!$C$9</definedName>
    <definedName name="rms_edm">'Account Link'!$C$6</definedName>
    <definedName name="rms_password">values!$K$2</definedName>
    <definedName name="rms_rdm">'Account Link'!$C$7</definedName>
    <definedName name="rms_server">'Account Link'!$C$4</definedName>
    <definedName name="rms_user">values!$J$2</definedName>
    <definedName name="Server_List" localSheetId="14">[1]INTRODUCTION!$A$1:$A$7</definedName>
    <definedName name="Server_List" localSheetId="15">[1]INTRODUCTION!$A$1:$A$7</definedName>
    <definedName name="Server_List">values!$F$1:$F$7</definedName>
    <definedName name="team">'Quote Info'!$C$5</definedName>
    <definedName name="tiv">'Locations Summary'!$G$9</definedName>
    <definedName name="uw">'Quote Info'!$C$7</definedName>
    <definedName name="v_cat_model">values!$B$2:$B$3</definedName>
    <definedName name="v_curves">values!$A$2:$A$4</definedName>
    <definedName name="v_fire">values!$C$2:$C$4</definedName>
    <definedName name="yoa">'Quote Info'!$C$14</definedName>
  </definedNames>
  <calcPr calcId="145621"/>
</workbook>
</file>

<file path=xl/calcChain.xml><?xml version="1.0" encoding="utf-8"?>
<calcChain xmlns="http://schemas.openxmlformats.org/spreadsheetml/2006/main">
  <c r="B3" i="19" l="1"/>
  <c r="B3" i="18"/>
  <c r="B3" i="17" l="1"/>
  <c r="I144" i="3" l="1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B4" i="18"/>
  <c r="B9" i="18" s="1"/>
  <c r="Z143" i="3"/>
  <c r="Z142" i="3"/>
  <c r="Z141" i="3"/>
  <c r="Z137" i="3"/>
  <c r="Z133" i="3"/>
  <c r="Z129" i="3"/>
  <c r="Z125" i="3"/>
  <c r="Z121" i="3"/>
  <c r="Z117" i="3"/>
  <c r="Z113" i="3"/>
  <c r="Z109" i="3"/>
  <c r="Z105" i="3"/>
  <c r="Z101" i="3"/>
  <c r="Z97" i="3"/>
  <c r="Z93" i="3"/>
  <c r="Z89" i="3"/>
  <c r="Z85" i="3"/>
  <c r="Z81" i="3"/>
  <c r="Z77" i="3"/>
  <c r="Z73" i="3"/>
  <c r="Z69" i="3"/>
  <c r="Z65" i="3"/>
  <c r="Z61" i="3"/>
  <c r="Z57" i="3"/>
  <c r="Z53" i="3"/>
  <c r="Z49" i="3"/>
  <c r="Z45" i="3"/>
  <c r="Z41" i="3"/>
  <c r="Z37" i="3"/>
  <c r="Z33" i="3"/>
  <c r="Z29" i="3"/>
  <c r="Z25" i="3"/>
  <c r="X143" i="3"/>
  <c r="X139" i="3"/>
  <c r="X135" i="3"/>
  <c r="X131" i="3"/>
  <c r="X127" i="3"/>
  <c r="X123" i="3"/>
  <c r="X119" i="3"/>
  <c r="X115" i="3"/>
  <c r="X111" i="3"/>
  <c r="X107" i="3"/>
  <c r="X103" i="3"/>
  <c r="X99" i="3"/>
  <c r="X95" i="3"/>
  <c r="X91" i="3"/>
  <c r="X87" i="3"/>
  <c r="X83" i="3"/>
  <c r="X79" i="3"/>
  <c r="X75" i="3"/>
  <c r="X71" i="3"/>
  <c r="X67" i="3"/>
  <c r="X63" i="3"/>
  <c r="X59" i="3"/>
  <c r="X55" i="3"/>
  <c r="X51" i="3"/>
  <c r="X47" i="3"/>
  <c r="X43" i="3"/>
  <c r="X39" i="3"/>
  <c r="X35" i="3"/>
  <c r="X31" i="3"/>
  <c r="X27" i="3"/>
  <c r="X23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V53" i="3"/>
  <c r="V49" i="3"/>
  <c r="V45" i="3"/>
  <c r="V41" i="3"/>
  <c r="V37" i="3"/>
  <c r="V33" i="3"/>
  <c r="V29" i="3"/>
  <c r="V25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47" i="3"/>
  <c r="T43" i="3"/>
  <c r="T39" i="3"/>
  <c r="T35" i="3"/>
  <c r="T31" i="3"/>
  <c r="T27" i="3"/>
  <c r="T23" i="3"/>
  <c r="R141" i="3"/>
  <c r="R137" i="3"/>
  <c r="R133" i="3"/>
  <c r="R129" i="3"/>
  <c r="R125" i="3"/>
  <c r="Z144" i="3"/>
  <c r="Z140" i="3"/>
  <c r="Z135" i="3"/>
  <c r="Z130" i="3"/>
  <c r="Z124" i="3"/>
  <c r="Z119" i="3"/>
  <c r="Z114" i="3"/>
  <c r="Z108" i="3"/>
  <c r="Z103" i="3"/>
  <c r="Z98" i="3"/>
  <c r="Z92" i="3"/>
  <c r="Z87" i="3"/>
  <c r="Z82" i="3"/>
  <c r="Z76" i="3"/>
  <c r="Z71" i="3"/>
  <c r="Z66" i="3"/>
  <c r="Z60" i="3"/>
  <c r="Z55" i="3"/>
  <c r="Z50" i="3"/>
  <c r="Z44" i="3"/>
  <c r="Z39" i="3"/>
  <c r="Z34" i="3"/>
  <c r="Z28" i="3"/>
  <c r="Z23" i="3"/>
  <c r="X140" i="3"/>
  <c r="X134" i="3"/>
  <c r="X129" i="3"/>
  <c r="X124" i="3"/>
  <c r="X118" i="3"/>
  <c r="X113" i="3"/>
  <c r="X108" i="3"/>
  <c r="X102" i="3"/>
  <c r="X97" i="3"/>
  <c r="X92" i="3"/>
  <c r="X86" i="3"/>
  <c r="X81" i="3"/>
  <c r="X76" i="3"/>
  <c r="X70" i="3"/>
  <c r="X65" i="3"/>
  <c r="X60" i="3"/>
  <c r="X54" i="3"/>
  <c r="X49" i="3"/>
  <c r="X44" i="3"/>
  <c r="X38" i="3"/>
  <c r="X33" i="3"/>
  <c r="X28" i="3"/>
  <c r="V144" i="3"/>
  <c r="V139" i="3"/>
  <c r="V134" i="3"/>
  <c r="V128" i="3"/>
  <c r="V123" i="3"/>
  <c r="V118" i="3"/>
  <c r="V112" i="3"/>
  <c r="V107" i="3"/>
  <c r="V102" i="3"/>
  <c r="V96" i="3"/>
  <c r="V91" i="3"/>
  <c r="V86" i="3"/>
  <c r="V80" i="3"/>
  <c r="V75" i="3"/>
  <c r="V70" i="3"/>
  <c r="V64" i="3"/>
  <c r="V59" i="3"/>
  <c r="V54" i="3"/>
  <c r="V48" i="3"/>
  <c r="V43" i="3"/>
  <c r="V38" i="3"/>
  <c r="V32" i="3"/>
  <c r="V27" i="3"/>
  <c r="T144" i="3"/>
  <c r="T138" i="3"/>
  <c r="T133" i="3"/>
  <c r="T128" i="3"/>
  <c r="T122" i="3"/>
  <c r="T117" i="3"/>
  <c r="T112" i="3"/>
  <c r="T106" i="3"/>
  <c r="T101" i="3"/>
  <c r="T96" i="3"/>
  <c r="T90" i="3"/>
  <c r="T85" i="3"/>
  <c r="T80" i="3"/>
  <c r="T74" i="3"/>
  <c r="T69" i="3"/>
  <c r="T64" i="3"/>
  <c r="T58" i="3"/>
  <c r="T53" i="3"/>
  <c r="T48" i="3"/>
  <c r="T42" i="3"/>
  <c r="T37" i="3"/>
  <c r="T32" i="3"/>
  <c r="T26" i="3"/>
  <c r="R143" i="3"/>
  <c r="R138" i="3"/>
  <c r="R132" i="3"/>
  <c r="R127" i="3"/>
  <c r="R122" i="3"/>
  <c r="R118" i="3"/>
  <c r="R114" i="3"/>
  <c r="R110" i="3"/>
  <c r="R106" i="3"/>
  <c r="R102" i="3"/>
  <c r="R98" i="3"/>
  <c r="R94" i="3"/>
  <c r="R90" i="3"/>
  <c r="R86" i="3"/>
  <c r="R82" i="3"/>
  <c r="R78" i="3"/>
  <c r="R74" i="3"/>
  <c r="R70" i="3"/>
  <c r="R66" i="3"/>
  <c r="R62" i="3"/>
  <c r="R58" i="3"/>
  <c r="R54" i="3"/>
  <c r="R50" i="3"/>
  <c r="R46" i="3"/>
  <c r="R42" i="3"/>
  <c r="R38" i="3"/>
  <c r="R34" i="3"/>
  <c r="R30" i="3"/>
  <c r="R26" i="3"/>
  <c r="P144" i="3"/>
  <c r="P140" i="3"/>
  <c r="P136" i="3"/>
  <c r="P132" i="3"/>
  <c r="P128" i="3"/>
  <c r="P124" i="3"/>
  <c r="P120" i="3"/>
  <c r="Z139" i="3"/>
  <c r="Z138" i="3"/>
  <c r="Z131" i="3"/>
  <c r="Z123" i="3"/>
  <c r="Z116" i="3"/>
  <c r="Z110" i="3"/>
  <c r="Z102" i="3"/>
  <c r="Z95" i="3"/>
  <c r="Z88" i="3"/>
  <c r="Z80" i="3"/>
  <c r="Z74" i="3"/>
  <c r="Z67" i="3"/>
  <c r="Z59" i="3"/>
  <c r="Z52" i="3"/>
  <c r="Z46" i="3"/>
  <c r="Z38" i="3"/>
  <c r="Z31" i="3"/>
  <c r="Z24" i="3"/>
  <c r="X138" i="3"/>
  <c r="X132" i="3"/>
  <c r="X125" i="3"/>
  <c r="X117" i="3"/>
  <c r="X110" i="3"/>
  <c r="X104" i="3"/>
  <c r="X96" i="3"/>
  <c r="X89" i="3"/>
  <c r="X82" i="3"/>
  <c r="X74" i="3"/>
  <c r="X68" i="3"/>
  <c r="X61" i="3"/>
  <c r="X53" i="3"/>
  <c r="X46" i="3"/>
  <c r="X40" i="3"/>
  <c r="X32" i="3"/>
  <c r="X25" i="3"/>
  <c r="V140" i="3"/>
  <c r="V132" i="3"/>
  <c r="V126" i="3"/>
  <c r="V119" i="3"/>
  <c r="V111" i="3"/>
  <c r="V104" i="3"/>
  <c r="V98" i="3"/>
  <c r="V90" i="3"/>
  <c r="V83" i="3"/>
  <c r="V76" i="3"/>
  <c r="V68" i="3"/>
  <c r="V62" i="3"/>
  <c r="V55" i="3"/>
  <c r="V47" i="3"/>
  <c r="V40" i="3"/>
  <c r="V34" i="3"/>
  <c r="V26" i="3"/>
  <c r="T141" i="3"/>
  <c r="T134" i="3"/>
  <c r="T126" i="3"/>
  <c r="T120" i="3"/>
  <c r="T113" i="3"/>
  <c r="T105" i="3"/>
  <c r="T98" i="3"/>
  <c r="T92" i="3"/>
  <c r="T84" i="3"/>
  <c r="T77" i="3"/>
  <c r="T70" i="3"/>
  <c r="T62" i="3"/>
  <c r="T56" i="3"/>
  <c r="T49" i="3"/>
  <c r="T41" i="3"/>
  <c r="T34" i="3"/>
  <c r="T28" i="3"/>
  <c r="R142" i="3"/>
  <c r="R135" i="3"/>
  <c r="R128" i="3"/>
  <c r="R121" i="3"/>
  <c r="R116" i="3"/>
  <c r="R111" i="3"/>
  <c r="R105" i="3"/>
  <c r="R100" i="3"/>
  <c r="R95" i="3"/>
  <c r="R89" i="3"/>
  <c r="R84" i="3"/>
  <c r="R79" i="3"/>
  <c r="R73" i="3"/>
  <c r="R68" i="3"/>
  <c r="R63" i="3"/>
  <c r="R57" i="3"/>
  <c r="R52" i="3"/>
  <c r="R47" i="3"/>
  <c r="R41" i="3"/>
  <c r="R36" i="3"/>
  <c r="R31" i="3"/>
  <c r="R25" i="3"/>
  <c r="P142" i="3"/>
  <c r="P137" i="3"/>
  <c r="P131" i="3"/>
  <c r="P126" i="3"/>
  <c r="P121" i="3"/>
  <c r="P116" i="3"/>
  <c r="P112" i="3"/>
  <c r="P108" i="3"/>
  <c r="P104" i="3"/>
  <c r="P100" i="3"/>
  <c r="P96" i="3"/>
  <c r="P92" i="3"/>
  <c r="P88" i="3"/>
  <c r="P84" i="3"/>
  <c r="P80" i="3"/>
  <c r="P76" i="3"/>
  <c r="P72" i="3"/>
  <c r="P68" i="3"/>
  <c r="P64" i="3"/>
  <c r="P60" i="3"/>
  <c r="P56" i="3"/>
  <c r="P52" i="3"/>
  <c r="P48" i="3"/>
  <c r="P44" i="3"/>
  <c r="P40" i="3"/>
  <c r="P36" i="3"/>
  <c r="P32" i="3"/>
  <c r="P28" i="3"/>
  <c r="P24" i="3"/>
  <c r="Z136" i="3"/>
  <c r="Z128" i="3"/>
  <c r="Z122" i="3"/>
  <c r="Z115" i="3"/>
  <c r="Z107" i="3"/>
  <c r="Z100" i="3"/>
  <c r="Z94" i="3"/>
  <c r="Z86" i="3"/>
  <c r="Z134" i="3"/>
  <c r="Z120" i="3"/>
  <c r="Z106" i="3"/>
  <c r="Z91" i="3"/>
  <c r="Z79" i="3"/>
  <c r="Z70" i="3"/>
  <c r="Z62" i="3"/>
  <c r="Z51" i="3"/>
  <c r="Z42" i="3"/>
  <c r="Z32" i="3"/>
  <c r="X144" i="3"/>
  <c r="X136" i="3"/>
  <c r="X126" i="3"/>
  <c r="X116" i="3"/>
  <c r="X106" i="3"/>
  <c r="X98" i="3"/>
  <c r="X88" i="3"/>
  <c r="X78" i="3"/>
  <c r="X69" i="3"/>
  <c r="X58" i="3"/>
  <c r="X50" i="3"/>
  <c r="X41" i="3"/>
  <c r="X30" i="3"/>
  <c r="V143" i="3"/>
  <c r="V135" i="3"/>
  <c r="V124" i="3"/>
  <c r="V115" i="3"/>
  <c r="V106" i="3"/>
  <c r="V95" i="3"/>
  <c r="V87" i="3"/>
  <c r="V78" i="3"/>
  <c r="V67" i="3"/>
  <c r="V58" i="3"/>
  <c r="V50" i="3"/>
  <c r="V39" i="3"/>
  <c r="V30" i="3"/>
  <c r="T142" i="3"/>
  <c r="T132" i="3"/>
  <c r="T124" i="3"/>
  <c r="T114" i="3"/>
  <c r="T104" i="3"/>
  <c r="T94" i="3"/>
  <c r="T86" i="3"/>
  <c r="T76" i="3"/>
  <c r="T66" i="3"/>
  <c r="T57" i="3"/>
  <c r="T46" i="3"/>
  <c r="T38" i="3"/>
  <c r="T29" i="3"/>
  <c r="R140" i="3"/>
  <c r="R131" i="3"/>
  <c r="R123" i="3"/>
  <c r="R115" i="3"/>
  <c r="R108" i="3"/>
  <c r="R101" i="3"/>
  <c r="R93" i="3"/>
  <c r="R87" i="3"/>
  <c r="R80" i="3"/>
  <c r="R72" i="3"/>
  <c r="R65" i="3"/>
  <c r="R59" i="3"/>
  <c r="R51" i="3"/>
  <c r="R44" i="3"/>
  <c r="R37" i="3"/>
  <c r="R29" i="3"/>
  <c r="R23" i="3"/>
  <c r="P138" i="3"/>
  <c r="P130" i="3"/>
  <c r="P123" i="3"/>
  <c r="P117" i="3"/>
  <c r="P111" i="3"/>
  <c r="P106" i="3"/>
  <c r="P101" i="3"/>
  <c r="P95" i="3"/>
  <c r="P90" i="3"/>
  <c r="P85" i="3"/>
  <c r="P79" i="3"/>
  <c r="P74" i="3"/>
  <c r="P69" i="3"/>
  <c r="P63" i="3"/>
  <c r="P58" i="3"/>
  <c r="P53" i="3"/>
  <c r="P47" i="3"/>
  <c r="P42" i="3"/>
  <c r="P37" i="3"/>
  <c r="P31" i="3"/>
  <c r="P26" i="3"/>
  <c r="Z132" i="3"/>
  <c r="Z118" i="3"/>
  <c r="Z104" i="3"/>
  <c r="Z90" i="3"/>
  <c r="Z78" i="3"/>
  <c r="Z68" i="3"/>
  <c r="Z58" i="3"/>
  <c r="Z48" i="3"/>
  <c r="Z40" i="3"/>
  <c r="Z30" i="3"/>
  <c r="X142" i="3"/>
  <c r="X133" i="3"/>
  <c r="X122" i="3"/>
  <c r="X114" i="3"/>
  <c r="X105" i="3"/>
  <c r="X94" i="3"/>
  <c r="X85" i="3"/>
  <c r="X77" i="3"/>
  <c r="X66" i="3"/>
  <c r="X57" i="3"/>
  <c r="X48" i="3"/>
  <c r="X37" i="3"/>
  <c r="X29" i="3"/>
  <c r="V142" i="3"/>
  <c r="V131" i="3"/>
  <c r="V122" i="3"/>
  <c r="V114" i="3"/>
  <c r="V103" i="3"/>
  <c r="V94" i="3"/>
  <c r="V84" i="3"/>
  <c r="V74" i="3"/>
  <c r="V66" i="3"/>
  <c r="V56" i="3"/>
  <c r="V46" i="3"/>
  <c r="V36" i="3"/>
  <c r="V28" i="3"/>
  <c r="T140" i="3"/>
  <c r="T130" i="3"/>
  <c r="T121" i="3"/>
  <c r="T110" i="3"/>
  <c r="T102" i="3"/>
  <c r="T93" i="3"/>
  <c r="T82" i="3"/>
  <c r="T73" i="3"/>
  <c r="T65" i="3"/>
  <c r="T54" i="3"/>
  <c r="T45" i="3"/>
  <c r="T36" i="3"/>
  <c r="T25" i="3"/>
  <c r="R139" i="3"/>
  <c r="R130" i="3"/>
  <c r="R120" i="3"/>
  <c r="R113" i="3"/>
  <c r="R107" i="3"/>
  <c r="R99" i="3"/>
  <c r="R92" i="3"/>
  <c r="R85" i="3"/>
  <c r="R77" i="3"/>
  <c r="R71" i="3"/>
  <c r="R64" i="3"/>
  <c r="R56" i="3"/>
  <c r="R49" i="3"/>
  <c r="R43" i="3"/>
  <c r="R35" i="3"/>
  <c r="R28" i="3"/>
  <c r="P143" i="3"/>
  <c r="P135" i="3"/>
  <c r="P129" i="3"/>
  <c r="P122" i="3"/>
  <c r="P115" i="3"/>
  <c r="P110" i="3"/>
  <c r="P105" i="3"/>
  <c r="P99" i="3"/>
  <c r="P94" i="3"/>
  <c r="P89" i="3"/>
  <c r="P83" i="3"/>
  <c r="P78" i="3"/>
  <c r="P73" i="3"/>
  <c r="P67" i="3"/>
  <c r="P62" i="3"/>
  <c r="P57" i="3"/>
  <c r="P51" i="3"/>
  <c r="P46" i="3"/>
  <c r="P41" i="3"/>
  <c r="P35" i="3"/>
  <c r="P30" i="3"/>
  <c r="P25" i="3"/>
  <c r="Z127" i="3"/>
  <c r="Z112" i="3"/>
  <c r="Z99" i="3"/>
  <c r="Z84" i="3"/>
  <c r="Z75" i="3"/>
  <c r="Z64" i="3"/>
  <c r="Z56" i="3"/>
  <c r="Z47" i="3"/>
  <c r="Z36" i="3"/>
  <c r="Z27" i="3"/>
  <c r="X141" i="3"/>
  <c r="X130" i="3"/>
  <c r="X121" i="3"/>
  <c r="X112" i="3"/>
  <c r="X101" i="3"/>
  <c r="X93" i="3"/>
  <c r="X84" i="3"/>
  <c r="X73" i="3"/>
  <c r="X64" i="3"/>
  <c r="X56" i="3"/>
  <c r="X45" i="3"/>
  <c r="X36" i="3"/>
  <c r="X26" i="3"/>
  <c r="V138" i="3"/>
  <c r="V130" i="3"/>
  <c r="V120" i="3"/>
  <c r="V110" i="3"/>
  <c r="V100" i="3"/>
  <c r="V92" i="3"/>
  <c r="V82" i="3"/>
  <c r="V72" i="3"/>
  <c r="V63" i="3"/>
  <c r="V52" i="3"/>
  <c r="V44" i="3"/>
  <c r="V35" i="3"/>
  <c r="V24" i="3"/>
  <c r="T137" i="3"/>
  <c r="T129" i="3"/>
  <c r="T118" i="3"/>
  <c r="T109" i="3"/>
  <c r="T100" i="3"/>
  <c r="T89" i="3"/>
  <c r="T81" i="3"/>
  <c r="T72" i="3"/>
  <c r="T61" i="3"/>
  <c r="T52" i="3"/>
  <c r="T44" i="3"/>
  <c r="T33" i="3"/>
  <c r="T24" i="3"/>
  <c r="R136" i="3"/>
  <c r="R126" i="3"/>
  <c r="R119" i="3"/>
  <c r="R112" i="3"/>
  <c r="R104" i="3"/>
  <c r="R97" i="3"/>
  <c r="R91" i="3"/>
  <c r="R83" i="3"/>
  <c r="R76" i="3"/>
  <c r="R69" i="3"/>
  <c r="R61" i="3"/>
  <c r="R55" i="3"/>
  <c r="R48" i="3"/>
  <c r="R40" i="3"/>
  <c r="R33" i="3"/>
  <c r="R27" i="3"/>
  <c r="P141" i="3"/>
  <c r="P134" i="3"/>
  <c r="P127" i="3"/>
  <c r="P119" i="3"/>
  <c r="P114" i="3"/>
  <c r="P109" i="3"/>
  <c r="P103" i="3"/>
  <c r="P98" i="3"/>
  <c r="P93" i="3"/>
  <c r="P87" i="3"/>
  <c r="P82" i="3"/>
  <c r="P77" i="3"/>
  <c r="P71" i="3"/>
  <c r="P66" i="3"/>
  <c r="P61" i="3"/>
  <c r="P55" i="3"/>
  <c r="Z126" i="3"/>
  <c r="Z72" i="3"/>
  <c r="Z35" i="3"/>
  <c r="X120" i="3"/>
  <c r="X80" i="3"/>
  <c r="X42" i="3"/>
  <c r="V127" i="3"/>
  <c r="V88" i="3"/>
  <c r="V51" i="3"/>
  <c r="T136" i="3"/>
  <c r="T97" i="3"/>
  <c r="T60" i="3"/>
  <c r="R144" i="3"/>
  <c r="R109" i="3"/>
  <c r="R81" i="3"/>
  <c r="R53" i="3"/>
  <c r="R24" i="3"/>
  <c r="P118" i="3"/>
  <c r="P97" i="3"/>
  <c r="P75" i="3"/>
  <c r="P54" i="3"/>
  <c r="P43" i="3"/>
  <c r="P33" i="3"/>
  <c r="Z111" i="3"/>
  <c r="Z63" i="3"/>
  <c r="Z26" i="3"/>
  <c r="X109" i="3"/>
  <c r="X72" i="3"/>
  <c r="X34" i="3"/>
  <c r="V116" i="3"/>
  <c r="V79" i="3"/>
  <c r="V42" i="3"/>
  <c r="T125" i="3"/>
  <c r="T88" i="3"/>
  <c r="T50" i="3"/>
  <c r="R134" i="3"/>
  <c r="R103" i="3"/>
  <c r="R75" i="3"/>
  <c r="R45" i="3"/>
  <c r="P139" i="3"/>
  <c r="P113" i="3"/>
  <c r="P91" i="3"/>
  <c r="P70" i="3"/>
  <c r="P50" i="3"/>
  <c r="P39" i="3"/>
  <c r="P29" i="3"/>
  <c r="Z96" i="3"/>
  <c r="Z54" i="3"/>
  <c r="X137" i="3"/>
  <c r="X100" i="3"/>
  <c r="X62" i="3"/>
  <c r="X24" i="3"/>
  <c r="V108" i="3"/>
  <c r="V71" i="3"/>
  <c r="V31" i="3"/>
  <c r="T116" i="3"/>
  <c r="T78" i="3"/>
  <c r="T40" i="3"/>
  <c r="R124" i="3"/>
  <c r="R96" i="3"/>
  <c r="R67" i="3"/>
  <c r="R39" i="3"/>
  <c r="P133" i="3"/>
  <c r="P107" i="3"/>
  <c r="P86" i="3"/>
  <c r="P65" i="3"/>
  <c r="P49" i="3"/>
  <c r="P38" i="3"/>
  <c r="P27" i="3"/>
  <c r="Z83" i="3"/>
  <c r="Z43" i="3"/>
  <c r="X128" i="3"/>
  <c r="X90" i="3"/>
  <c r="X52" i="3"/>
  <c r="V136" i="3"/>
  <c r="V99" i="3"/>
  <c r="V60" i="3"/>
  <c r="V23" i="3"/>
  <c r="T108" i="3"/>
  <c r="T68" i="3"/>
  <c r="T30" i="3"/>
  <c r="R117" i="3"/>
  <c r="R88" i="3"/>
  <c r="R60" i="3"/>
  <c r="R32" i="3"/>
  <c r="P125" i="3"/>
  <c r="P102" i="3"/>
  <c r="P81" i="3"/>
  <c r="P59" i="3"/>
  <c r="P45" i="3"/>
  <c r="P34" i="3"/>
  <c r="P23" i="3"/>
  <c r="X22" i="3"/>
  <c r="P22" i="3"/>
  <c r="Z22" i="3"/>
  <c r="R22" i="3"/>
  <c r="T22" i="3"/>
  <c r="V22" i="3"/>
  <c r="X21" i="3"/>
  <c r="P21" i="3"/>
  <c r="Z21" i="3"/>
  <c r="V21" i="3"/>
  <c r="T21" i="3"/>
  <c r="R21" i="3"/>
  <c r="Z20" i="3"/>
  <c r="X20" i="3"/>
  <c r="V20" i="3"/>
  <c r="T20" i="3"/>
  <c r="R20" i="3"/>
  <c r="P20" i="3"/>
  <c r="Z10" i="3" l="1"/>
  <c r="Z13" i="3" s="1"/>
  <c r="X10" i="3"/>
  <c r="X13" i="3" s="1"/>
  <c r="V10" i="3"/>
  <c r="V13" i="3" s="1"/>
  <c r="T10" i="3"/>
  <c r="T13" i="3" s="1"/>
  <c r="R10" i="3"/>
  <c r="R13" i="3" s="1"/>
  <c r="P10" i="3"/>
  <c r="P13" i="3" s="1"/>
  <c r="A22" i="11"/>
  <c r="A5" i="11"/>
  <c r="O13" i="9"/>
  <c r="N13" i="9"/>
  <c r="M13" i="9"/>
  <c r="L13" i="9"/>
  <c r="K13" i="9"/>
  <c r="J13" i="9"/>
  <c r="I13" i="9"/>
  <c r="H13" i="9"/>
  <c r="G13" i="9"/>
  <c r="F13" i="9"/>
  <c r="E13" i="9"/>
  <c r="D13" i="9"/>
  <c r="O12" i="9"/>
  <c r="N12" i="9"/>
  <c r="M12" i="9"/>
  <c r="L12" i="9"/>
  <c r="K12" i="9"/>
  <c r="J12" i="9"/>
  <c r="I12" i="9"/>
  <c r="H12" i="9"/>
  <c r="G12" i="9"/>
  <c r="F12" i="9"/>
  <c r="E12" i="9"/>
  <c r="D12" i="9"/>
  <c r="A2" i="11"/>
  <c r="A1" i="12"/>
  <c r="Z11" i="3" l="1"/>
  <c r="Z17" i="3" s="1"/>
  <c r="X11" i="3"/>
  <c r="X17" i="3" s="1"/>
  <c r="V11" i="3"/>
  <c r="V17" i="3" s="1"/>
  <c r="T11" i="3"/>
  <c r="T17" i="3" s="1"/>
  <c r="R11" i="3"/>
  <c r="R17" i="3" s="1"/>
  <c r="P11" i="3"/>
  <c r="P17" i="3" s="1"/>
  <c r="H8" i="7"/>
  <c r="H7" i="7"/>
  <c r="H6" i="7"/>
  <c r="H9" i="7" s="1"/>
  <c r="D6" i="7"/>
  <c r="H4" i="7"/>
  <c r="H5" i="7" s="1"/>
  <c r="D4" i="7"/>
  <c r="H22" i="6"/>
  <c r="D22" i="6"/>
  <c r="H21" i="6"/>
  <c r="D21" i="6"/>
  <c r="H20" i="6"/>
  <c r="D20" i="6"/>
  <c r="C5" i="5"/>
  <c r="C4" i="5"/>
  <c r="C3" i="5"/>
  <c r="C14" i="2"/>
  <c r="V14" i="3" l="1"/>
  <c r="X14" i="3"/>
  <c r="T14" i="3"/>
  <c r="R14" i="3"/>
  <c r="Z14" i="3"/>
  <c r="P14" i="3"/>
  <c r="B18" i="6"/>
  <c r="B17" i="6" s="1"/>
  <c r="B16" i="6" s="1"/>
  <c r="B15" i="6" s="1"/>
  <c r="B14" i="6" s="1"/>
  <c r="B13" i="6" s="1"/>
  <c r="B12" i="6" s="1"/>
  <c r="B11" i="6" s="1"/>
  <c r="B10" i="6" s="1"/>
  <c r="B9" i="6" s="1"/>
  <c r="G9" i="6" s="1"/>
  <c r="G13" i="6" l="1"/>
  <c r="G16" i="6"/>
  <c r="G11" i="6"/>
  <c r="G17" i="6"/>
  <c r="G12" i="6"/>
  <c r="G14" i="6"/>
  <c r="G15" i="6"/>
  <c r="G18" i="6"/>
  <c r="G10" i="6"/>
  <c r="D25" i="6" l="1"/>
</calcChain>
</file>

<file path=xl/comments1.xml><?xml version="1.0" encoding="utf-8"?>
<comments xmlns="http://schemas.openxmlformats.org/spreadsheetml/2006/main">
  <authors>
    <author>Johnathan McCabe</author>
  </authors>
  <commentList>
    <comment ref="O11" authorId="0">
      <text>
        <r>
          <rPr>
            <sz val="7"/>
            <color indexed="81"/>
            <rFont val="Calibri"/>
            <family val="2"/>
            <scheme val="minor"/>
          </rPr>
          <t>Assumed 20% brokerage in rates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Bingyan Hong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Bingyan Hong:</t>
        </r>
        <r>
          <rPr>
            <sz val="9"/>
            <color indexed="81"/>
            <rFont val="Tahoma"/>
            <family val="2"/>
          </rPr>
          <t xml:space="preserve">
May need review
</t>
        </r>
      </text>
    </comment>
  </commentList>
</comments>
</file>

<file path=xl/connections.xml><?xml version="1.0" encoding="utf-8"?>
<connections xmlns="http://schemas.openxmlformats.org/spreadsheetml/2006/main">
  <connection id="1" name="pp_qry" type="1" refreshedVersion="4" background="1" saveData="1">
    <dbPr connection="DSN=PRICING_PROD;Description=Pricing Production Database;UID=pricingteam;APP=Microsoft Office 2010;WSID=GBLOWL8LSQL32;DATABASE=pricing_prod" command="SELECT actuarial_curve.curve_name_x000d__x000a_FROM pricing_prod.stage.actuarial_curve actuarial_curve"/>
  </connection>
</connections>
</file>

<file path=xl/sharedStrings.xml><?xml version="1.0" encoding="utf-8"?>
<sst xmlns="http://schemas.openxmlformats.org/spreadsheetml/2006/main" count="2258" uniqueCount="916">
  <si>
    <t>Quote Information</t>
  </si>
  <si>
    <t>Assured</t>
  </si>
  <si>
    <t>BRICKPOINT</t>
  </si>
  <si>
    <t>Team</t>
  </si>
  <si>
    <t>Commercial Lines</t>
  </si>
  <si>
    <t>Underwriter</t>
  </si>
  <si>
    <t>AXR</t>
  </si>
  <si>
    <t>Broker Pseudonym</t>
  </si>
  <si>
    <t>BES</t>
  </si>
  <si>
    <t>Broker Contact</t>
  </si>
  <si>
    <t>Josh Jeffcoat</t>
  </si>
  <si>
    <t>Inception Date</t>
  </si>
  <si>
    <t>Expiry Date</t>
  </si>
  <si>
    <t>YoA</t>
  </si>
  <si>
    <t>Faraday Lead</t>
  </si>
  <si>
    <t>Renewal</t>
  </si>
  <si>
    <t>Locnum</t>
  </si>
  <si>
    <t>Locname</t>
  </si>
  <si>
    <t>Addressnum</t>
  </si>
  <si>
    <t>Streetname</t>
  </si>
  <si>
    <t>Zipcode</t>
  </si>
  <si>
    <t>State</t>
  </si>
  <si>
    <t>City</t>
  </si>
  <si>
    <t>County</t>
  </si>
  <si>
    <t>Country</t>
  </si>
  <si>
    <t>RmsBuildingClass</t>
  </si>
  <si>
    <t>RmsBuildingClassDesc</t>
  </si>
  <si>
    <t>IsoFireBuildingClass</t>
  </si>
  <si>
    <t>IsoFireBuildingClassDesc</t>
  </si>
  <si>
    <t>AtcOccupancy</t>
  </si>
  <si>
    <t>AtcOccupancyDesc</t>
  </si>
  <si>
    <t>NumberOfBuildings</t>
  </si>
  <si>
    <t>NumberOfStories</t>
  </si>
  <si>
    <t>SqFootArea</t>
  </si>
  <si>
    <t>Yearbuilt</t>
  </si>
  <si>
    <t>BuildingsValue</t>
  </si>
  <si>
    <t>BuildingsRate</t>
  </si>
  <si>
    <t>ContentsValue</t>
  </si>
  <si>
    <t>ContentsRate</t>
  </si>
  <si>
    <t>BiValue</t>
  </si>
  <si>
    <t>BiRate</t>
  </si>
  <si>
    <t>Currency</t>
  </si>
  <si>
    <t>Tiv</t>
  </si>
  <si>
    <t>Pc</t>
  </si>
  <si>
    <t>Pc Credit</t>
  </si>
  <si>
    <t>Sprinklered</t>
  </si>
  <si>
    <t>Sprinkler Credit</t>
  </si>
  <si>
    <t>RatedValue</t>
  </si>
  <si>
    <t>UnratedValue</t>
  </si>
  <si>
    <t>Curve</t>
  </si>
  <si>
    <t>PureLossCost</t>
  </si>
  <si>
    <t>CreditDebit</t>
  </si>
  <si>
    <t>AdjustedLossCost</t>
  </si>
  <si>
    <t>PuretechnicalRate</t>
  </si>
  <si>
    <t>AdjustedTechnicalRate</t>
  </si>
  <si>
    <t>2 SHORE DR</t>
  </si>
  <si>
    <t>MA</t>
  </si>
  <si>
    <t>PEABODY</t>
  </si>
  <si>
    <t>ESSEX COUNTY</t>
  </si>
  <si>
    <t>US</t>
  </si>
  <si>
    <t>1 - Wood</t>
  </si>
  <si>
    <t>1 - Frame</t>
  </si>
  <si>
    <t>2 - Permanent Dwelling (multi family housing)</t>
  </si>
  <si>
    <t>USD</t>
  </si>
  <si>
    <t>Primary 1</t>
  </si>
  <si>
    <t>4 SHORE DR</t>
  </si>
  <si>
    <t>6 SHORE DR</t>
  </si>
  <si>
    <t>8 SHORE DR</t>
  </si>
  <si>
    <t>10 SHORE DR</t>
  </si>
  <si>
    <t>12 SHORE DR</t>
  </si>
  <si>
    <t>15 SHORE DR</t>
  </si>
  <si>
    <t>16 SHORE DR</t>
  </si>
  <si>
    <t>17 SHORE DR</t>
  </si>
  <si>
    <t>18 SHORE DR</t>
  </si>
  <si>
    <t>19 SHORE DR</t>
  </si>
  <si>
    <t>20 SHORE DR</t>
  </si>
  <si>
    <t>21 SHORE DR</t>
  </si>
  <si>
    <t>22 SHORE DR</t>
  </si>
  <si>
    <t>23 SHORE DR</t>
  </si>
  <si>
    <t>26 SHORE DR</t>
  </si>
  <si>
    <t>27 SHORE DR</t>
  </si>
  <si>
    <t>30 SHORE DR</t>
  </si>
  <si>
    <t>31 SHORE DR</t>
  </si>
  <si>
    <t>34 SHORE DR</t>
  </si>
  <si>
    <t>35 SHORE DR</t>
  </si>
  <si>
    <t>37 SHORE DR</t>
  </si>
  <si>
    <t>38 SHORE DR</t>
  </si>
  <si>
    <t>39 SHORE DR</t>
  </si>
  <si>
    <t>40 SHORE DR</t>
  </si>
  <si>
    <t>45 SHORE DR</t>
  </si>
  <si>
    <t>46 SHORE DR</t>
  </si>
  <si>
    <t>47 SHORE DR</t>
  </si>
  <si>
    <t>51 SHORE DR</t>
  </si>
  <si>
    <t>60 SHORE DR</t>
  </si>
  <si>
    <t>64 SHORE DR</t>
  </si>
  <si>
    <t>78 SHORE DR</t>
  </si>
  <si>
    <t>90 SHORE DR</t>
  </si>
  <si>
    <t>92 SHORE DR</t>
  </si>
  <si>
    <t>96 SHORE DR</t>
  </si>
  <si>
    <t>110 SHORE DR</t>
  </si>
  <si>
    <t>122 SHORE DR</t>
  </si>
  <si>
    <t>130 SHORE DR</t>
  </si>
  <si>
    <t>132 SHORE DR</t>
  </si>
  <si>
    <t>134 SHORE DR</t>
  </si>
  <si>
    <t>136 SHORE DR</t>
  </si>
  <si>
    <t>138 SHORE DR</t>
  </si>
  <si>
    <t>140 SHORE DR</t>
  </si>
  <si>
    <t>142 SHORE DR</t>
  </si>
  <si>
    <t>144 SHORE DR</t>
  </si>
  <si>
    <t>146 SHORE DR</t>
  </si>
  <si>
    <t>148 SHORE DR</t>
  </si>
  <si>
    <t>152 SHORE DR</t>
  </si>
  <si>
    <t>156 SHORE DR</t>
  </si>
  <si>
    <t>1 GARDEN RD</t>
  </si>
  <si>
    <t>17 GARDEN RD</t>
  </si>
  <si>
    <t>35 GARDEN RD</t>
  </si>
  <si>
    <t>37 GARDEN RD</t>
  </si>
  <si>
    <t>39 GARDEN RD</t>
  </si>
  <si>
    <t>43 GARDEN RD</t>
  </si>
  <si>
    <t>49 GARDEN RD</t>
  </si>
  <si>
    <t>51 GARDEN RD</t>
  </si>
  <si>
    <t>55 GARDEN RD</t>
  </si>
  <si>
    <t>3 GARDEN RD</t>
  </si>
  <si>
    <t>21 GARDEN RD</t>
  </si>
  <si>
    <t>1 SHORE DR</t>
  </si>
  <si>
    <t>108 SHORE DR</t>
  </si>
  <si>
    <t>45 NORTH ST</t>
  </si>
  <si>
    <t>STONEHAM</t>
  </si>
  <si>
    <t>MIDDLESEX COUNTY</t>
  </si>
  <si>
    <t>2 - Masonry</t>
  </si>
  <si>
    <t>2 - Joisted Masonry</t>
  </si>
  <si>
    <t>100 LEISURE LN</t>
  </si>
  <si>
    <t>200 LEISURE LN</t>
  </si>
  <si>
    <t>15 COURT SQ</t>
  </si>
  <si>
    <t>BOSTON</t>
  </si>
  <si>
    <t>SUFFOLK COUNTY</t>
  </si>
  <si>
    <t>3 - REINFORCED CONCRETE</t>
  </si>
  <si>
    <t>5 - Modified Fire Resistive</t>
  </si>
  <si>
    <t>8 - Professional, Technical and Business Services</t>
  </si>
  <si>
    <t>2 MAIN ST</t>
  </si>
  <si>
    <t>10 MAIN ST</t>
  </si>
  <si>
    <t>0 - Unknown</t>
  </si>
  <si>
    <t>47 - Restaurants</t>
  </si>
  <si>
    <t>Primary 2</t>
  </si>
  <si>
    <t>16 MAIN ST</t>
  </si>
  <si>
    <t>9 - Health Care Service</t>
  </si>
  <si>
    <t>701 TECHNOLOGY CENTER DR</t>
  </si>
  <si>
    <t>STOUGHTON</t>
  </si>
  <si>
    <t>NORFOLK COUNTY</t>
  </si>
  <si>
    <t>5 - Retail Trade</t>
  </si>
  <si>
    <t>703 TECHNOLOGY CENTER DR</t>
  </si>
  <si>
    <t>707 TECHNOLOGY CENTER DR</t>
  </si>
  <si>
    <t>36 MIDDLESEX TPKE</t>
  </si>
  <si>
    <t>BEDFORD</t>
  </si>
  <si>
    <t>21 PEACH ORCHARD RD</t>
  </si>
  <si>
    <t>BURLINGTON</t>
  </si>
  <si>
    <t>1 - Permanent Dwelling (single family housing)</t>
  </si>
  <si>
    <t>24 SETTLERS GREEN DR</t>
  </si>
  <si>
    <t>NH</t>
  </si>
  <si>
    <t>NORTH CONWAY</t>
  </si>
  <si>
    <t>CARROLL COUNTY</t>
  </si>
  <si>
    <t>331 MAIN ST</t>
  </si>
  <si>
    <t>NASHUA</t>
  </si>
  <si>
    <t>HILLSBOROUGH COUNTY</t>
  </si>
  <si>
    <t>331 COMMERCE WAY</t>
  </si>
  <si>
    <t>PEMBROKE</t>
  </si>
  <si>
    <t>MERRIMACK COUNTY</t>
  </si>
  <si>
    <t xml:space="preserve">4A  </t>
  </si>
  <si>
    <t>4A - Steel Frame</t>
  </si>
  <si>
    <t>331R COMMERCE WAY</t>
  </si>
  <si>
    <t>524 THORN HILL RD</t>
  </si>
  <si>
    <t>INTERVALE</t>
  </si>
  <si>
    <t>13 SABINO FARM RD</t>
  </si>
  <si>
    <t>7 - Personal and Repair Services</t>
  </si>
  <si>
    <t>105 HOPKINS ST</t>
  </si>
  <si>
    <t>WAKEFIELD</t>
  </si>
  <si>
    <t>109 HOPKINS ST</t>
  </si>
  <si>
    <t>26 BEACON ST</t>
  </si>
  <si>
    <t>180 NEW BOSTON ST</t>
  </si>
  <si>
    <t>WOBURN</t>
  </si>
  <si>
    <t>Locations</t>
  </si>
  <si>
    <t>Buildings</t>
  </si>
  <si>
    <t>Buildings Value</t>
  </si>
  <si>
    <t>Map Level</t>
  </si>
  <si>
    <t>Contents Value</t>
  </si>
  <si>
    <t>BI Value</t>
  </si>
  <si>
    <t>Locations not mapped</t>
  </si>
  <si>
    <t>TIV</t>
  </si>
  <si>
    <t>Values not mapped</t>
  </si>
  <si>
    <t>Trend Rate</t>
  </si>
  <si>
    <t>Acturial Development</t>
  </si>
  <si>
    <t>Inc YoA?</t>
  </si>
  <si>
    <t>Incurred</t>
  </si>
  <si>
    <t>True IBNR</t>
  </si>
  <si>
    <t>IBNER to ult</t>
  </si>
  <si>
    <t>Ultimate Claims</t>
  </si>
  <si>
    <t>N</t>
  </si>
  <si>
    <t>Y</t>
  </si>
  <si>
    <t>Total</t>
  </si>
  <si>
    <t>Average</t>
  </si>
  <si>
    <t>5 year average</t>
  </si>
  <si>
    <t>Expected Loss</t>
  </si>
  <si>
    <t>Overview</t>
  </si>
  <si>
    <t>Geocoding</t>
  </si>
  <si>
    <t>Occupancy</t>
  </si>
  <si>
    <t>Very good</t>
  </si>
  <si>
    <t>Construction</t>
  </si>
  <si>
    <t>Fair</t>
  </si>
  <si>
    <t>Year Built</t>
  </si>
  <si>
    <t>Num Of Stories</t>
  </si>
  <si>
    <t>Secondary Modifiers</t>
  </si>
  <si>
    <t>Results</t>
  </si>
  <si>
    <t>AOP Deductible</t>
  </si>
  <si>
    <t>Selected Fire</t>
  </si>
  <si>
    <t>Fire Model</t>
  </si>
  <si>
    <t>Selected Cat model</t>
  </si>
  <si>
    <t>RMS</t>
  </si>
  <si>
    <t>Limit</t>
  </si>
  <si>
    <t>Excess</t>
  </si>
  <si>
    <t>Fire  AAL (Model)</t>
  </si>
  <si>
    <t>Fire AAL (Base Rates)</t>
  </si>
  <si>
    <t>Fire AAL (Experience)</t>
  </si>
  <si>
    <t>RMS Cat AAL</t>
  </si>
  <si>
    <t>AIR Cat AAL</t>
  </si>
  <si>
    <t>Selected AAL</t>
  </si>
  <si>
    <t>Notes</t>
  </si>
  <si>
    <t>Historic Pricing Results</t>
  </si>
  <si>
    <t>TBD</t>
  </si>
  <si>
    <t># of hurricanes/typhoons per month (not weighted by strength)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</si>
  <si>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</si>
  <si>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</si>
  <si>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</si>
  <si>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</si>
  <si>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</si>
  <si>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</si>
  <si>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</si>
  <si>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</si>
  <si>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</si>
  <si>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</si>
  <si>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</si>
  <si>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</si>
  <si>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 Pacific</t>
  </si>
  <si>
    <t>NW Pacific</t>
  </si>
  <si>
    <t>North Atlantic</t>
  </si>
  <si>
    <t>North Indian</t>
  </si>
  <si>
    <t>Australia/SE Indian</t>
  </si>
  <si>
    <t>Australia/SW Pacific</t>
  </si>
  <si>
    <t>SW Indian</t>
  </si>
  <si>
    <t>Curve Name</t>
  </si>
  <si>
    <t>Cat Model</t>
  </si>
  <si>
    <t>Fire</t>
  </si>
  <si>
    <t>data_quality_labels</t>
  </si>
  <si>
    <t>Flat 1</t>
  </si>
  <si>
    <t>AIR</t>
  </si>
  <si>
    <t>Base Rates</t>
  </si>
  <si>
    <t>Good</t>
  </si>
  <si>
    <t>Experience Rate</t>
  </si>
  <si>
    <t>Poor</t>
  </si>
  <si>
    <t># plot code</t>
  </si>
  <si>
    <t>if(level == ""){</t>
  </si>
  <si>
    <t>xlc["map_progress"] = ""</t>
  </si>
  <si>
    <t>stop()</t>
  </si>
  <si>
    <t>}</t>
  </si>
  <si>
    <t>xlc["map_progress"] = "Initialising"</t>
  </si>
  <si>
    <t>library(fire.pricing)</t>
  </si>
  <si>
    <t>library(excel.link)</t>
  </si>
  <si>
    <t>library(Faraday.Pricing)</t>
  </si>
  <si>
    <t>xlc["map_progress"] = "Reading Location Data"</t>
  </si>
  <si>
    <t>yy &lt;- fire.pricing:: get_rms_fire_engine_locations(edm = "RMS_EDM_QTE_16_10",</t>
  </si>
  <si>
    <t xml:space="preserve">                                    server = "GBLONTPD111",</t>
  </si>
  <si>
    <t xml:space="preserve">                                    account = "CL16_CG299N16A000_01")</t>
  </si>
  <si>
    <t>p &lt;- county_state_map(longitude=  yy$LONGITUDE,</t>
  </si>
  <si>
    <t xml:space="preserve">                      latitude = yy$LATITUDE,</t>
  </si>
  <si>
    <t xml:space="preserve">                      value = yy$TIV,</t>
  </si>
  <si>
    <t xml:space="preserve">                      level = level)</t>
  </si>
  <si>
    <t>xlc["map_progress"] = "Creating map image"</t>
  </si>
  <si>
    <t>ggsave("c:/p.jpg", plot = p$plot, width = 7, height = 5)</t>
  </si>
  <si>
    <t>to_excel1 = current.graphics(filename = "c:/p.jpg", picname = "map")</t>
  </si>
  <si>
    <t>xlc["'Locations Summary'!map_address"] = to_excel1</t>
  </si>
  <si>
    <t>xlc["'Locations Summary'!ls_count_not_mapped"] = p$count_not_geocoded</t>
  </si>
  <si>
    <t>xlc["'Locations Summary'!ls_value_not_mapped"] = p$values_not_geocoded</t>
  </si>
  <si>
    <t>unlink(x = "c:/p.png", force = T)</t>
  </si>
  <si>
    <t># dq code</t>
  </si>
  <si>
    <t>dqs &lt;- rms_data_quality_scores(edm = "RMS_EDM_QTE_16_10",</t>
  </si>
  <si>
    <t xml:space="preserve">                              server = "GBLONTPD111",</t>
  </si>
  <si>
    <t xml:space="preserve">                              account = "CL16_CG299N16A000_01",</t>
  </si>
  <si>
    <t xml:space="preserve">                              thresholds = c(0.7,0.9,0.95))</t>
  </si>
  <si>
    <t>labels &lt;- xl["'values'!data_quality_labels", drop = T]</t>
  </si>
  <si>
    <t>xl["'Pricing Summary'!dq_occupancy"] &lt;- labels[dqs$occupancy_score]</t>
  </si>
  <si>
    <t>xl["'Pricing Summary'!dq_construction"] &lt;- labels[dqs$construction_score]</t>
  </si>
  <si>
    <t>attachment</t>
  </si>
  <si>
    <t>Flat 2</t>
  </si>
  <si>
    <t>Number of buildings</t>
  </si>
  <si>
    <t>Rate</t>
  </si>
  <si>
    <t>Value</t>
  </si>
  <si>
    <t>Gross Premium</t>
  </si>
  <si>
    <t>Net Premium</t>
  </si>
  <si>
    <t>Gross RoL</t>
  </si>
  <si>
    <t>Net RoL</t>
  </si>
  <si>
    <t>% difference</t>
  </si>
  <si>
    <t>Layer Cost</t>
  </si>
  <si>
    <t>Assumed Loss Ratio</t>
  </si>
  <si>
    <t>Risk reference</t>
  </si>
  <si>
    <t>NPR</t>
  </si>
  <si>
    <t>COP</t>
  </si>
  <si>
    <t>AOR</t>
  </si>
  <si>
    <t>PES</t>
  </si>
  <si>
    <t>SCR</t>
  </si>
  <si>
    <t>XXF</t>
  </si>
  <si>
    <t>AFA</t>
  </si>
  <si>
    <t>FRF</t>
  </si>
  <si>
    <t>CHF</t>
  </si>
  <si>
    <t>PYG</t>
  </si>
  <si>
    <t>NGN</t>
  </si>
  <si>
    <t>SY1</t>
  </si>
  <si>
    <t>BWP</t>
  </si>
  <si>
    <t>NZD</t>
  </si>
  <si>
    <t>BRB</t>
  </si>
  <si>
    <t>VN2</t>
  </si>
  <si>
    <t>MTL</t>
  </si>
  <si>
    <t>GH2</t>
  </si>
  <si>
    <t>GMD</t>
  </si>
  <si>
    <t>ZW2</t>
  </si>
  <si>
    <t>DDM</t>
  </si>
  <si>
    <t>TZS</t>
  </si>
  <si>
    <t>KRW</t>
  </si>
  <si>
    <t>MMK</t>
  </si>
  <si>
    <t>LSM</t>
  </si>
  <si>
    <t>CUP</t>
  </si>
  <si>
    <t>HKD</t>
  </si>
  <si>
    <t>KES</t>
  </si>
  <si>
    <t>NAD</t>
  </si>
  <si>
    <t>BBD</t>
  </si>
  <si>
    <t>ZWR</t>
  </si>
  <si>
    <t>LVL</t>
  </si>
  <si>
    <t>BIF</t>
  </si>
  <si>
    <t>SDP</t>
  </si>
  <si>
    <t>AZN</t>
  </si>
  <si>
    <t>SRD</t>
  </si>
  <si>
    <t>PHP</t>
  </si>
  <si>
    <t>QAR</t>
  </si>
  <si>
    <t>BDT</t>
  </si>
  <si>
    <t>AO2</t>
  </si>
  <si>
    <t>JMD</t>
  </si>
  <si>
    <t>TRL</t>
  </si>
  <si>
    <t>MZE</t>
  </si>
  <si>
    <t>HNL</t>
  </si>
  <si>
    <t>MWK</t>
  </si>
  <si>
    <t>UYP</t>
  </si>
  <si>
    <t>SAR</t>
  </si>
  <si>
    <t>TRX</t>
  </si>
  <si>
    <t>SYP</t>
  </si>
  <si>
    <t>ALL</t>
  </si>
  <si>
    <t>SEK</t>
  </si>
  <si>
    <t>MXN</t>
  </si>
  <si>
    <t>ROL</t>
  </si>
  <si>
    <t>RUB</t>
  </si>
  <si>
    <t>CU1</t>
  </si>
  <si>
    <t>GIP</t>
  </si>
  <si>
    <t>LYD</t>
  </si>
  <si>
    <t>CNY</t>
  </si>
  <si>
    <t>CRC</t>
  </si>
  <si>
    <t>JPY</t>
  </si>
  <si>
    <t>LUF</t>
  </si>
  <si>
    <t>SRG</t>
  </si>
  <si>
    <t>PEI</t>
  </si>
  <si>
    <t>JOD</t>
  </si>
  <si>
    <t>CYP</t>
  </si>
  <si>
    <t>NIO</t>
  </si>
  <si>
    <t>GF1</t>
  </si>
  <si>
    <t>SY3</t>
  </si>
  <si>
    <t>THB</t>
  </si>
  <si>
    <t>CCF</t>
  </si>
  <si>
    <t>SIT</t>
  </si>
  <si>
    <t>EUR</t>
  </si>
  <si>
    <t>KWD</t>
  </si>
  <si>
    <t>ANG</t>
  </si>
  <si>
    <t>ARY</t>
  </si>
  <si>
    <t>SKK</t>
  </si>
  <si>
    <t>ZAL</t>
  </si>
  <si>
    <t>ESP</t>
  </si>
  <si>
    <t>VUV</t>
  </si>
  <si>
    <t>AWG</t>
  </si>
  <si>
    <t>NLG</t>
  </si>
  <si>
    <t>TWD</t>
  </si>
  <si>
    <t>BRL</t>
  </si>
  <si>
    <t>CDF</t>
  </si>
  <si>
    <t>MGA</t>
  </si>
  <si>
    <t>ISJ</t>
  </si>
  <si>
    <t>MXP</t>
  </si>
  <si>
    <t>ILP</t>
  </si>
  <si>
    <t>ATS</t>
  </si>
  <si>
    <t>ZWC</t>
  </si>
  <si>
    <t>LBP</t>
  </si>
  <si>
    <t>XCD</t>
  </si>
  <si>
    <t>ZRZ</t>
  </si>
  <si>
    <t>ZMK</t>
  </si>
  <si>
    <t>ARP</t>
  </si>
  <si>
    <t>MAD</t>
  </si>
  <si>
    <t>MYR</t>
  </si>
  <si>
    <t>DKK</t>
  </si>
  <si>
    <t>LSL</t>
  </si>
  <si>
    <t>VEF</t>
  </si>
  <si>
    <t>GBP</t>
  </si>
  <si>
    <t>DOP</t>
  </si>
  <si>
    <t>AOA</t>
  </si>
  <si>
    <t>MOP</t>
  </si>
  <si>
    <t>DZD</t>
  </si>
  <si>
    <t>BYR</t>
  </si>
  <si>
    <t>STD</t>
  </si>
  <si>
    <t>SVC</t>
  </si>
  <si>
    <t>BHD</t>
  </si>
  <si>
    <t>BND</t>
  </si>
  <si>
    <t>NG1</t>
  </si>
  <si>
    <t>AON</t>
  </si>
  <si>
    <t>MGF</t>
  </si>
  <si>
    <t>BEF</t>
  </si>
  <si>
    <t>RU3</t>
  </si>
  <si>
    <t>NI3</t>
  </si>
  <si>
    <t>SZL</t>
  </si>
  <si>
    <t>CLF</t>
  </si>
  <si>
    <t>AUD</t>
  </si>
  <si>
    <t>XEU</t>
  </si>
  <si>
    <t>SGD</t>
  </si>
  <si>
    <t>OMR</t>
  </si>
  <si>
    <t>ZWD</t>
  </si>
  <si>
    <t>PAB</t>
  </si>
  <si>
    <t>MZN</t>
  </si>
  <si>
    <t>LKR</t>
  </si>
  <si>
    <t>ITL</t>
  </si>
  <si>
    <t>RWF</t>
  </si>
  <si>
    <t>AED</t>
  </si>
  <si>
    <t>EGP</t>
  </si>
  <si>
    <t>IDR</t>
  </si>
  <si>
    <t>CZK</t>
  </si>
  <si>
    <t>SDG</t>
  </si>
  <si>
    <t>IR2</t>
  </si>
  <si>
    <t>EEK</t>
  </si>
  <si>
    <t>DEM</t>
  </si>
  <si>
    <t>BMD</t>
  </si>
  <si>
    <t>ARS</t>
  </si>
  <si>
    <t>LTL</t>
  </si>
  <si>
    <t>ZRN</t>
  </si>
  <si>
    <t>YUM</t>
  </si>
  <si>
    <t>SUR</t>
  </si>
  <si>
    <t>BRN</t>
  </si>
  <si>
    <t>TRY</t>
  </si>
  <si>
    <t>YUD</t>
  </si>
  <si>
    <t>MLF</t>
  </si>
  <si>
    <t>BOP</t>
  </si>
  <si>
    <t>LAK</t>
  </si>
  <si>
    <t>GRD</t>
  </si>
  <si>
    <t>GHC</t>
  </si>
  <si>
    <t>DJF</t>
  </si>
  <si>
    <t>KMF</t>
  </si>
  <si>
    <t>BGL</t>
  </si>
  <si>
    <t>YER</t>
  </si>
  <si>
    <t>MZM</t>
  </si>
  <si>
    <t>FIM</t>
  </si>
  <si>
    <t>PKR</t>
  </si>
  <si>
    <t>YDD</t>
  </si>
  <si>
    <t>RUR</t>
  </si>
  <si>
    <t>SDD</t>
  </si>
  <si>
    <t>HRK</t>
  </si>
  <si>
    <t>PEN</t>
  </si>
  <si>
    <t>XXQ</t>
  </si>
  <si>
    <t>ARA</t>
  </si>
  <si>
    <t>XAF</t>
  </si>
  <si>
    <t>NIB</t>
  </si>
  <si>
    <t>PLZ</t>
  </si>
  <si>
    <t>GYD</t>
  </si>
  <si>
    <t>YUN</t>
  </si>
  <si>
    <t>KZT</t>
  </si>
  <si>
    <t>ILS</t>
  </si>
  <si>
    <t>SBD</t>
  </si>
  <si>
    <t>CAD</t>
  </si>
  <si>
    <t>KYD</t>
  </si>
  <si>
    <t>IQD</t>
  </si>
  <si>
    <t>ETB</t>
  </si>
  <si>
    <t>XPF</t>
  </si>
  <si>
    <t>XXD</t>
  </si>
  <si>
    <t>UAH</t>
  </si>
  <si>
    <t>BRC</t>
  </si>
  <si>
    <t>MUR</t>
  </si>
  <si>
    <t>HRD</t>
  </si>
  <si>
    <t>UYU</t>
  </si>
  <si>
    <t>BSD</t>
  </si>
  <si>
    <t>KPW</t>
  </si>
  <si>
    <t>BR9</t>
  </si>
  <si>
    <t>FJD</t>
  </si>
  <si>
    <t>XOF</t>
  </si>
  <si>
    <t>UGS</t>
  </si>
  <si>
    <t>TTD</t>
  </si>
  <si>
    <t>XXB</t>
  </si>
  <si>
    <t>WST</t>
  </si>
  <si>
    <t>GTQ</t>
  </si>
  <si>
    <t>NOK</t>
  </si>
  <si>
    <t>ECS</t>
  </si>
  <si>
    <t>BRR</t>
  </si>
  <si>
    <t>VND</t>
  </si>
  <si>
    <t>NIC</t>
  </si>
  <si>
    <t>ILR</t>
  </si>
  <si>
    <t>AOK</t>
  </si>
  <si>
    <t>PGK</t>
  </si>
  <si>
    <t>MVR</t>
  </si>
  <si>
    <t>BGN</t>
  </si>
  <si>
    <t>HTG</t>
  </si>
  <si>
    <t>BOB</t>
  </si>
  <si>
    <t>IRR</t>
  </si>
  <si>
    <t>BYB</t>
  </si>
  <si>
    <t>TND</t>
  </si>
  <si>
    <t>MRO</t>
  </si>
  <si>
    <t>AO1</t>
  </si>
  <si>
    <t>BZD</t>
  </si>
  <si>
    <t>MDL</t>
  </si>
  <si>
    <t>ZAR</t>
  </si>
  <si>
    <t>CLP</t>
  </si>
  <si>
    <t>VEB</t>
  </si>
  <si>
    <t>UAK</t>
  </si>
  <si>
    <t>SOS</t>
  </si>
  <si>
    <t>YU2</t>
  </si>
  <si>
    <t>UGX</t>
  </si>
  <si>
    <t>IEP</t>
  </si>
  <si>
    <t>LA1</t>
  </si>
  <si>
    <t>HUF</t>
  </si>
  <si>
    <t>ZR2</t>
  </si>
  <si>
    <t>XXS</t>
  </si>
  <si>
    <t>MQ1</t>
  </si>
  <si>
    <t>IR3</t>
  </si>
  <si>
    <t>INR</t>
  </si>
  <si>
    <t>KHR</t>
  </si>
  <si>
    <t>PTE</t>
  </si>
  <si>
    <t>LAJ</t>
  </si>
  <si>
    <t>GNF</t>
  </si>
  <si>
    <t>ISK</t>
  </si>
  <si>
    <t>PLN</t>
  </si>
  <si>
    <t>RON</t>
  </si>
  <si>
    <t>TOP</t>
  </si>
  <si>
    <t>currencies</t>
  </si>
  <si>
    <t>PD</t>
  </si>
  <si>
    <t>BI</t>
  </si>
  <si>
    <t>Other</t>
  </si>
  <si>
    <t>Values</t>
  </si>
  <si>
    <t>Average Rate</t>
  </si>
  <si>
    <t>Pays (net)</t>
  </si>
  <si>
    <t>GBLONTPD111</t>
  </si>
  <si>
    <t>RMS_EDM_QTE_16_09</t>
  </si>
  <si>
    <t>EDM Selection</t>
  </si>
  <si>
    <t>ACCOUNT Selection</t>
  </si>
  <si>
    <t>C_EDM_Validation_NAHU_2016</t>
  </si>
  <si>
    <t>ADARA COMMUNITIES  [CL16_CC844E16A000_07]</t>
  </si>
  <si>
    <t>C_EDM_ZIPcodes_byOccbyCon</t>
  </si>
  <si>
    <t>AION LS ADDITION - ALLSTATE  [CL15_CE186L15A000_01]</t>
  </si>
  <si>
    <t>D_EDM_AMRISC_1179_1510</t>
  </si>
  <si>
    <t>AIR PRODUCTS  [CL16_CG125F16A000_01]</t>
  </si>
  <si>
    <t>D_EDM_amrisc_CE988_1604</t>
  </si>
  <si>
    <t>ALASKA HOUSING FINANCE CORP  [CL16_CG120E16A000_01]</t>
  </si>
  <si>
    <t>D_EDM_amrisc_CE988_1607</t>
  </si>
  <si>
    <t>ASPEN HEIGHTS  [CL16_QTE18494_04]</t>
  </si>
  <si>
    <t>D_EDM_AMRISC_CE988_1610</t>
  </si>
  <si>
    <t>BASS_CF248_1607  [BASS_CF248_1607]</t>
  </si>
  <si>
    <t>D_EDM_CATALYTIC_CF064_1509</t>
  </si>
  <si>
    <t>BILOXI HOUSING AUTHORITY  [CL16_CG065V16A000_01]</t>
  </si>
  <si>
    <t>D_EDM_CATALYTIC_CF064_1511</t>
  </si>
  <si>
    <t>BMR INVESTMENTS  [CL16_CG232A16A000_01]</t>
  </si>
  <si>
    <t>D_EDM_CATALYTIC_CF064_1601</t>
  </si>
  <si>
    <t>BRAINERD CHEMICAL COMPANY  [CL16_CF729X16A004_01]</t>
  </si>
  <si>
    <t>D_EDM_CATALYTIC_CF064_1602</t>
  </si>
  <si>
    <t>BRICKPOINT  [CL16_CC844E16A000_06]</t>
  </si>
  <si>
    <t>D_EDM_CATALYTIC_CF064_1603</t>
  </si>
  <si>
    <t>BRINLY HARDY CORPORATION  [CL16_CG111G16A000_01]</t>
  </si>
  <si>
    <t>D_EDM_CATALYTIC_CF064_QTE_0115_AH</t>
  </si>
  <si>
    <t>BRITTANY FLANDERS  [CL16_QTE18538_01]</t>
  </si>
  <si>
    <t>D_EDM_CATALYTIC_CF169_1511</t>
  </si>
  <si>
    <t>BROADMOOR  [CL16_CE052H16A000_01]</t>
  </si>
  <si>
    <t>D_EDM_CATALYTIC_CF169_1601</t>
  </si>
  <si>
    <t>BROADMOOR 100K  [CL16_CE052H16A000_02]</t>
  </si>
  <si>
    <t>D_EDM_CATALYTIC_CF169_1601_EDMANALYSIS</t>
  </si>
  <si>
    <t>BROOKLINE LAND HOLDINGS  [CL16_CG126Q16A000_01]</t>
  </si>
  <si>
    <t>D_EDM_CATALYTIC_CF169_1602</t>
  </si>
  <si>
    <t>CAMILLO PROPERTIES  [CL16_CG052F16A000_01]</t>
  </si>
  <si>
    <t>D_EDM_CATALYTIC_CF169_1604</t>
  </si>
  <si>
    <t>CAMILLO PROPERTIES 1m  [CL16_CG052F16A000_02]</t>
  </si>
  <si>
    <t>D_EDM_CATALYTIC_CF169_1606</t>
  </si>
  <si>
    <t>Caravan_Club_1609  [Caravan_Club_1609]</t>
  </si>
  <si>
    <t>D_EDM_Catalytic_CF169_1607</t>
  </si>
  <si>
    <t>CASE &amp; ASSOCIATES PROPERTIES  [CL16_CC844E16A000_09]</t>
  </si>
  <si>
    <t>D_EDM_CATALYTIC_CF395_1512</t>
  </si>
  <si>
    <t>CASE &amp; ASSOCIATES PROPERTIES OP2  [CL16_CC844E16A000_10]</t>
  </si>
  <si>
    <t>D_EDM_CATALYTIC_CF395_1601</t>
  </si>
  <si>
    <t>CAYUGA NATION OF NEW YORK  [CL16_CF797C16A000_01]</t>
  </si>
  <si>
    <t>D_EDM_CATALYTIC_CF395_1602</t>
  </si>
  <si>
    <t>CCRC FARMS LLC  [CL16_CA114Z16A000_01]</t>
  </si>
  <si>
    <t>D_EDM_CATALYTIC_CF395_1604</t>
  </si>
  <si>
    <t>CCRC FARMS LLC OP2  [CL16_CA114Z16A000_02]</t>
  </si>
  <si>
    <t>D_EDM_CATALYTIC_CF395_1606</t>
  </si>
  <si>
    <t>CHEMSOLV INC  [CL16_CF729X16A005_01]</t>
  </si>
  <si>
    <t>D_EDM_CATALYTIC_CF395_EQ_1611</t>
  </si>
  <si>
    <t>CHEMSOLV INC V2  [CL16_CF729X16A005_02]</t>
  </si>
  <si>
    <t>D_EDM_CATALYTIC_CF395_EQWS_1607</t>
  </si>
  <si>
    <t>CHEMSOLV INC V3  [CL16_CF729X16A005_03]</t>
  </si>
  <si>
    <t>D_EDM_Catalytic_CF395_Quake_1607</t>
  </si>
  <si>
    <t>CHRIS_LEEF_1609  [CHRIS_LEEF_1609]</t>
  </si>
  <si>
    <t>D_EDM_Catalytic_CF395_Wind_1607</t>
  </si>
  <si>
    <t>CITY OF CEDAR RAPIDS  [CL16_CG158H16A000_01]</t>
  </si>
  <si>
    <t>D_EDM_CATALYTIC_CF395_WS_1611</t>
  </si>
  <si>
    <t>CLEMENS FAMILY CORPORATION  [CL16_CG184N16A000_01]</t>
  </si>
  <si>
    <t>D_EDM_EMERA16</t>
  </si>
  <si>
    <t>CM TUCKER  [CL16_QTE18569_01]</t>
  </si>
  <si>
    <t>D_EDM_GE_16</t>
  </si>
  <si>
    <t>COMMONWEALTH HOTELS  [CL16_CF583X16A019_01]</t>
  </si>
  <si>
    <t>D_EDM_IML_CA177_2017_EDM_ANALYSIS</t>
  </si>
  <si>
    <t>COOPERGAY_CE775_A  [COOPERGAY_CE775_A]</t>
  </si>
  <si>
    <t>D_EDM_IRM_16</t>
  </si>
  <si>
    <t>COOPERGAY_CE775_B  [COOPERGAY_CE775_B]</t>
  </si>
  <si>
    <t>D_EDM_Marlin_v15_16</t>
  </si>
  <si>
    <t>CORNERSTONE AFFILIATES  [CL16_CG165J16A000_01]</t>
  </si>
  <si>
    <t>D_EDM_PILLAR_16</t>
  </si>
  <si>
    <t>CRESCENT REAL ESTATE  [CL16_CG170Q16A000_01]</t>
  </si>
  <si>
    <t>D_EDM_PRICE_FORBES_CD562_1611</t>
  </si>
  <si>
    <t>DSL CONSTRUCTION CORP  [CL16_CF038E16A014_01]</t>
  </si>
  <si>
    <t>D_EDM_PRICEFORBES_CD562_1510</t>
  </si>
  <si>
    <t>DTI INVESTMENTS 2%NWS  [CL16_CG172K16A000_01]</t>
  </si>
  <si>
    <t>D_EDM_PriceForbes_CE407_1603</t>
  </si>
  <si>
    <t>DTI INVESTMENTS 3%NWS  [CL16_CG172K16A000_02]</t>
  </si>
  <si>
    <t>D_EDM_SCSBIT_15</t>
  </si>
  <si>
    <t>DTI INVESTMENTS UPDATED OP1  [CL16_CG172K16A000_03]</t>
  </si>
  <si>
    <t>D_EDM_SDAO_2016</t>
  </si>
  <si>
    <t>DTI INVESTMENTS UPDATED OP2  [CL16_CG172K16A000_04]</t>
  </si>
  <si>
    <t>D_EDM_SHOPPING_CENTER_MANAGEMENT_2016</t>
  </si>
  <si>
    <t>FEDERAL REALTY INVESTMENT TRUST  [CL16_CB437N16A000_01]</t>
  </si>
  <si>
    <t>D_EDM_StateofLA_15</t>
  </si>
  <si>
    <t>GARDNER TANENBAUM GROUP  [CL16_CG173Z16A000_01]</t>
  </si>
  <si>
    <t>D_EDM_THB_ASRU</t>
  </si>
  <si>
    <t>GOODE COMPANY  [CL16_CG118E16A000_01]</t>
  </si>
  <si>
    <t>D_EDM_TML_15</t>
  </si>
  <si>
    <t>GRAN  [CL16_CG209A16A000_01]</t>
  </si>
  <si>
    <t>D_EDM_TML_16</t>
  </si>
  <si>
    <t>GRF OF LAGUNA WOODS OP1  [CL16_CG119N16A000_01]</t>
  </si>
  <si>
    <t>D_EDM_XYIELD_1610</t>
  </si>
  <si>
    <t>GRF OF LAGUNA WOODS OP2  [CL16_CG119N16A000_02]</t>
  </si>
  <si>
    <t>D_EDM_XYIELD_1610_2</t>
  </si>
  <si>
    <t>GRISHAM FARM PRODUCTS  [CL16_CG218X16A000_01]</t>
  </si>
  <si>
    <t>IED2008_JPEFEI_CT_JPY_EDM110</t>
  </si>
  <si>
    <t>HAMMERSMITH PORTFOLIO PROGRAM  [CL16_CC844E16A000_01]</t>
  </si>
  <si>
    <t>IED2008_JPEQ_CT_JPY_EDM110</t>
  </si>
  <si>
    <t>HERITAGE MANAGEMENT GROUP  [CL16_CG135L16A000_01]</t>
  </si>
  <si>
    <t>IED2008_JPTY_CT_JPY_EDM110</t>
  </si>
  <si>
    <t>JBG PROPERTIES  [CL16_CG093X16A000_01]</t>
  </si>
  <si>
    <t>IED2011_CACS_PC_CAD_EDM110</t>
  </si>
  <si>
    <t>JK PROPERTIES  [CL16_CC844E16A000_03]</t>
  </si>
  <si>
    <t>IED2011_CAEQ_PC_CAD_EDM110</t>
  </si>
  <si>
    <t>KESSINGER HUNTER  [CL16_CG116H16A000_01]</t>
  </si>
  <si>
    <t>IED2011_CAFF_PC_CAD_EDM110</t>
  </si>
  <si>
    <t>KNIGHTVEST HOLDINGS TRIDEN  [CL16_CE578Q16A000_01]</t>
  </si>
  <si>
    <t>IED2011_CAWT_PC_CAD_EDM110</t>
  </si>
  <si>
    <t>KONOCTI EX FLAKE  [CL16_CG153G16A000_02]</t>
  </si>
  <si>
    <t>IED2011_CBWS_CY_USD_EDM110</t>
  </si>
  <si>
    <t>KONOCTI HARBOR RESORT AND SPA  [CL16_CG153G16A000_01]</t>
  </si>
  <si>
    <t>IED2011_EUWS_PC_EUR_EDM110</t>
  </si>
  <si>
    <t>LINDAU CHEMICALS OP1  [CL16_CF729X16A006_01]</t>
  </si>
  <si>
    <t>IED2011_EUWS_PC_MIX_EDM110</t>
  </si>
  <si>
    <t>LINDAU CHEMICALS OP2  [CL16_CF729X16A006_02]</t>
  </si>
  <si>
    <t>IED2011_UKFL_PC_GBP_EDM110</t>
  </si>
  <si>
    <t>LOGANS ROADHOUSE  [CL16_CG190F16A000_01]</t>
  </si>
  <si>
    <t>IED2011_USCS_CY_USD_EDM110</t>
  </si>
  <si>
    <t>MC RESIDENTIAL COMMUNITIES  [CL16_CE079X16A000_01]</t>
  </si>
  <si>
    <t>IED2011_USCS_PC_USD_EDM110</t>
  </si>
  <si>
    <t>MFA HALEKULANI CORP  [CL16_CG130K16A000_01]</t>
  </si>
  <si>
    <t>IED2011_USEQ_CY_USD_EDM110</t>
  </si>
  <si>
    <t>MONOGRAM FOOD  [CL16_CG157A16A000_01]</t>
  </si>
  <si>
    <t>IED2011_USEQ_PC_USD_EDM110</t>
  </si>
  <si>
    <t>NATIONAL BEEF  [CL16_CC245S16A000_01]</t>
  </si>
  <si>
    <t>IED2011_USFF_CY_USD_EDM110</t>
  </si>
  <si>
    <t>NAVAJO NATION  [CL16_CG144J16A000_01]</t>
  </si>
  <si>
    <t>IED2011_USFF_PC_USD_EDM110</t>
  </si>
  <si>
    <t>NPC INTERNATIONAL  [CL16_CB428S16A000_01]</t>
  </si>
  <si>
    <t>IED2011_USHU_CY_USD_EDM110</t>
  </si>
  <si>
    <t>OMNITRAX NON BRIDGE  [CL16_CG138V16A000_11]</t>
  </si>
  <si>
    <t>IED2011_USHU_PC_USD_EDM110</t>
  </si>
  <si>
    <t>OMNITRAX OPTION 1  [CL16_CG138V16A000_01]</t>
  </si>
  <si>
    <t>IED2011_USWC_PC_USD_EDM110</t>
  </si>
  <si>
    <t>OMNITRAX OPTION 2  [CL16_CG138V16A000_02]</t>
  </si>
  <si>
    <t>IED2011_USWC_PC_USD_RDM110</t>
  </si>
  <si>
    <t>OMNITRAX OPTION 3  [CL16_CG138V16A000_03]</t>
  </si>
  <si>
    <t>IED2011_USWT_CY_USD_EDM110</t>
  </si>
  <si>
    <t>PAR PACIFIC HOLDINGS  [CL16_CD955K16A000_01]</t>
  </si>
  <si>
    <t>IED2011_USWT_PC_USD_EDM110</t>
  </si>
  <si>
    <t>PAR PACIFIC HOLDINGS UPDATE  [CL16_CD955K16A000_02]</t>
  </si>
  <si>
    <t>IED2013_USOP_USD_EDM110</t>
  </si>
  <si>
    <t>PARDUE MANAGEMENT  [CL16_CE764B16A000_01]</t>
  </si>
  <si>
    <t>RMS_EDM_BRD_DF</t>
  </si>
  <si>
    <t>Patch Test  [Patch_Test]</t>
  </si>
  <si>
    <t>RMS_EDM_QTE_15_01</t>
  </si>
  <si>
    <t>PRAEDIUM FUNDS  [CL16_CG076K16A000_01]</t>
  </si>
  <si>
    <t>RMS_EDM_QTE_15_02</t>
  </si>
  <si>
    <t>PRC GROUP  [CL16_CG109G16A000_01]</t>
  </si>
  <si>
    <t>RMS_EDM_QTE_15_02_PD40</t>
  </si>
  <si>
    <t>PRESIDIUM ADDITION - WINDSOR HOUSE  [CL16_CF334K16A000_02]</t>
  </si>
  <si>
    <t>RMS_EDM_QTE_15_03</t>
  </si>
  <si>
    <t>PRESIDIUM ADDITIONS HOUSTON  [CL16_CF334K16A000_03]</t>
  </si>
  <si>
    <t>RMS_EDM_QTE_15_03_PD40</t>
  </si>
  <si>
    <t>PRESIDIUM ADDITIONS HOUSTON 2% NWS  [CL16_CF334K16A000_04]</t>
  </si>
  <si>
    <t>RMS_EDM_QTE_15_04</t>
  </si>
  <si>
    <t>PRESIDIUM MANAGEMENT ADDITIONS  [CL16_CF334K16A000_01]</t>
  </si>
  <si>
    <t>RMS_EDM_QTE_15_04_PD40</t>
  </si>
  <si>
    <t>PRINCETON ENTERPRISES  [CL16_CC844E16A000_04]</t>
  </si>
  <si>
    <t>RMS_EDM_QTE_15_05</t>
  </si>
  <si>
    <t>PRINCETON ENTERPRISES OP2  [CL16_CC844E16A000_05]</t>
  </si>
  <si>
    <t>RMS_EDM_QTE_15_05_PD40</t>
  </si>
  <si>
    <t>PURE US APARTMENTS  [CL16_CC844E16A000_08]</t>
  </si>
  <si>
    <t>RMS_EDM_QTE_15_06</t>
  </si>
  <si>
    <t>QK INC  [CL16_CG117V16A000_01]</t>
  </si>
  <si>
    <t>RMS_EDM_QTE_15_06_2015_06_05</t>
  </si>
  <si>
    <t>RHP PROPERTIES  [CL16_CC313Q16A000_01]</t>
  </si>
  <si>
    <t>RMS_EDM_QTE_15_06_2015_06_05_PD40</t>
  </si>
  <si>
    <t>S2 ADDITION - TRINITY PLACE  [CL16_CF581B16A000_01]</t>
  </si>
  <si>
    <t>RMS_EDM_QTE_15_06_PD40</t>
  </si>
  <si>
    <t>SC MUNICIPAL INSURANCE FUND  [CL16_CG194Z17A000_01]</t>
  </si>
  <si>
    <t>RMS_EDM_QTE_15_06A</t>
  </si>
  <si>
    <t>STATER BROS  [CL16_CG084A16A000_01]</t>
  </si>
  <si>
    <t>RMS_EDM_QTE_15_07</t>
  </si>
  <si>
    <t>SUNSHINE ACE HARDWARE  [CL16_CG137H16A000_01]</t>
  </si>
  <si>
    <t>RMS_EDM_QTE_15_07_B</t>
  </si>
  <si>
    <t>SWANSON GROUP  [CL16_CE737H16A000_01]</t>
  </si>
  <si>
    <t>RMS_EDM_QTE_15_07_B_PD40</t>
  </si>
  <si>
    <t>Tasker_1608  [Tasker_1608]</t>
  </si>
  <si>
    <t>RMS_EDM_QTE_15_07_PD40</t>
  </si>
  <si>
    <t>THOMPSON MICHIE  [CL16_CC844E16A000_02]</t>
  </si>
  <si>
    <t>RMS_EDM_QTE_15_08</t>
  </si>
  <si>
    <t>TOMY HOLDINGS  [CL16_CG163N16A000_01]</t>
  </si>
  <si>
    <t>RMS_EDM_QTE_15_08_C</t>
  </si>
  <si>
    <t>US HOTEL &amp; RESORT MANAGEMENT  [CL16_CF583X16A020_01]</t>
  </si>
  <si>
    <t>RMS_EDM_QTE_15_08_PD40</t>
  </si>
  <si>
    <t>VISHAY INTERTECHNOLOGY, INC  [CL16_CA216H16A000_01]</t>
  </si>
  <si>
    <t>RMS_EDM_QTE_15_09_C</t>
  </si>
  <si>
    <t>WESTERN STATES  [CL16_CE258D16A022_01]</t>
  </si>
  <si>
    <t>RMS_EDM_QTE_15_10</t>
  </si>
  <si>
    <t>Wisemans_1608  [Wisemans_1608]</t>
  </si>
  <si>
    <t>RMS_EDM_QTE_15_11</t>
  </si>
  <si>
    <t>RMS_EDM_QTE_15_12</t>
  </si>
  <si>
    <t>RMS_EDM_QTE_15_12_2015_06_05</t>
  </si>
  <si>
    <t>RMS_EDM_QTE_16_01</t>
  </si>
  <si>
    <t>RMS_EDM_QTE_16_02</t>
  </si>
  <si>
    <t>RMS_EDM_QTE_16_03</t>
  </si>
  <si>
    <t>RMS_EDM_QTE_16_03_AIR</t>
  </si>
  <si>
    <t>RMS_EDM_QTE_16_04</t>
  </si>
  <si>
    <t>RMS_EDM_QTE_16_04_AIR</t>
  </si>
  <si>
    <t>RMS_EDM_QTE_16_04_B</t>
  </si>
  <si>
    <t>RMS_EDM_QTE_16_04_C</t>
  </si>
  <si>
    <t>RMS_EDM_QTE_16_05</t>
  </si>
  <si>
    <t>RMS_EDM_QTE_16_05_AIR</t>
  </si>
  <si>
    <t>RMS_EDM_QTE_16_06</t>
  </si>
  <si>
    <t>RMS_EDM_QTE_16_06_AIR</t>
  </si>
  <si>
    <t>RMS_EDM_QTE_16_06_v2</t>
  </si>
  <si>
    <t>RMS_EDM_QTE_16_07</t>
  </si>
  <si>
    <t>RMS_EDM_QTE_16_07_AIR</t>
  </si>
  <si>
    <t>RMS_EDM_QTE_16_08</t>
  </si>
  <si>
    <t>RMS_EDM_QTE_16_08_AIR</t>
  </si>
  <si>
    <t>RMS_EDM_QTE_16_09_AIR</t>
  </si>
  <si>
    <t>RMS_EDM_QTE_16_10</t>
  </si>
  <si>
    <t>RMS_EDM_QTE_16_10_AIR</t>
  </si>
  <si>
    <t>RMS_EDM_QTE_16_11</t>
  </si>
  <si>
    <t>RMS_EDM_QTE_16_11_AIR</t>
  </si>
  <si>
    <t>RMS_EDM_QTE_16_12</t>
  </si>
  <si>
    <t>RMS_EDM_QTE_16_12_AIR</t>
  </si>
  <si>
    <t>RMS_EDM_QTE_17_01</t>
  </si>
  <si>
    <t>RMS_EDM_QTE_17_01_AIR</t>
  </si>
  <si>
    <t>RMS_EDM_QTE_17_02</t>
  </si>
  <si>
    <t>RMS_EDM_QTE_17_02_AIR</t>
  </si>
  <si>
    <t>RMS_EDM_QTE_17_03</t>
  </si>
  <si>
    <t>RMS_EDM_QTE_17_03_AIR</t>
  </si>
  <si>
    <t>RMS_EDM_QTE_17_04</t>
  </si>
  <si>
    <t>RMS_EDM_QTE_17_04_AIR</t>
  </si>
  <si>
    <t>RMS_EDM_QTE_17_05</t>
  </si>
  <si>
    <t>RMS_EDM_QTE_17_05_AIR</t>
  </si>
  <si>
    <t>RMS_EDM_QTE_17_06</t>
  </si>
  <si>
    <t>RMS_EDM_QTE_17_06_AIR</t>
  </si>
  <si>
    <t>RMS_EDM_QTE_17_07</t>
  </si>
  <si>
    <t>RMS_EDM_QTE_17_07_AIR</t>
  </si>
  <si>
    <t>RMS_EDM_QTE_17_08</t>
  </si>
  <si>
    <t>RMS_EDM_QTE_17_08_AIR</t>
  </si>
  <si>
    <t>RMS_EDM_QTE_17_09</t>
  </si>
  <si>
    <t>RMS_EDM_QTE_17_09_AIR</t>
  </si>
  <si>
    <t>RMS_EDM_QTE_17_10</t>
  </si>
  <si>
    <t>RMS_EDM_QTE_17_10_AIR</t>
  </si>
  <si>
    <t>RMS_EDM_QTE_17_11</t>
  </si>
  <si>
    <t>RMS_EDM_QTE_17_11_AIR</t>
  </si>
  <si>
    <t>RMS_EDM_QTE_17_12</t>
  </si>
  <si>
    <t>RMS_EDM_QTE_17_12_AIR</t>
  </si>
  <si>
    <t>RMS_EDM_QTE_AH</t>
  </si>
  <si>
    <t>RMS_EDM_QTE_BR</t>
  </si>
  <si>
    <t>W_EDM_NationalInterstate_2016</t>
  </si>
  <si>
    <t>SQL Statement</t>
  </si>
  <si>
    <t>SELECT name 'EDM Selection' FROM master.dbo.sysdatabases  sys 
WHERE (name LIKE 'C_EDM_%' or  name LIKE 'D_EDM_%' OR  name LIKE 'W_EDM%' OR name LIKE 'RMS_EDM_QTE%' OR name LIKE 'RMS_EDM_BRD_DF' OR name LIKE 'IED%')</t>
  </si>
  <si>
    <t>Server (&amp;server&amp;)</t>
  </si>
  <si>
    <t>Database (&amp;db&amp;)</t>
  </si>
  <si>
    <t>master</t>
  </si>
  <si>
    <t>User</t>
  </si>
  <si>
    <t>lmteam</t>
  </si>
  <si>
    <t>Password</t>
  </si>
  <si>
    <t>taolmr77</t>
  </si>
  <si>
    <t>SheetName</t>
  </si>
  <si>
    <t>INTRODUCTION</t>
  </si>
  <si>
    <t>DataTable</t>
  </si>
  <si>
    <t>Data_for_EDM</t>
  </si>
  <si>
    <t xml:space="preserve">SELECT name 'EDM Selection' FROM master.dbo.sysdatabases  sys 
WHERE (name LIKE 'B_EDM_%' or  name LIKE 'C_EDM_%' or  name LIKE 'D_EDM_%' OR  name LIKE 'W_EDM%' OR name LIKE 'RMS_EDM_QTE%' OR name LIKE 'IED%')
</t>
  </si>
  <si>
    <t>Server</t>
  </si>
  <si>
    <t>EDM</t>
  </si>
  <si>
    <t>RDM</t>
  </si>
  <si>
    <t>RMS Account Link</t>
  </si>
  <si>
    <t>Experience Rating</t>
  </si>
  <si>
    <t>Base Rating</t>
  </si>
  <si>
    <t>rms_user</t>
  </si>
  <si>
    <t>rms_password</t>
  </si>
  <si>
    <t>GBLONTPD40</t>
  </si>
  <si>
    <t>GBLONTPD40\RMS2</t>
  </si>
  <si>
    <t>GBLONTPD41</t>
  </si>
  <si>
    <t>GBLONTPD42</t>
  </si>
  <si>
    <t>GBLONTPD110</t>
  </si>
  <si>
    <t>Server Selection</t>
  </si>
  <si>
    <t xml:space="preserve">SELECT ac.ACCGRPNAME + '  [' + ac.ACCGRPNUM + ']' AS  'ACCOUNT Selection'
FROM [&amp;db&amp;]..ACCGRP AC
&amp;where&amp;
GROUP BY ac.ACCGRPNAME + '  [' + ac.ACCGRPNUM + ']' ORDER BY ac.ACCGRPNAME + '  [' + ac.ACCGRPNUM + ']'
</t>
  </si>
  <si>
    <t>&amp;where&amp;</t>
  </si>
  <si>
    <t xml:space="preserve">SELECT ac.ACCGRPNAME + '  (' + ac.ACCGRPNUM + ')' AS  'ACCOUNT Selection'
FROM [B_EDM_ARROWHEAD_0507]..ACCGRP AC
&amp;where&amp;
GROUP BY ac.ACCGRPNAME + '  (' + ac.ACCGRPNUM + ')'
</t>
  </si>
  <si>
    <t xml:space="preserve">SELECT ac.ACCGRPNAME + '  [' + ac.ACCGRPNUM + ']' AS  'ACCOUNT Selection'
FROM [RMS_EDM_QTE_16_09]..ACCGRP AC
GROUP BY ac.ACCGRPNAME + '  [' + ac.ACCGRPNUM + ']' ORDER BY ac.ACCGRPNAME + '  [' + ac.ACCGRPNUM + ']'
</t>
  </si>
  <si>
    <t>Account</t>
  </si>
  <si>
    <t>values</t>
  </si>
  <si>
    <t>edm_names</t>
  </si>
  <si>
    <t>accounts</t>
  </si>
  <si>
    <t>curve_name</t>
  </si>
  <si>
    <t>Physicians A - Actuarial</t>
  </si>
  <si>
    <t>Surgeons A - Actuarial</t>
  </si>
  <si>
    <t>Physicians B - Actuarial</t>
  </si>
  <si>
    <t>Surgeons B - Actuarial</t>
  </si>
  <si>
    <t>Physicians C - Actuarial</t>
  </si>
  <si>
    <t>Surgeons C - Actuarial</t>
  </si>
  <si>
    <t>Physicians Multistate - Actuarial</t>
  </si>
  <si>
    <t>Surgeons Multistate - Actuarial</t>
  </si>
  <si>
    <t>Low - Hazard Group A</t>
  </si>
  <si>
    <t>Low - Hazard Group B</t>
  </si>
  <si>
    <t>Low - Hazard Group C</t>
  </si>
  <si>
    <t>Low - Hazard Group D</t>
  </si>
  <si>
    <t>Low - Hazard Group E</t>
  </si>
  <si>
    <t>Low - Hazard Group F</t>
  </si>
  <si>
    <t>Low - Hazard Group G</t>
  </si>
  <si>
    <t>Medium - Hazard Group A</t>
  </si>
  <si>
    <t>Medium - Hazard Group B</t>
  </si>
  <si>
    <t>Medium - Hazard Group C</t>
  </si>
  <si>
    <t>Medium - Hazard Group D</t>
  </si>
  <si>
    <t>Medium - Hazard Group E</t>
  </si>
  <si>
    <t>Medium - Hazard Group F</t>
  </si>
  <si>
    <t>Medium - Hazard Group G</t>
  </si>
  <si>
    <t>High - Hazard Group A</t>
  </si>
  <si>
    <t>High - Hazard Group B</t>
  </si>
  <si>
    <t>High - Hazard Group C</t>
  </si>
  <si>
    <t>High - Hazard Group D</t>
  </si>
  <si>
    <t>High - Hazard Group E</t>
  </si>
  <si>
    <t>High - Hazard Group F</t>
  </si>
  <si>
    <t>High - Hazard Group G</t>
  </si>
  <si>
    <t>Countrywide - Hazard Group A</t>
  </si>
  <si>
    <t>Countrywide - Hazard Group B</t>
  </si>
  <si>
    <t>Countrywide - Hazard Group C</t>
  </si>
  <si>
    <t>Countrywide - Hazard Group D</t>
  </si>
  <si>
    <t>Countrywide - Hazard Group E</t>
  </si>
  <si>
    <t>Countrywide - Hazard Group F</t>
  </si>
  <si>
    <t>Countrywide - Hazard Group G</t>
  </si>
  <si>
    <t>PI - Lawyers</t>
  </si>
  <si>
    <t>Hosp - State Group 1 - Prem</t>
  </si>
  <si>
    <t>Hosp - State Group 1 - Loss</t>
  </si>
  <si>
    <t>Hosp - State Group 2 - Prem</t>
  </si>
  <si>
    <t>Hosp - State Group 2 - Loss</t>
  </si>
  <si>
    <t>Hosp - State Group 3 - Prem</t>
  </si>
  <si>
    <t>Hosp - State Group 3 - Loss</t>
  </si>
  <si>
    <t>Countrywide - 1M MAOL - A</t>
  </si>
  <si>
    <t>Countrywide - 1M MAOL - B</t>
  </si>
  <si>
    <t>Countrywide - 1M MAOL - C</t>
  </si>
  <si>
    <t>Countrywide - 1M MAOL - D</t>
  </si>
  <si>
    <t>Countrywide - 1M MAOL - E</t>
  </si>
  <si>
    <t>Countrywide - 1M MAOL - F</t>
  </si>
  <si>
    <t>Countrywide - 1M MAOL - G</t>
  </si>
  <si>
    <t>Countrywide - 3M MAOL - A</t>
  </si>
  <si>
    <t>Countrywide - 3M MAOL - B</t>
  </si>
  <si>
    <t>Countrywide - 3M MAOL - C</t>
  </si>
  <si>
    <t>Countrywide - 3M MAOL - D</t>
  </si>
  <si>
    <t>Countrywide - 3M MAOL - E</t>
  </si>
  <si>
    <t>Countrywide - 3M MAOL - F</t>
  </si>
  <si>
    <t>Countrywide - 3M MAOL - G</t>
  </si>
  <si>
    <t>Countrywide - 5M MAOL - A</t>
  </si>
  <si>
    <t>Countrywide - 5M MAOL - B</t>
  </si>
  <si>
    <t>Countrywide - 5M MAOL - C</t>
  </si>
  <si>
    <t>Countrywide - 5M MAOL - D</t>
  </si>
  <si>
    <t>Countrywide - 5M MAOL - E</t>
  </si>
  <si>
    <t>Countrywide - 5M MAOL - F</t>
  </si>
  <si>
    <t>Countrywide - 5M MAOL - G</t>
  </si>
  <si>
    <t>Countrywide - 7.5M MAOL - A</t>
  </si>
  <si>
    <t>Countrywide - 7.5M MAOL - B</t>
  </si>
  <si>
    <t>Countrywide - 7.5M MAOL - C</t>
  </si>
  <si>
    <t>Countrywide - 7.5M MAOL - D</t>
  </si>
  <si>
    <t>Countrywide - 7.5M MAOL - E</t>
  </si>
  <si>
    <t>Countrywide - 7.5M MAOL - F</t>
  </si>
  <si>
    <t>Countrywide - 7.5M MAOL - G</t>
  </si>
  <si>
    <t>Countrywide - 10M MAOL - A</t>
  </si>
  <si>
    <t>Countrywide - 10M MAOL - B</t>
  </si>
  <si>
    <t>Countrywide - 10M MAOL - C</t>
  </si>
  <si>
    <t>Countrywide - 10M MAOL - D</t>
  </si>
  <si>
    <t>Countrywide - 10M MAOL - E</t>
  </si>
  <si>
    <t>Countrywide - 10M MAOL - F</t>
  </si>
  <si>
    <t>Countrywide - 10M MAOL - G</t>
  </si>
  <si>
    <t>Countrywide - 20M MAOL - A</t>
  </si>
  <si>
    <t>Countrywide - 20M MAOL - B</t>
  </si>
  <si>
    <t>Countrywide - 20M MAOL - C</t>
  </si>
  <si>
    <t>Countrywide - 20M MAOL - D</t>
  </si>
  <si>
    <t>Countrywide - 20M MAOL - E</t>
  </si>
  <si>
    <t>Countrywide - 20M MAOL - F</t>
  </si>
  <si>
    <t>Countrywide - 20M MAOL - G</t>
  </si>
  <si>
    <t>UW CAWC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</si>
</sst>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_ ;\-0\ "/>
    <numFmt numFmtId="165" formatCode="0.0%"/>
    <numFmt numFmtId="166" formatCode="_-* #,##0_-;\-* #,##0_-;_-* &quot;-&quot;??_-;_-@_-"/>
    <numFmt numFmtId="167" formatCode="_-* #,##0.000_-;\-* #,##0.000_-;_-* &quot;-&quot;??_-;_-@_-"/>
    <numFmt numFmtId="168" formatCode="0.0000%"/>
    <numFmt numFmtId="169" formatCode="#,##0_ ;\-#,##0\ "/>
    <numFmt numFmtId="170" formatCode="_(&quot;$&quot;* #,##0.00_);_(&quot;$&quot;* \(#,##0.00\);_(&quot;$&quot;* &quot;-&quot;??_);_(@_)"/>
  </numFmts>
  <fonts count="40" x14ac:knownFonts="1">
    <font>
      <sz val="8"/>
      <color theme="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33333"/>
      <name val="Trebuchet MS"/>
      <family val="2"/>
    </font>
    <font>
      <sz val="8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10"/>
      <color theme="1"/>
      <name val="Arial"/>
      <family val="2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7"/>
      <color indexed="81"/>
      <name val="Calibri"/>
      <family val="2"/>
      <scheme val="minor"/>
    </font>
    <font>
      <sz val="9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68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7" borderId="0" applyNumberFormat="0" applyBorder="0" applyAlignment="0" applyProtection="0"/>
    <xf numFmtId="0" fontId="21" fillId="11" borderId="0" applyNumberFormat="0" applyBorder="0" applyAlignment="0" applyProtection="0"/>
    <xf numFmtId="0" fontId="22" fillId="28" borderId="11" applyNumberFormat="0" applyAlignment="0" applyProtection="0"/>
    <xf numFmtId="0" fontId="23" fillId="29" borderId="12" applyNumberFormat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9" fillId="0" borderId="15" applyNumberFormat="0" applyFill="0" applyAlignment="0" applyProtection="0"/>
    <xf numFmtId="0" fontId="29" fillId="0" borderId="0" applyNumberFormat="0" applyFill="0" applyBorder="0" applyAlignment="0" applyProtection="0"/>
    <xf numFmtId="0" fontId="30" fillId="15" borderId="11" applyNumberFormat="0" applyAlignment="0" applyProtection="0"/>
    <xf numFmtId="0" fontId="31" fillId="0" borderId="16" applyNumberFormat="0" applyFill="0" applyAlignment="0" applyProtection="0"/>
    <xf numFmtId="0" fontId="32" fillId="30" borderId="0" applyNumberFormat="0" applyBorder="0" applyAlignment="0" applyProtection="0"/>
    <xf numFmtId="0" fontId="33" fillId="0" borderId="0"/>
    <xf numFmtId="0" fontId="24" fillId="31" borderId="17" applyNumberFormat="0" applyFont="0" applyAlignment="0" applyProtection="0"/>
    <xf numFmtId="0" fontId="34" fillId="28" borderId="18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9" applyNumberFormat="0" applyFill="0" applyAlignment="0" applyProtection="0"/>
    <xf numFmtId="0" fontId="37" fillId="0" borderId="0" applyNumberFormat="0" applyFill="0" applyBorder="0" applyAlignment="0" applyProtection="0"/>
    <xf numFmtId="0" fontId="24" fillId="0" borderId="0"/>
  </cellStyleXfs>
  <cellXfs count="121">
    <xf numFmtId="0" fontId="0" fillId="0" borderId="0" xfId="0"/>
    <xf numFmtId="0" fontId="5" fillId="3" borderId="1" xfId="0" applyFont="1" applyFill="1" applyBorder="1" applyAlignment="1">
      <alignment horizontal="left" vertical="center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0" fillId="0" borderId="0" xfId="0" applyAlignment="1">
      <alignment horizontal="center"/>
    </xf>
    <xf numFmtId="14" fontId="6" fillId="4" borderId="2" xfId="0" applyNumberFormat="1" applyFont="1" applyFill="1" applyBorder="1" applyAlignment="1" applyProtection="1">
      <alignment horizontal="center" vertical="center"/>
      <protection locked="0"/>
    </xf>
    <xf numFmtId="164" fontId="8" fillId="5" borderId="1" xfId="1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right"/>
    </xf>
    <xf numFmtId="0" fontId="2" fillId="0" borderId="0" xfId="0" applyFont="1"/>
    <xf numFmtId="3" fontId="2" fillId="0" borderId="0" xfId="0" applyNumberFormat="1" applyFont="1"/>
    <xf numFmtId="0" fontId="2" fillId="4" borderId="0" xfId="0" applyFont="1" applyFill="1"/>
    <xf numFmtId="3" fontId="0" fillId="0" borderId="0" xfId="0" applyNumberFormat="1"/>
    <xf numFmtId="0" fontId="0" fillId="4" borderId="0" xfId="0" applyFill="1"/>
    <xf numFmtId="0" fontId="9" fillId="0" borderId="0" xfId="2" applyProtection="1">
      <protection locked="0"/>
    </xf>
    <xf numFmtId="0" fontId="9" fillId="0" borderId="0" xfId="2"/>
    <xf numFmtId="0" fontId="5" fillId="3" borderId="1" xfId="0" applyFont="1" applyFill="1" applyBorder="1" applyAlignment="1" applyProtection="1">
      <alignment horizontal="left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3" fontId="6" fillId="5" borderId="2" xfId="0" applyNumberFormat="1" applyFont="1" applyFill="1" applyBorder="1" applyAlignment="1" applyProtection="1">
      <alignment horizontal="center" vertical="center"/>
    </xf>
    <xf numFmtId="14" fontId="6" fillId="5" borderId="2" xfId="0" applyNumberFormat="1" applyFont="1" applyFill="1" applyBorder="1" applyAlignment="1" applyProtection="1">
      <alignment horizontal="center" vertical="center"/>
    </xf>
    <xf numFmtId="0" fontId="10" fillId="0" borderId="0" xfId="2" applyFont="1" applyAlignment="1" applyProtection="1">
      <alignment horizontal="center"/>
      <protection locked="0"/>
    </xf>
    <xf numFmtId="0" fontId="11" fillId="0" borderId="0" xfId="3"/>
    <xf numFmtId="0" fontId="6" fillId="0" borderId="1" xfId="3" applyFont="1" applyBorder="1"/>
    <xf numFmtId="165" fontId="6" fillId="4" borderId="1" xfId="4" applyNumberFormat="1" applyFont="1" applyFill="1" applyBorder="1" applyAlignment="1">
      <alignment horizontal="center" vertical="center"/>
    </xf>
    <xf numFmtId="166" fontId="12" fillId="0" borderId="1" xfId="3" applyNumberFormat="1" applyFont="1" applyFill="1" applyBorder="1" applyAlignment="1" applyProtection="1">
      <alignment horizontal="right" vertical="center"/>
    </xf>
    <xf numFmtId="0" fontId="6" fillId="7" borderId="1" xfId="3" applyFont="1" applyFill="1" applyBorder="1" applyAlignment="1" applyProtection="1">
      <alignment vertical="center"/>
      <protection locked="0"/>
    </xf>
    <xf numFmtId="0" fontId="6" fillId="7" borderId="1" xfId="3" applyFont="1" applyFill="1" applyBorder="1" applyAlignment="1">
      <alignment vertical="center"/>
    </xf>
    <xf numFmtId="0" fontId="5" fillId="3" borderId="1" xfId="3" applyFont="1" applyFill="1" applyBorder="1" applyAlignment="1" applyProtection="1">
      <alignment horizontal="center" vertical="center"/>
    </xf>
    <xf numFmtId="0" fontId="5" fillId="3" borderId="1" xfId="3" applyFont="1" applyFill="1" applyBorder="1" applyAlignment="1" applyProtection="1">
      <alignment horizontal="center" vertical="center" wrapText="1"/>
    </xf>
    <xf numFmtId="0" fontId="5" fillId="3" borderId="1" xfId="3" applyFont="1" applyFill="1" applyBorder="1" applyAlignment="1" applyProtection="1">
      <alignment horizontal="center" vertical="center" wrapText="1"/>
      <protection locked="0"/>
    </xf>
    <xf numFmtId="0" fontId="13" fillId="7" borderId="1" xfId="3" applyFont="1" applyFill="1" applyBorder="1" applyAlignment="1">
      <alignment horizontal="center" vertical="center"/>
    </xf>
    <xf numFmtId="0" fontId="8" fillId="4" borderId="1" xfId="3" applyFont="1" applyFill="1" applyBorder="1" applyAlignment="1" applyProtection="1">
      <alignment horizontal="center" vertical="center"/>
      <protection locked="0"/>
    </xf>
    <xf numFmtId="166" fontId="8" fillId="4" borderId="1" xfId="5" applyNumberFormat="1" applyFont="1" applyFill="1" applyBorder="1" applyAlignment="1" applyProtection="1">
      <alignment vertical="center"/>
      <protection locked="0"/>
    </xf>
    <xf numFmtId="165" fontId="8" fillId="8" borderId="1" xfId="3" applyNumberFormat="1" applyFont="1" applyFill="1" applyBorder="1" applyAlignment="1" applyProtection="1">
      <alignment vertical="center"/>
    </xf>
    <xf numFmtId="167" fontId="8" fillId="8" borderId="1" xfId="5" applyNumberFormat="1" applyFont="1" applyFill="1" applyBorder="1" applyAlignment="1" applyProtection="1">
      <alignment vertical="center"/>
    </xf>
    <xf numFmtId="166" fontId="8" fillId="8" borderId="1" xfId="3" applyNumberFormat="1" applyFont="1" applyFill="1" applyBorder="1" applyAlignment="1" applyProtection="1">
      <alignment vertical="center"/>
    </xf>
    <xf numFmtId="166" fontId="8" fillId="4" borderId="1" xfId="3" applyNumberFormat="1" applyFont="1" applyFill="1" applyBorder="1" applyAlignment="1" applyProtection="1">
      <alignment vertical="center"/>
      <protection locked="0"/>
    </xf>
    <xf numFmtId="0" fontId="5" fillId="7" borderId="1" xfId="3" applyFont="1" applyFill="1" applyBorder="1" applyAlignment="1" applyProtection="1">
      <alignment horizontal="center" vertical="center"/>
    </xf>
    <xf numFmtId="0" fontId="8" fillId="7" borderId="1" xfId="3" applyFont="1" applyFill="1" applyBorder="1" applyAlignment="1" applyProtection="1">
      <alignment horizontal="center" vertical="center"/>
      <protection locked="0"/>
    </xf>
    <xf numFmtId="166" fontId="8" fillId="7" borderId="1" xfId="5" applyNumberFormat="1" applyFont="1" applyFill="1" applyBorder="1" applyAlignment="1" applyProtection="1">
      <alignment vertical="center"/>
      <protection locked="0"/>
    </xf>
    <xf numFmtId="165" fontId="8" fillId="7" borderId="1" xfId="3" applyNumberFormat="1" applyFont="1" applyFill="1" applyBorder="1" applyAlignment="1" applyProtection="1">
      <alignment vertical="center"/>
    </xf>
    <xf numFmtId="43" fontId="8" fillId="7" borderId="1" xfId="5" applyFont="1" applyFill="1" applyBorder="1" applyAlignment="1" applyProtection="1">
      <alignment vertical="center"/>
    </xf>
    <xf numFmtId="166" fontId="8" fillId="7" borderId="1" xfId="3" applyNumberFormat="1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</xf>
    <xf numFmtId="0" fontId="14" fillId="7" borderId="1" xfId="3" applyFont="1" applyFill="1" applyBorder="1" applyAlignment="1" applyProtection="1">
      <alignment vertical="center"/>
    </xf>
    <xf numFmtId="0" fontId="6" fillId="7" borderId="1" xfId="3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  <protection locked="0"/>
    </xf>
    <xf numFmtId="0" fontId="13" fillId="7" borderId="1" xfId="3" applyFont="1" applyFill="1" applyBorder="1" applyAlignment="1" applyProtection="1">
      <alignment vertical="center"/>
      <protection locked="0"/>
    </xf>
    <xf numFmtId="0" fontId="15" fillId="7" borderId="1" xfId="3" applyFont="1" applyFill="1" applyBorder="1" applyAlignment="1">
      <alignment vertical="center"/>
    </xf>
    <xf numFmtId="166" fontId="6" fillId="7" borderId="1" xfId="5" applyNumberFormat="1" applyFont="1" applyFill="1" applyBorder="1" applyAlignment="1" applyProtection="1">
      <alignment vertical="center"/>
    </xf>
    <xf numFmtId="43" fontId="6" fillId="7" borderId="1" xfId="5" applyFont="1" applyFill="1" applyBorder="1" applyAlignment="1" applyProtection="1">
      <alignment vertical="center"/>
    </xf>
    <xf numFmtId="10" fontId="13" fillId="7" borderId="1" xfId="4" applyNumberFormat="1" applyFont="1" applyFill="1" applyBorder="1" applyAlignment="1" applyProtection="1">
      <alignment horizontal="center" vertical="center"/>
    </xf>
    <xf numFmtId="168" fontId="6" fillId="7" borderId="1" xfId="4" applyNumberFormat="1" applyFont="1" applyFill="1" applyBorder="1" applyAlignment="1">
      <alignment vertical="center"/>
    </xf>
    <xf numFmtId="164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left"/>
    </xf>
    <xf numFmtId="0" fontId="8" fillId="9" borderId="0" xfId="0" applyFont="1" applyFill="1" applyBorder="1" applyAlignment="1">
      <alignment horizontal="center"/>
    </xf>
    <xf numFmtId="169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center"/>
    </xf>
    <xf numFmtId="3" fontId="6" fillId="4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5" fillId="3" borderId="10" xfId="0" applyFont="1" applyFill="1" applyBorder="1" applyAlignment="1">
      <alignment horizontal="left" vertical="center" wrapText="1"/>
    </xf>
    <xf numFmtId="0" fontId="6" fillId="0" borderId="0" xfId="52" applyFont="1"/>
    <xf numFmtId="0" fontId="13" fillId="0" borderId="0" xfId="52" applyFont="1" applyAlignment="1">
      <alignment horizontal="left"/>
    </xf>
    <xf numFmtId="9" fontId="6" fillId="0" borderId="0" xfId="52" applyNumberFormat="1" applyFont="1" applyAlignment="1">
      <alignment horizontal="right"/>
    </xf>
    <xf numFmtId="0" fontId="13" fillId="0" borderId="0" xfId="52" applyFont="1" applyAlignment="1">
      <alignment horizontal="right"/>
    </xf>
    <xf numFmtId="9" fontId="6" fillId="0" borderId="20" xfId="63" applyFont="1" applyBorder="1"/>
    <xf numFmtId="9" fontId="6" fillId="0" borderId="21" xfId="63" applyFont="1" applyBorder="1"/>
    <xf numFmtId="9" fontId="6" fillId="0" borderId="22" xfId="63" applyFont="1" applyBorder="1"/>
    <xf numFmtId="9" fontId="6" fillId="0" borderId="23" xfId="63" applyFont="1" applyBorder="1"/>
    <xf numFmtId="9" fontId="6" fillId="0" borderId="0" xfId="63" applyFont="1" applyBorder="1"/>
    <xf numFmtId="9" fontId="6" fillId="0" borderId="24" xfId="63" applyFont="1" applyBorder="1"/>
    <xf numFmtId="9" fontId="6" fillId="0" borderId="25" xfId="63" applyFont="1" applyBorder="1"/>
    <xf numFmtId="9" fontId="6" fillId="0" borderId="26" xfId="63" applyFont="1" applyBorder="1"/>
    <xf numFmtId="9" fontId="6" fillId="0" borderId="27" xfId="63" applyFont="1" applyBorder="1"/>
    <xf numFmtId="0" fontId="6" fillId="0" borderId="0" xfId="52" applyFont="1" applyAlignment="1">
      <alignment horizontal="right"/>
    </xf>
    <xf numFmtId="0" fontId="13" fillId="0" borderId="0" xfId="52" applyFont="1"/>
    <xf numFmtId="9" fontId="6" fillId="0" borderId="29" xfId="63" applyFont="1" applyBorder="1"/>
    <xf numFmtId="9" fontId="6" fillId="0" borderId="30" xfId="63" applyFont="1" applyBorder="1"/>
    <xf numFmtId="9" fontId="6" fillId="0" borderId="31" xfId="63" applyFont="1" applyBorder="1"/>
    <xf numFmtId="11" fontId="0" fillId="0" borderId="0" xfId="0" applyNumberFormat="1"/>
    <xf numFmtId="0" fontId="4" fillId="2" borderId="1" xfId="0" applyFont="1" applyFill="1" applyBorder="1" applyAlignment="1">
      <alignment horizontal="center" vertical="center"/>
    </xf>
    <xf numFmtId="0" fontId="5" fillId="6" borderId="1" xfId="3" applyFont="1" applyFill="1" applyBorder="1" applyAlignment="1">
      <alignment horizontal="right" vertical="center"/>
    </xf>
    <xf numFmtId="0" fontId="5" fillId="3" borderId="1" xfId="3" applyFont="1" applyFill="1" applyBorder="1" applyAlignment="1">
      <alignment horizontal="center" vertical="center"/>
    </xf>
    <xf numFmtId="0" fontId="5" fillId="3" borderId="1" xfId="3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4" fontId="8" fillId="5" borderId="9" xfId="1" applyNumberFormat="1" applyFont="1" applyFill="1" applyBorder="1" applyAlignment="1" applyProtection="1">
      <alignment horizontal="right" vertical="center"/>
    </xf>
    <xf numFmtId="164" fontId="8" fillId="5" borderId="0" xfId="1" applyNumberFormat="1" applyFont="1" applyFill="1" applyBorder="1" applyAlignment="1" applyProtection="1">
      <alignment horizontal="right" vertical="center"/>
    </xf>
    <xf numFmtId="14" fontId="8" fillId="5" borderId="9" xfId="1" applyNumberFormat="1" applyFont="1" applyFill="1" applyBorder="1" applyAlignment="1" applyProtection="1">
      <alignment horizontal="right" vertical="center"/>
    </xf>
    <xf numFmtId="14" fontId="8" fillId="5" borderId="0" xfId="1" applyNumberFormat="1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left" vertical="center"/>
      <protection locked="0"/>
    </xf>
    <xf numFmtId="0" fontId="6" fillId="4" borderId="28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vertical="top" wrapText="1"/>
    </xf>
    <xf numFmtId="0" fontId="5" fillId="3" borderId="0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4" fontId="6" fillId="4" borderId="2" xfId="0" applyNumberFormat="1" applyFont="1" applyFill="1" applyBorder="1" applyAlignment="1" applyProtection="1">
      <alignment horizontal="center" vertical="top"/>
      <protection locked="0"/>
    </xf>
    <xf numFmtId="3" fontId="0" fillId="5" borderId="0" xfId="0" applyNumberFormat="1" applyFill="1" applyAlignment="1">
      <alignment horizontal="center" vertical="top"/>
    </xf>
    <xf numFmtId="10" fontId="0" fillId="5" borderId="0" xfId="0" applyNumberFormat="1" applyFill="1" applyAlignment="1">
      <alignment horizontal="center" vertical="top"/>
    </xf>
    <xf numFmtId="3" fontId="0" fillId="0" borderId="0" xfId="0" applyNumberFormat="1" applyAlignment="1">
      <alignment horizontal="center" vertical="top"/>
    </xf>
    <xf numFmtId="165" fontId="6" fillId="4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 applyProtection="1">
      <alignment horizontal="center" vertical="top"/>
    </xf>
    <xf numFmtId="0" fontId="0" fillId="0" borderId="0" xfId="0" applyProtection="1">
      <protection locked="0"/>
    </xf>
    <xf numFmtId="0" fontId="39" fillId="9" borderId="0" xfId="0" applyFont="1" applyFill="1" applyBorder="1"/>
    <xf numFmtId="0" fontId="0" fillId="9" borderId="0" xfId="0" applyFill="1" applyBorder="1" applyAlignment="1">
      <alignment horizontal="left"/>
    </xf>
    <xf numFmtId="0" fontId="24" fillId="0" borderId="0" xfId="67"/>
    <xf numFmtId="0" fontId="24" fillId="0" borderId="0" xfId="67" applyAlignment="1">
      <alignment vertical="top"/>
    </xf>
    <xf numFmtId="0" fontId="24" fillId="0" borderId="0" xfId="67" applyNumberFormat="1" applyAlignment="1">
      <alignment vertical="top" wrapText="1"/>
    </xf>
    <xf numFmtId="0" fontId="24" fillId="0" borderId="0" xfId="67" applyAlignment="1">
      <alignment horizontal="left"/>
    </xf>
    <xf numFmtId="0" fontId="24" fillId="0" borderId="0" xfId="67" applyAlignment="1">
      <alignment wrapText="1"/>
    </xf>
    <xf numFmtId="0" fontId="6" fillId="5" borderId="2" xfId="0" applyFont="1" applyFill="1" applyBorder="1" applyAlignment="1" applyProtection="1">
      <alignment horizontal="center" vertical="center"/>
      <protection locked="0"/>
    </xf>
    <xf numFmtId="0" fontId="4" fillId="2" borderId="3" xfId="3" applyFont="1" applyFill="1" applyBorder="1" applyAlignment="1">
      <alignment horizontal="center" vertical="center"/>
    </xf>
    <xf numFmtId="0" fontId="4" fillId="2" borderId="4" xfId="3" applyFont="1" applyFill="1" applyBorder="1" applyAlignment="1">
      <alignment horizontal="center" vertical="center"/>
    </xf>
    <xf numFmtId="0" fontId="4" fillId="2" borderId="5" xfId="3" applyFont="1" applyFill="1" applyBorder="1" applyAlignment="1">
      <alignment horizontal="center" vertical="center"/>
    </xf>
    <xf numFmtId="0" fontId="4" fillId="2" borderId="6" xfId="3" applyFont="1" applyFill="1" applyBorder="1" applyAlignment="1">
      <alignment horizontal="center" vertical="center"/>
    </xf>
    <xf numFmtId="0" fontId="4" fillId="2" borderId="7" xfId="3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</cellXfs>
  <cellStyles count="68"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Comma" xfId="1" builtinId="3"/>
    <cellStyle name="Comma 2" xfId="5"/>
    <cellStyle name="Comma 2 2" xfId="33"/>
    <cellStyle name="Comma 2 2 2" xfId="34"/>
    <cellStyle name="Comma 2 3" xfId="35"/>
    <cellStyle name="Comma 3" xfId="36"/>
    <cellStyle name="Comma 3 2" xfId="37"/>
    <cellStyle name="Comma 4" xfId="38"/>
    <cellStyle name="Comma 4 2" xfId="39"/>
    <cellStyle name="Comma 5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Input 2" xfId="49"/>
    <cellStyle name="Linked Cell 2" xfId="50"/>
    <cellStyle name="Neutral 2" xfId="51"/>
    <cellStyle name="Normal" xfId="0" builtinId="0"/>
    <cellStyle name="Normal 2" xfId="3"/>
    <cellStyle name="Normal 3" xfId="2"/>
    <cellStyle name="Normal 4" xfId="52"/>
    <cellStyle name="Normal 5" xfId="67"/>
    <cellStyle name="Note 2" xfId="53"/>
    <cellStyle name="Output 2" xfId="54"/>
    <cellStyle name="Percent 2" xfId="4"/>
    <cellStyle name="Percent 2 2" xfId="55"/>
    <cellStyle name="Percent 2 2 2" xfId="56"/>
    <cellStyle name="Percent 2 3" xfId="57"/>
    <cellStyle name="Percent 3" xfId="58"/>
    <cellStyle name="Percent 3 2" xfId="59"/>
    <cellStyle name="Percent 4" xfId="60"/>
    <cellStyle name="Percent 4 2" xfId="61"/>
    <cellStyle name="Percent 5" xfId="62"/>
    <cellStyle name="Percent 6" xfId="63"/>
    <cellStyle name="Title 2" xfId="64"/>
    <cellStyle name="Total 2" xfId="65"/>
    <cellStyle name="Warning Text 2" xfId="66"/>
  </cellStyles>
  <dxfs count="18"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baseline="0">
              <a:latin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'Wind Seasons'!$B$13</c:f>
              <c:strCache>
                <c:ptCount val="1"/>
                <c:pt idx="0">
                  <c:v>North Atlantic</c:v>
                </c:pt>
              </c:strCache>
            </c:strRef>
          </c:tx>
          <c:marker>
            <c:symbol val="none"/>
          </c:marker>
          <c:cat>
            <c:strRef>
              <c:f>'Wind Seasons'!$D$3:$O$3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'Wind Seasons'!$D$13:$O$13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3.2520325203252036E-2</c:v>
                </c:pt>
                <c:pt idx="6">
                  <c:v>4.0650406504065047E-2</c:v>
                </c:pt>
                <c:pt idx="7">
                  <c:v>0.28455284552845528</c:v>
                </c:pt>
                <c:pt idx="8">
                  <c:v>0.41463414634146345</c:v>
                </c:pt>
                <c:pt idx="9">
                  <c:v>0.18699186991869921</c:v>
                </c:pt>
                <c:pt idx="10">
                  <c:v>4.0650406504065047E-2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18464"/>
        <c:axId val="146320000"/>
      </c:lineChart>
      <c:catAx>
        <c:axId val="14631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6320000"/>
        <c:crosses val="autoZero"/>
        <c:auto val="1"/>
        <c:lblAlgn val="ctr"/>
        <c:lblOffset val="100"/>
        <c:noMultiLvlLbl val="0"/>
      </c:catAx>
      <c:valAx>
        <c:axId val="146320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crossAx val="146318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C$16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314325</xdr:colOff>
          <xdr:row>15</xdr:row>
          <xdr:rowOff>228600</xdr:rowOff>
        </xdr:to>
        <xdr:sp macro="" textlink="">
          <xdr:nvSpPr>
            <xdr:cNvPr id="1025" name="chk_faraday_le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314325</xdr:colOff>
          <xdr:row>16</xdr:row>
          <xdr:rowOff>228600</xdr:rowOff>
        </xdr:to>
        <xdr:sp macro="" textlink="">
          <xdr:nvSpPr>
            <xdr:cNvPr id="1026" name="chk_faraday_le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6</xdr:row>
      <xdr:rowOff>28575</xdr:rowOff>
    </xdr:from>
    <xdr:to>
      <xdr:col>11</xdr:col>
      <xdr:colOff>809625</xdr:colOff>
      <xdr:row>9</xdr:row>
      <xdr:rowOff>114299</xdr:rowOff>
    </xdr:to>
    <xdr:sp macro="[0]!ui.show_hide_average_rate_columns" textlink="">
      <xdr:nvSpPr>
        <xdr:cNvPr id="8" name="show_hide_rate_button"/>
        <xdr:cNvSpPr/>
      </xdr:nvSpPr>
      <xdr:spPr>
        <a:xfrm>
          <a:off x="552450" y="885825"/>
          <a:ext cx="1476375" cy="514349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Hide Average Rate Calculation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0</xdr:rowOff>
    </xdr:from>
    <xdr:to>
      <xdr:col>8</xdr:col>
      <xdr:colOff>333375</xdr:colOff>
      <xdr:row>35</xdr:row>
      <xdr:rowOff>0</xdr:rowOff>
    </xdr:to>
    <xdr:pic>
      <xdr:nvPicPr>
        <xdr:cNvPr id="46" name="_map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0" y="2095500"/>
          <a:ext cx="6400800" cy="45720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13</xdr:row>
      <xdr:rowOff>0</xdr:rowOff>
    </xdr:from>
    <xdr:to>
      <xdr:col>3</xdr:col>
      <xdr:colOff>581025</xdr:colOff>
      <xdr:row>15</xdr:row>
      <xdr:rowOff>66675</xdr:rowOff>
    </xdr:to>
    <xdr:sp macro="[0]!calculate_results" textlink="">
      <xdr:nvSpPr>
        <xdr:cNvPr id="2" name="Rounded Rectangle 1"/>
        <xdr:cNvSpPr/>
      </xdr:nvSpPr>
      <xdr:spPr>
        <a:xfrm>
          <a:off x="1190625" y="1857375"/>
          <a:ext cx="1304925" cy="35242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Calculate Results</a:t>
          </a:r>
        </a:p>
      </xdr:txBody>
    </xdr:sp>
    <xdr:clientData/>
  </xdr:twoCellAnchor>
  <xdr:twoCellAnchor>
    <xdr:from>
      <xdr:col>2</xdr:col>
      <xdr:colOff>0</xdr:colOff>
      <xdr:row>25</xdr:row>
      <xdr:rowOff>38100</xdr:rowOff>
    </xdr:from>
    <xdr:to>
      <xdr:col>12</xdr:col>
      <xdr:colOff>1200150</xdr:colOff>
      <xdr:row>30</xdr:row>
      <xdr:rowOff>19050</xdr:rowOff>
    </xdr:to>
    <xdr:sp macro="" textlink="">
      <xdr:nvSpPr>
        <xdr:cNvPr id="3" name="TextBox 2"/>
        <xdr:cNvSpPr txBox="1"/>
      </xdr:nvSpPr>
      <xdr:spPr>
        <a:xfrm>
          <a:off x="1066800" y="3895725"/>
          <a:ext cx="862012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15</xdr:row>
      <xdr:rowOff>104775</xdr:rowOff>
    </xdr:from>
    <xdr:to>
      <xdr:col>14</xdr:col>
      <xdr:colOff>514349</xdr:colOff>
      <xdr:row>39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mccabe/Downloads/EDM_ANALYSIS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S FIREENG"/>
      <sheetName val="TempSheet"/>
      <sheetName val="INTRODUCTION"/>
      <sheetName val="FLOOD ZONE"/>
      <sheetName val="STATE"/>
      <sheetName val="COUNTY"/>
      <sheetName val="Sheet35"/>
      <sheetName val="GEO-CODING"/>
      <sheetName val="FDY WIND TIERS"/>
      <sheetName val="FL ZONES"/>
      <sheetName val="DISTANCE TO COAST"/>
      <sheetName val="ATC ZONES"/>
      <sheetName val="CRESTA ZONES"/>
      <sheetName val="OCCUPANCY TYPE"/>
      <sheetName val="LOSS TYPE"/>
      <sheetName val="BUILDING CLASS"/>
      <sheetName val="YEAR BUILT"/>
      <sheetName val="NUMBER OF STORIES"/>
      <sheetName val="ROOF GEOMETRY"/>
      <sheetName val="LOCATION ANALYSIS"/>
      <sheetName val="DTC_Update"/>
      <sheetName val="OCC_Update"/>
      <sheetName val="LOCATION_Update"/>
      <sheetName val="DataUPDATE"/>
      <sheetName val="AccGrpNameUPDATE"/>
      <sheetName val="LOCATION_FireEngUpdate"/>
      <sheetName val="EDM Checks"/>
      <sheetName val="Sheet13"/>
    </sheetNames>
    <definedNames>
      <definedName name="GetFirstQuery"/>
    </definedNames>
    <sheetDataSet>
      <sheetData sheetId="0"/>
      <sheetData sheetId="1"/>
      <sheetData sheetId="2">
        <row r="1">
          <cell r="A1" t="str">
            <v>SERVER SELECTION</v>
          </cell>
        </row>
        <row r="2">
          <cell r="A2" t="str">
            <v>GBLONTPD40</v>
          </cell>
        </row>
        <row r="3">
          <cell r="A3" t="str">
            <v>GBLONTPD40\RMS2</v>
          </cell>
        </row>
        <row r="4">
          <cell r="A4" t="str">
            <v>GBLONTPD41</v>
          </cell>
        </row>
        <row r="5">
          <cell r="A5" t="str">
            <v>GBLONTPD42</v>
          </cell>
        </row>
        <row r="6">
          <cell r="A6" t="str">
            <v>GBLONTPD110</v>
          </cell>
          <cell r="E6" t="str">
            <v>GBLONTPD111</v>
          </cell>
        </row>
        <row r="7">
          <cell r="A7" t="str">
            <v>GBLONTPD111</v>
          </cell>
        </row>
        <row r="8">
          <cell r="E8" t="str">
            <v>RMS_EDM_QTE_17_01</v>
          </cell>
        </row>
        <row r="10">
          <cell r="E10" t="str">
            <v>RMS_RDM_QTE_17_01</v>
          </cell>
        </row>
        <row r="12">
          <cell r="E12" t="str">
            <v>ACCOUNT Selection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4">
          <cell r="B4" t="str">
            <v>RMS_EDM_QTE_17_01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name="Query from PRICING_PROD" growShrinkType="overwriteClear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curve_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p_qry" displayName="pp_qry" ref="P4:P90" tableType="queryTable" totalsRowShown="0">
  <autoFilter ref="P4:P90"/>
  <tableColumns count="1">
    <tableColumn id="1" uniqueName="1" name="curve_nam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J17"/>
  <sheetViews>
    <sheetView showGridLines="0" zoomScaleNormal="100" workbookViewId="0">
      <selection activeCell="B1" sqref="B1:G2"/>
    </sheetView>
  </sheetViews>
  <sheetFormatPr defaultRowHeight="11.25" x14ac:dyDescent="0.2"/>
  <cols>
    <col min="2" max="2" width="15.83203125" bestFit="1" customWidth="1"/>
    <col min="3" max="3" width="27.83203125" customWidth="1"/>
  </cols>
  <sheetData>
    <row r="1" spans="2:10" x14ac:dyDescent="0.2">
      <c r="B1" s="81" t="s">
        <v>0</v>
      </c>
      <c r="C1" s="81"/>
      <c r="D1" s="81"/>
      <c r="E1" s="81"/>
      <c r="F1" s="81"/>
      <c r="G1" s="81"/>
    </row>
    <row r="2" spans="2:10" x14ac:dyDescent="0.2">
      <c r="B2" s="81"/>
      <c r="C2" s="81"/>
      <c r="D2" s="81"/>
      <c r="E2" s="81"/>
      <c r="F2" s="81"/>
      <c r="G2" s="81"/>
    </row>
    <row r="4" spans="2:10" ht="18.75" customHeight="1" x14ac:dyDescent="0.2">
      <c r="B4" s="1" t="s">
        <v>1</v>
      </c>
      <c r="C4" s="2" t="s">
        <v>2</v>
      </c>
    </row>
    <row r="5" spans="2:10" ht="18.75" customHeight="1" x14ac:dyDescent="0.3">
      <c r="B5" s="1" t="s">
        <v>3</v>
      </c>
      <c r="C5" s="2" t="s">
        <v>4</v>
      </c>
      <c r="J5" s="3"/>
    </row>
    <row r="6" spans="2:10" ht="18.75" customHeight="1" x14ac:dyDescent="0.2">
      <c r="C6" s="4"/>
    </row>
    <row r="7" spans="2:10" ht="18.75" customHeight="1" x14ac:dyDescent="0.2">
      <c r="B7" s="1" t="s">
        <v>5</v>
      </c>
      <c r="C7" s="2" t="s">
        <v>6</v>
      </c>
    </row>
    <row r="8" spans="2:10" ht="18.75" customHeight="1" x14ac:dyDescent="0.2">
      <c r="B8" s="1" t="s">
        <v>7</v>
      </c>
      <c r="C8" s="2" t="s">
        <v>8</v>
      </c>
    </row>
    <row r="9" spans="2:10" ht="18.75" customHeight="1" x14ac:dyDescent="0.2">
      <c r="B9" s="1" t="s">
        <v>9</v>
      </c>
      <c r="C9" s="2" t="s">
        <v>10</v>
      </c>
    </row>
    <row r="10" spans="2:10" ht="18.75" customHeight="1" x14ac:dyDescent="0.2">
      <c r="C10" s="4"/>
    </row>
    <row r="11" spans="2:10" ht="18.75" customHeight="1" x14ac:dyDescent="0.2">
      <c r="B11" s="1" t="s">
        <v>11</v>
      </c>
      <c r="C11" s="5">
        <v>42710</v>
      </c>
    </row>
    <row r="12" spans="2:10" ht="18.75" customHeight="1" x14ac:dyDescent="0.2">
      <c r="B12" s="1" t="s">
        <v>12</v>
      </c>
      <c r="C12" s="5">
        <v>42709</v>
      </c>
    </row>
    <row r="13" spans="2:10" ht="18.75" customHeight="1" x14ac:dyDescent="0.2">
      <c r="B13" s="1" t="s">
        <v>41</v>
      </c>
      <c r="C13" s="5" t="s">
        <v>63</v>
      </c>
    </row>
    <row r="14" spans="2:10" ht="18.75" customHeight="1" x14ac:dyDescent="0.2">
      <c r="B14" s="1" t="s">
        <v>13</v>
      </c>
      <c r="C14" s="6">
        <f>YEAR(C11)</f>
        <v>2016</v>
      </c>
    </row>
    <row r="15" spans="2:10" ht="18.75" customHeight="1" x14ac:dyDescent="0.2">
      <c r="C15" s="4"/>
    </row>
    <row r="16" spans="2:10" ht="18.75" customHeight="1" x14ac:dyDescent="0.2">
      <c r="B16" s="1" t="s">
        <v>14</v>
      </c>
      <c r="C16" s="7" t="b">
        <v>1</v>
      </c>
    </row>
    <row r="17" spans="2:3" ht="18.75" customHeight="1" x14ac:dyDescent="0.2">
      <c r="B17" s="1" t="s">
        <v>15</v>
      </c>
      <c r="C17" s="7" t="b">
        <v>0</v>
      </c>
    </row>
  </sheetData>
  <mergeCells count="1">
    <mergeCell ref="B1:G2"/>
  </mergeCells>
  <conditionalFormatting sqref="C14">
    <cfRule type="expression" dxfId="17" priority="1">
      <formula>ABS(C14-B14)/B14&gt;0.1</formula>
    </cfRule>
  </conditionalFormatting>
  <dataValidations count="1">
    <dataValidation type="list" allowBlank="1" showInputMessage="1" showErrorMessage="1" sqref="C13">
      <formula1>currencies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&amp;C&amp;"Calibri,Bold"&amp;11Quote Information</oddHeader>
    <oddFooter>&amp;L&amp;Z&amp;F&amp;R&amp;P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_faraday_lead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9525</xdr:rowOff>
                  </from>
                  <to>
                    <xdr:col>2</xdr:col>
                    <xdr:colOff>314325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2</xdr:col>
                    <xdr:colOff>314325</xdr:colOff>
                    <xdr:row>16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G9"/>
  <sheetViews>
    <sheetView showGridLines="0" workbookViewId="0">
      <selection activeCell="D16" sqref="D16"/>
    </sheetView>
  </sheetViews>
  <sheetFormatPr defaultRowHeight="18.75" customHeight="1" x14ac:dyDescent="0.2"/>
  <cols>
    <col min="2" max="2" width="11.6640625" bestFit="1" customWidth="1"/>
    <col min="3" max="3" width="25.1640625" customWidth="1"/>
  </cols>
  <sheetData>
    <row r="1" spans="2:7" ht="11.25" customHeight="1" x14ac:dyDescent="0.2">
      <c r="B1" s="81" t="s">
        <v>810</v>
      </c>
      <c r="C1" s="81"/>
      <c r="D1" s="81"/>
      <c r="E1" s="81"/>
      <c r="F1" s="81"/>
      <c r="G1" s="81"/>
    </row>
    <row r="2" spans="2:7" ht="11.25" customHeight="1" x14ac:dyDescent="0.2">
      <c r="B2" s="81"/>
      <c r="C2" s="81"/>
      <c r="D2" s="81"/>
      <c r="E2" s="81"/>
      <c r="F2" s="81"/>
      <c r="G2" s="81"/>
    </row>
    <row r="4" spans="2:7" ht="18.75" customHeight="1" x14ac:dyDescent="0.2">
      <c r="B4" s="1" t="s">
        <v>807</v>
      </c>
      <c r="C4" s="2" t="s">
        <v>545</v>
      </c>
    </row>
    <row r="5" spans="2:7" ht="18.75" customHeight="1" x14ac:dyDescent="0.2">
      <c r="B5" s="107"/>
      <c r="C5" s="108"/>
    </row>
    <row r="6" spans="2:7" ht="18.75" customHeight="1" x14ac:dyDescent="0.2">
      <c r="B6" s="1" t="s">
        <v>808</v>
      </c>
      <c r="C6" s="2" t="s">
        <v>764</v>
      </c>
    </row>
    <row r="7" spans="2:7" ht="18.75" customHeight="1" x14ac:dyDescent="0.2">
      <c r="B7" s="1" t="s">
        <v>809</v>
      </c>
      <c r="C7" s="114"/>
    </row>
    <row r="9" spans="2:7" ht="18.75" customHeight="1" x14ac:dyDescent="0.2">
      <c r="B9" s="1" t="s">
        <v>825</v>
      </c>
      <c r="C9" s="2" t="s">
        <v>763</v>
      </c>
    </row>
  </sheetData>
  <mergeCells count="1">
    <mergeCell ref="B1:G2"/>
  </mergeCells>
  <dataValidations count="3">
    <dataValidation type="list" allowBlank="1" sqref="C4">
      <formula1>Server_List</formula1>
    </dataValidation>
    <dataValidation type="list" allowBlank="1" sqref="C6">
      <formula1>edm_selection</formula1>
    </dataValidation>
    <dataValidation type="list" allowBlank="1" sqref="C9">
      <formula1>accounts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39"/>
  <sheetViews>
    <sheetView workbookViewId="0">
      <selection activeCell="F20" sqref="F20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20" max="20" width="12.83203125" style="11" bestFit="1" customWidth="1"/>
    <col min="21" max="21" width="12.1640625" bestFit="1" customWidth="1"/>
    <col min="22" max="22" width="12.83203125" style="11" bestFit="1" customWidth="1"/>
    <col min="23" max="23" width="12.1640625" bestFit="1" customWidth="1"/>
    <col min="24" max="24" width="9.33203125" style="11"/>
    <col min="25" max="25" width="12.1640625" bestFit="1" customWidth="1"/>
    <col min="27" max="27" width="10.1640625" style="11" bestFit="1" customWidth="1"/>
    <col min="29" max="29" width="9.33203125" style="12"/>
    <col min="30" max="30" width="10.1640625" bestFit="1" customWidth="1"/>
    <col min="31" max="31" width="11.83203125" style="12" bestFit="1" customWidth="1"/>
    <col min="32" max="32" width="10.33203125" style="11" bestFit="1" customWidth="1"/>
    <col min="33" max="33" width="12.1640625" style="11" bestFit="1" customWidth="1"/>
    <col min="34" max="34" width="12.1640625" style="12" customWidth="1"/>
    <col min="35" max="35" width="12.1640625" bestFit="1" customWidth="1"/>
    <col min="36" max="36" width="12.1640625" style="12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9" s="8" customFormat="1" x14ac:dyDescent="0.2">
      <c r="A1" s="8" t="s">
        <v>16</v>
      </c>
      <c r="B1" s="8" t="s">
        <v>17</v>
      </c>
      <c r="C1" s="8" t="s">
        <v>18</v>
      </c>
      <c r="D1" s="8" t="s">
        <v>19</v>
      </c>
      <c r="E1" s="8" t="s">
        <v>20</v>
      </c>
      <c r="F1" s="8" t="s">
        <v>21</v>
      </c>
      <c r="G1" s="8" t="s">
        <v>22</v>
      </c>
      <c r="H1" s="8" t="s">
        <v>23</v>
      </c>
      <c r="I1" s="8" t="s">
        <v>24</v>
      </c>
      <c r="J1" s="8" t="s">
        <v>25</v>
      </c>
      <c r="K1" s="8" t="s">
        <v>26</v>
      </c>
      <c r="L1" s="8" t="s">
        <v>27</v>
      </c>
      <c r="M1" s="8" t="s">
        <v>28</v>
      </c>
      <c r="N1" s="8" t="s">
        <v>29</v>
      </c>
      <c r="O1" s="8" t="s">
        <v>30</v>
      </c>
      <c r="P1" s="8" t="s">
        <v>31</v>
      </c>
      <c r="Q1" s="8" t="s">
        <v>32</v>
      </c>
      <c r="R1" s="8" t="s">
        <v>33</v>
      </c>
      <c r="S1" s="8" t="s">
        <v>34</v>
      </c>
      <c r="T1" s="9" t="s">
        <v>35</v>
      </c>
      <c r="U1" s="8" t="s">
        <v>36</v>
      </c>
      <c r="V1" s="9" t="s">
        <v>37</v>
      </c>
      <c r="W1" s="8" t="s">
        <v>38</v>
      </c>
      <c r="X1" s="9" t="s">
        <v>39</v>
      </c>
      <c r="Y1" s="8" t="s">
        <v>40</v>
      </c>
      <c r="Z1" s="8" t="s">
        <v>41</v>
      </c>
      <c r="AA1" s="9" t="s">
        <v>42</v>
      </c>
      <c r="AB1" s="8" t="s">
        <v>43</v>
      </c>
      <c r="AC1" s="10" t="s">
        <v>44</v>
      </c>
      <c r="AD1" s="8" t="s">
        <v>45</v>
      </c>
      <c r="AE1" s="10" t="s">
        <v>46</v>
      </c>
      <c r="AF1" s="9" t="s">
        <v>47</v>
      </c>
      <c r="AG1" s="9" t="s">
        <v>48</v>
      </c>
      <c r="AH1" s="10" t="s">
        <v>49</v>
      </c>
      <c r="AI1" s="8" t="s">
        <v>50</v>
      </c>
      <c r="AJ1" s="10" t="s">
        <v>51</v>
      </c>
      <c r="AK1" s="8" t="s">
        <v>52</v>
      </c>
      <c r="AL1" s="8" t="s">
        <v>53</v>
      </c>
      <c r="AM1" s="8" t="s">
        <v>54</v>
      </c>
    </row>
    <row r="2" spans="1:39" x14ac:dyDescent="0.2">
      <c r="A2">
        <v>1</v>
      </c>
      <c r="D2" t="s">
        <v>55</v>
      </c>
      <c r="E2">
        <v>1960</v>
      </c>
      <c r="F2" t="s">
        <v>56</v>
      </c>
      <c r="G2" t="s">
        <v>57</v>
      </c>
      <c r="H2" t="s">
        <v>58</v>
      </c>
      <c r="I2" t="s">
        <v>59</v>
      </c>
      <c r="J2">
        <v>1</v>
      </c>
      <c r="K2" t="s">
        <v>60</v>
      </c>
      <c r="L2">
        <v>1</v>
      </c>
      <c r="M2" t="s">
        <v>61</v>
      </c>
      <c r="N2">
        <v>2</v>
      </c>
      <c r="O2" t="s">
        <v>62</v>
      </c>
      <c r="P2">
        <v>1</v>
      </c>
      <c r="S2">
        <v>1960</v>
      </c>
      <c r="T2" s="11">
        <v>528820</v>
      </c>
      <c r="U2">
        <v>0.136386300515971</v>
      </c>
      <c r="V2" s="11">
        <v>50000</v>
      </c>
      <c r="W2">
        <v>0.142128752590504</v>
      </c>
      <c r="X2" s="11">
        <v>70311</v>
      </c>
      <c r="Y2">
        <v>0.136386300515971</v>
      </c>
      <c r="Z2" t="s">
        <v>63</v>
      </c>
      <c r="AA2" s="11">
        <v>649131</v>
      </c>
      <c r="AC2" s="12">
        <v>0.93500000000000005</v>
      </c>
      <c r="AD2">
        <v>2</v>
      </c>
      <c r="AE2" s="12">
        <v>1</v>
      </c>
      <c r="AF2" s="11">
        <v>649131</v>
      </c>
      <c r="AG2" s="11">
        <v>0</v>
      </c>
      <c r="AH2" s="12" t="s">
        <v>64</v>
      </c>
      <c r="AI2">
        <v>830.46417858102063</v>
      </c>
      <c r="AJ2" s="12">
        <v>1</v>
      </c>
      <c r="AK2">
        <v>830.46417858102063</v>
      </c>
      <c r="AL2">
        <v>1.27934758E-3</v>
      </c>
      <c r="AM2">
        <v>1.27934758E-3</v>
      </c>
    </row>
    <row r="3" spans="1:39" x14ac:dyDescent="0.2">
      <c r="A3">
        <v>2</v>
      </c>
      <c r="D3" t="s">
        <v>65</v>
      </c>
      <c r="E3">
        <v>1960</v>
      </c>
      <c r="F3" t="s">
        <v>56</v>
      </c>
      <c r="G3" t="s">
        <v>57</v>
      </c>
      <c r="H3" t="s">
        <v>58</v>
      </c>
      <c r="I3" t="s">
        <v>59</v>
      </c>
      <c r="J3">
        <v>1</v>
      </c>
      <c r="K3" t="s">
        <v>60</v>
      </c>
      <c r="L3">
        <v>1</v>
      </c>
      <c r="M3" t="s">
        <v>61</v>
      </c>
      <c r="N3">
        <v>2</v>
      </c>
      <c r="O3" t="s">
        <v>62</v>
      </c>
      <c r="P3">
        <v>1</v>
      </c>
      <c r="S3">
        <v>1960</v>
      </c>
      <c r="T3" s="11">
        <v>553720</v>
      </c>
      <c r="U3">
        <v>0.136386300515971</v>
      </c>
      <c r="V3" s="11">
        <v>0</v>
      </c>
      <c r="W3">
        <v>0.142128752590504</v>
      </c>
      <c r="X3" s="11">
        <v>70286</v>
      </c>
      <c r="Y3">
        <v>0.136386300515971</v>
      </c>
      <c r="Z3" t="s">
        <v>63</v>
      </c>
      <c r="AA3" s="11">
        <v>624006</v>
      </c>
      <c r="AC3" s="12">
        <v>0.93500000000000005</v>
      </c>
      <c r="AD3">
        <v>2</v>
      </c>
      <c r="AE3" s="12">
        <v>1</v>
      </c>
      <c r="AF3" s="11">
        <v>624006</v>
      </c>
      <c r="AG3" s="11">
        <v>0</v>
      </c>
      <c r="AH3" s="12" t="s">
        <v>64</v>
      </c>
      <c r="AI3">
        <v>795.7398830018401</v>
      </c>
      <c r="AJ3" s="12">
        <v>1</v>
      </c>
      <c r="AK3">
        <v>795.7398830018401</v>
      </c>
      <c r="AL3">
        <v>1.2752118999999999E-3</v>
      </c>
      <c r="AM3">
        <v>1.2752118999999999E-3</v>
      </c>
    </row>
    <row r="4" spans="1:39" x14ac:dyDescent="0.2">
      <c r="A4">
        <v>3</v>
      </c>
      <c r="D4" t="s">
        <v>66</v>
      </c>
      <c r="E4">
        <v>1960</v>
      </c>
      <c r="F4" t="s">
        <v>56</v>
      </c>
      <c r="G4" t="s">
        <v>57</v>
      </c>
      <c r="H4" t="s">
        <v>58</v>
      </c>
      <c r="I4" t="s">
        <v>59</v>
      </c>
      <c r="J4">
        <v>1</v>
      </c>
      <c r="K4" t="s">
        <v>60</v>
      </c>
      <c r="L4">
        <v>1</v>
      </c>
      <c r="M4" t="s">
        <v>61</v>
      </c>
      <c r="N4">
        <v>2</v>
      </c>
      <c r="O4" t="s">
        <v>62</v>
      </c>
      <c r="P4">
        <v>1</v>
      </c>
      <c r="S4">
        <v>1960</v>
      </c>
      <c r="T4" s="11">
        <v>551572</v>
      </c>
      <c r="U4">
        <v>0.136386300515971</v>
      </c>
      <c r="V4" s="11">
        <v>0</v>
      </c>
      <c r="W4">
        <v>0.142128752590504</v>
      </c>
      <c r="X4" s="11">
        <v>70286</v>
      </c>
      <c r="Y4">
        <v>0.136386300515971</v>
      </c>
      <c r="Z4" t="s">
        <v>63</v>
      </c>
      <c r="AA4" s="11">
        <v>621858</v>
      </c>
      <c r="AC4" s="12">
        <v>0.93500000000000005</v>
      </c>
      <c r="AD4">
        <v>2</v>
      </c>
      <c r="AE4" s="12">
        <v>1</v>
      </c>
      <c r="AF4" s="11">
        <v>621858</v>
      </c>
      <c r="AG4" s="11">
        <v>0</v>
      </c>
      <c r="AH4" s="12" t="s">
        <v>64</v>
      </c>
      <c r="AI4">
        <v>793.00072781953747</v>
      </c>
      <c r="AJ4" s="12">
        <v>1</v>
      </c>
      <c r="AK4">
        <v>793.00072781953747</v>
      </c>
      <c r="AL4">
        <v>1.2752118999999999E-3</v>
      </c>
      <c r="AM4">
        <v>1.2752118999999999E-3</v>
      </c>
    </row>
    <row r="5" spans="1:39" x14ac:dyDescent="0.2">
      <c r="A5">
        <v>4</v>
      </c>
      <c r="D5" t="s">
        <v>67</v>
      </c>
      <c r="E5">
        <v>1960</v>
      </c>
      <c r="F5" t="s">
        <v>56</v>
      </c>
      <c r="G5" t="s">
        <v>57</v>
      </c>
      <c r="H5" t="s">
        <v>58</v>
      </c>
      <c r="I5" t="s">
        <v>59</v>
      </c>
      <c r="J5">
        <v>1</v>
      </c>
      <c r="K5" t="s">
        <v>60</v>
      </c>
      <c r="L5">
        <v>1</v>
      </c>
      <c r="M5" t="s">
        <v>61</v>
      </c>
      <c r="N5">
        <v>2</v>
      </c>
      <c r="O5" t="s">
        <v>62</v>
      </c>
      <c r="P5">
        <v>1</v>
      </c>
      <c r="S5">
        <v>1960</v>
      </c>
      <c r="T5" s="11">
        <v>550404</v>
      </c>
      <c r="U5">
        <v>0.136386300515971</v>
      </c>
      <c r="V5" s="11">
        <v>0</v>
      </c>
      <c r="W5">
        <v>0.142128752590504</v>
      </c>
      <c r="X5" s="11">
        <v>70286</v>
      </c>
      <c r="Y5">
        <v>0.136386300515971</v>
      </c>
      <c r="Z5" t="s">
        <v>63</v>
      </c>
      <c r="AA5" s="11">
        <v>620690</v>
      </c>
      <c r="AC5" s="12">
        <v>0.93500000000000005</v>
      </c>
      <c r="AD5">
        <v>2</v>
      </c>
      <c r="AE5" s="12">
        <v>1</v>
      </c>
      <c r="AF5" s="11">
        <v>620690</v>
      </c>
      <c r="AG5" s="11">
        <v>0</v>
      </c>
      <c r="AH5" s="12" t="s">
        <v>64</v>
      </c>
      <c r="AI5">
        <v>791.51128030886264</v>
      </c>
      <c r="AJ5" s="12">
        <v>1</v>
      </c>
      <c r="AK5">
        <v>791.51128030886264</v>
      </c>
      <c r="AL5">
        <v>1.2752118999999999E-3</v>
      </c>
      <c r="AM5">
        <v>1.2752118999999999E-3</v>
      </c>
    </row>
    <row r="6" spans="1:39" x14ac:dyDescent="0.2">
      <c r="A6">
        <v>5</v>
      </c>
      <c r="D6" t="s">
        <v>68</v>
      </c>
      <c r="E6">
        <v>1960</v>
      </c>
      <c r="F6" t="s">
        <v>56</v>
      </c>
      <c r="G6" t="s">
        <v>57</v>
      </c>
      <c r="H6" t="s">
        <v>58</v>
      </c>
      <c r="I6" t="s">
        <v>59</v>
      </c>
      <c r="J6">
        <v>1</v>
      </c>
      <c r="K6" t="s">
        <v>60</v>
      </c>
      <c r="L6">
        <v>1</v>
      </c>
      <c r="M6" t="s">
        <v>61</v>
      </c>
      <c r="N6">
        <v>2</v>
      </c>
      <c r="O6" t="s">
        <v>62</v>
      </c>
      <c r="P6">
        <v>1</v>
      </c>
      <c r="S6">
        <v>1960</v>
      </c>
      <c r="T6" s="11">
        <v>549400</v>
      </c>
      <c r="U6">
        <v>0.136386300515971</v>
      </c>
      <c r="V6" s="11">
        <v>0</v>
      </c>
      <c r="W6">
        <v>0.142128752590504</v>
      </c>
      <c r="X6" s="11">
        <v>70286</v>
      </c>
      <c r="Y6">
        <v>0.136386300515971</v>
      </c>
      <c r="Z6" t="s">
        <v>63</v>
      </c>
      <c r="AA6" s="11">
        <v>619686</v>
      </c>
      <c r="AC6" s="12">
        <v>0.93500000000000005</v>
      </c>
      <c r="AD6">
        <v>2</v>
      </c>
      <c r="AE6" s="12">
        <v>1</v>
      </c>
      <c r="AF6" s="11">
        <v>619686</v>
      </c>
      <c r="AG6" s="11">
        <v>0</v>
      </c>
      <c r="AH6" s="12" t="s">
        <v>64</v>
      </c>
      <c r="AI6">
        <v>790.23096755139909</v>
      </c>
      <c r="AJ6" s="12">
        <v>1</v>
      </c>
      <c r="AK6">
        <v>790.23096755139909</v>
      </c>
      <c r="AL6">
        <v>1.2752118999999999E-3</v>
      </c>
      <c r="AM6">
        <v>1.2752118999999999E-3</v>
      </c>
    </row>
    <row r="7" spans="1:39" x14ac:dyDescent="0.2">
      <c r="A7">
        <v>6</v>
      </c>
      <c r="D7" t="s">
        <v>69</v>
      </c>
      <c r="E7">
        <v>1960</v>
      </c>
      <c r="F7" t="s">
        <v>56</v>
      </c>
      <c r="G7" t="s">
        <v>57</v>
      </c>
      <c r="H7" t="s">
        <v>58</v>
      </c>
      <c r="I7" t="s">
        <v>59</v>
      </c>
      <c r="J7">
        <v>1</v>
      </c>
      <c r="K7" t="s">
        <v>60</v>
      </c>
      <c r="L7">
        <v>1</v>
      </c>
      <c r="M7" t="s">
        <v>61</v>
      </c>
      <c r="N7">
        <v>2</v>
      </c>
      <c r="O7" t="s">
        <v>62</v>
      </c>
      <c r="P7">
        <v>1</v>
      </c>
      <c r="S7">
        <v>1960</v>
      </c>
      <c r="T7" s="11">
        <v>1007078</v>
      </c>
      <c r="U7">
        <v>0.136386300515971</v>
      </c>
      <c r="V7" s="11">
        <v>0</v>
      </c>
      <c r="W7">
        <v>0.142128752590504</v>
      </c>
      <c r="X7" s="11">
        <v>124446</v>
      </c>
      <c r="Y7">
        <v>0.136386300515971</v>
      </c>
      <c r="Z7" t="s">
        <v>63</v>
      </c>
      <c r="AA7" s="11">
        <v>1131524</v>
      </c>
      <c r="AC7" s="12">
        <v>0.93500000000000005</v>
      </c>
      <c r="AD7">
        <v>2</v>
      </c>
      <c r="AE7" s="12">
        <v>1</v>
      </c>
      <c r="AF7" s="11">
        <v>1131524</v>
      </c>
      <c r="AG7" s="11">
        <v>0</v>
      </c>
      <c r="AH7" s="12" t="s">
        <v>64</v>
      </c>
      <c r="AI7">
        <v>1442.932881052064</v>
      </c>
      <c r="AJ7" s="12">
        <v>1</v>
      </c>
      <c r="AK7">
        <v>1442.932881052064</v>
      </c>
      <c r="AL7">
        <v>1.2752118999999999E-3</v>
      </c>
      <c r="AM7">
        <v>1.2752118999999999E-3</v>
      </c>
    </row>
    <row r="8" spans="1:39" x14ac:dyDescent="0.2">
      <c r="A8">
        <v>7</v>
      </c>
      <c r="D8" t="s">
        <v>70</v>
      </c>
      <c r="E8">
        <v>1960</v>
      </c>
      <c r="F8" t="s">
        <v>56</v>
      </c>
      <c r="G8" t="s">
        <v>57</v>
      </c>
      <c r="H8" t="s">
        <v>58</v>
      </c>
      <c r="I8" t="s">
        <v>59</v>
      </c>
      <c r="J8">
        <v>1</v>
      </c>
      <c r="K8" t="s">
        <v>60</v>
      </c>
      <c r="L8">
        <v>1</v>
      </c>
      <c r="M8" t="s">
        <v>61</v>
      </c>
      <c r="N8">
        <v>2</v>
      </c>
      <c r="O8" t="s">
        <v>62</v>
      </c>
      <c r="P8">
        <v>1</v>
      </c>
      <c r="S8">
        <v>1960</v>
      </c>
      <c r="T8" s="11">
        <v>440537</v>
      </c>
      <c r="U8">
        <v>0.136386300515971</v>
      </c>
      <c r="V8" s="11">
        <v>0</v>
      </c>
      <c r="W8">
        <v>0.142128752590504</v>
      </c>
      <c r="X8" s="11">
        <v>70286</v>
      </c>
      <c r="Y8">
        <v>0.136386300515971</v>
      </c>
      <c r="Z8" t="s">
        <v>63</v>
      </c>
      <c r="AA8" s="11">
        <v>510823</v>
      </c>
      <c r="AC8" s="12">
        <v>0.93500000000000005</v>
      </c>
      <c r="AD8">
        <v>2</v>
      </c>
      <c r="AE8" s="12">
        <v>1</v>
      </c>
      <c r="AF8" s="11">
        <v>510823</v>
      </c>
      <c r="AG8" s="11">
        <v>0</v>
      </c>
      <c r="AH8" s="12" t="s">
        <v>64</v>
      </c>
      <c r="AI8">
        <v>651.40757341219307</v>
      </c>
      <c r="AJ8" s="12">
        <v>1</v>
      </c>
      <c r="AK8">
        <v>651.40757341219307</v>
      </c>
      <c r="AL8">
        <v>1.2752118999999999E-3</v>
      </c>
      <c r="AM8">
        <v>1.2752118999999999E-3</v>
      </c>
    </row>
    <row r="9" spans="1:39" x14ac:dyDescent="0.2">
      <c r="A9">
        <v>8</v>
      </c>
      <c r="D9" t="s">
        <v>71</v>
      </c>
      <c r="E9">
        <v>1960</v>
      </c>
      <c r="F9" t="s">
        <v>56</v>
      </c>
      <c r="G9" t="s">
        <v>57</v>
      </c>
      <c r="H9" t="s">
        <v>58</v>
      </c>
      <c r="I9" t="s">
        <v>59</v>
      </c>
      <c r="J9">
        <v>1</v>
      </c>
      <c r="K9" t="s">
        <v>60</v>
      </c>
      <c r="L9">
        <v>1</v>
      </c>
      <c r="M9" t="s">
        <v>61</v>
      </c>
      <c r="N9">
        <v>2</v>
      </c>
      <c r="O9" t="s">
        <v>62</v>
      </c>
      <c r="P9">
        <v>1</v>
      </c>
      <c r="S9">
        <v>1960</v>
      </c>
      <c r="T9" s="11">
        <v>544925</v>
      </c>
      <c r="U9">
        <v>0.136386300515971</v>
      </c>
      <c r="V9" s="11">
        <v>0</v>
      </c>
      <c r="W9">
        <v>0.142128752590504</v>
      </c>
      <c r="X9" s="11">
        <v>70286</v>
      </c>
      <c r="Y9">
        <v>0.136386300515971</v>
      </c>
      <c r="Z9" t="s">
        <v>63</v>
      </c>
      <c r="AA9" s="11">
        <v>615211</v>
      </c>
      <c r="AC9" s="12">
        <v>0.93500000000000005</v>
      </c>
      <c r="AD9">
        <v>2</v>
      </c>
      <c r="AE9" s="12">
        <v>1</v>
      </c>
      <c r="AF9" s="11">
        <v>615211</v>
      </c>
      <c r="AG9" s="11">
        <v>0</v>
      </c>
      <c r="AH9" s="12" t="s">
        <v>64</v>
      </c>
      <c r="AI9">
        <v>784.52439425493515</v>
      </c>
      <c r="AJ9" s="12">
        <v>1</v>
      </c>
      <c r="AK9">
        <v>784.52439425493515</v>
      </c>
      <c r="AL9">
        <v>1.2752118999999999E-3</v>
      </c>
      <c r="AM9">
        <v>1.2752118999999999E-3</v>
      </c>
    </row>
    <row r="10" spans="1:39" x14ac:dyDescent="0.2">
      <c r="A10">
        <v>9</v>
      </c>
      <c r="D10" t="s">
        <v>72</v>
      </c>
      <c r="E10">
        <v>1960</v>
      </c>
      <c r="F10" t="s">
        <v>56</v>
      </c>
      <c r="G10" t="s">
        <v>57</v>
      </c>
      <c r="H10" t="s">
        <v>58</v>
      </c>
      <c r="I10" t="s">
        <v>59</v>
      </c>
      <c r="J10">
        <v>1</v>
      </c>
      <c r="K10" t="s">
        <v>60</v>
      </c>
      <c r="L10">
        <v>1</v>
      </c>
      <c r="M10" t="s">
        <v>61</v>
      </c>
      <c r="N10">
        <v>2</v>
      </c>
      <c r="O10" t="s">
        <v>62</v>
      </c>
      <c r="P10">
        <v>1</v>
      </c>
      <c r="S10">
        <v>1960</v>
      </c>
      <c r="T10" s="11">
        <v>409227</v>
      </c>
      <c r="U10">
        <v>0.136386300515971</v>
      </c>
      <c r="V10" s="11">
        <v>0</v>
      </c>
      <c r="W10">
        <v>0.142128752590504</v>
      </c>
      <c r="X10" s="11">
        <v>70286</v>
      </c>
      <c r="Y10">
        <v>0.136386300515971</v>
      </c>
      <c r="Z10" t="s">
        <v>63</v>
      </c>
      <c r="AA10" s="11">
        <v>479513</v>
      </c>
      <c r="AC10" s="12">
        <v>0.93500000000000005</v>
      </c>
      <c r="AD10">
        <v>2</v>
      </c>
      <c r="AE10" s="12">
        <v>1</v>
      </c>
      <c r="AF10" s="11">
        <v>479513</v>
      </c>
      <c r="AG10" s="11">
        <v>0</v>
      </c>
      <c r="AH10" s="12" t="s">
        <v>64</v>
      </c>
      <c r="AI10">
        <v>611.48068851559344</v>
      </c>
      <c r="AJ10" s="12">
        <v>1</v>
      </c>
      <c r="AK10">
        <v>611.48068851559344</v>
      </c>
      <c r="AL10">
        <v>1.2752118999999999E-3</v>
      </c>
      <c r="AM10">
        <v>1.2752118999999999E-3</v>
      </c>
    </row>
    <row r="11" spans="1:39" x14ac:dyDescent="0.2">
      <c r="A11">
        <v>10</v>
      </c>
      <c r="D11" t="s">
        <v>73</v>
      </c>
      <c r="E11">
        <v>1960</v>
      </c>
      <c r="F11" t="s">
        <v>56</v>
      </c>
      <c r="G11" t="s">
        <v>57</v>
      </c>
      <c r="H11" t="s">
        <v>58</v>
      </c>
      <c r="I11" t="s">
        <v>59</v>
      </c>
      <c r="J11">
        <v>1</v>
      </c>
      <c r="K11" t="s">
        <v>60</v>
      </c>
      <c r="L11">
        <v>1</v>
      </c>
      <c r="M11" t="s">
        <v>61</v>
      </c>
      <c r="N11">
        <v>2</v>
      </c>
      <c r="O11" t="s">
        <v>62</v>
      </c>
      <c r="P11">
        <v>1</v>
      </c>
      <c r="S11">
        <v>1960</v>
      </c>
      <c r="T11" s="11">
        <v>440537</v>
      </c>
      <c r="U11">
        <v>0.136386300515971</v>
      </c>
      <c r="V11" s="11">
        <v>0</v>
      </c>
      <c r="W11">
        <v>0.142128752590504</v>
      </c>
      <c r="X11" s="11">
        <v>70286</v>
      </c>
      <c r="Y11">
        <v>0.136386300515971</v>
      </c>
      <c r="Z11" t="s">
        <v>63</v>
      </c>
      <c r="AA11" s="11">
        <v>510823</v>
      </c>
      <c r="AC11" s="12">
        <v>0.93500000000000005</v>
      </c>
      <c r="AD11">
        <v>2</v>
      </c>
      <c r="AE11" s="12">
        <v>1</v>
      </c>
      <c r="AF11" s="11">
        <v>510823</v>
      </c>
      <c r="AG11" s="11">
        <v>0</v>
      </c>
      <c r="AH11" s="12" t="s">
        <v>64</v>
      </c>
      <c r="AI11">
        <v>651.40757341219307</v>
      </c>
      <c r="AJ11" s="12">
        <v>1</v>
      </c>
      <c r="AK11">
        <v>651.40757341219307</v>
      </c>
      <c r="AL11">
        <v>1.2752118999999999E-3</v>
      </c>
      <c r="AM11">
        <v>1.2752118999999999E-3</v>
      </c>
    </row>
    <row r="12" spans="1:39" x14ac:dyDescent="0.2">
      <c r="A12">
        <v>11</v>
      </c>
      <c r="D12" t="s">
        <v>74</v>
      </c>
      <c r="E12">
        <v>1960</v>
      </c>
      <c r="F12" t="s">
        <v>56</v>
      </c>
      <c r="G12" t="s">
        <v>57</v>
      </c>
      <c r="H12" t="s">
        <v>58</v>
      </c>
      <c r="I12" t="s">
        <v>59</v>
      </c>
      <c r="J12">
        <v>1</v>
      </c>
      <c r="K12" t="s">
        <v>60</v>
      </c>
      <c r="L12">
        <v>1</v>
      </c>
      <c r="M12" t="s">
        <v>61</v>
      </c>
      <c r="N12">
        <v>2</v>
      </c>
      <c r="O12" t="s">
        <v>62</v>
      </c>
      <c r="P12">
        <v>1</v>
      </c>
      <c r="S12">
        <v>1960</v>
      </c>
      <c r="T12" s="11">
        <v>416392</v>
      </c>
      <c r="U12">
        <v>0.136386300515971</v>
      </c>
      <c r="V12" s="11">
        <v>0</v>
      </c>
      <c r="W12">
        <v>0.142128752590504</v>
      </c>
      <c r="X12" s="11">
        <v>70286</v>
      </c>
      <c r="Y12">
        <v>0.136386300515971</v>
      </c>
      <c r="Z12" t="s">
        <v>63</v>
      </c>
      <c r="AA12" s="11">
        <v>486678</v>
      </c>
      <c r="AC12" s="12">
        <v>0.93500000000000005</v>
      </c>
      <c r="AD12">
        <v>2</v>
      </c>
      <c r="AE12" s="12">
        <v>1</v>
      </c>
      <c r="AF12" s="11">
        <v>486678</v>
      </c>
      <c r="AG12" s="11">
        <v>0</v>
      </c>
      <c r="AH12" s="12" t="s">
        <v>64</v>
      </c>
      <c r="AI12">
        <v>620.61758184948474</v>
      </c>
      <c r="AJ12" s="12">
        <v>1</v>
      </c>
      <c r="AK12">
        <v>620.61758184948474</v>
      </c>
      <c r="AL12">
        <v>1.2752118999999999E-3</v>
      </c>
      <c r="AM12">
        <v>1.2752118999999999E-3</v>
      </c>
    </row>
    <row r="13" spans="1:39" x14ac:dyDescent="0.2">
      <c r="A13">
        <v>12</v>
      </c>
      <c r="D13" t="s">
        <v>75</v>
      </c>
      <c r="E13">
        <v>1960</v>
      </c>
      <c r="F13" t="s">
        <v>56</v>
      </c>
      <c r="G13" t="s">
        <v>57</v>
      </c>
      <c r="H13" t="s">
        <v>58</v>
      </c>
      <c r="I13" t="s">
        <v>59</v>
      </c>
      <c r="J13">
        <v>1</v>
      </c>
      <c r="K13" t="s">
        <v>60</v>
      </c>
      <c r="L13">
        <v>1</v>
      </c>
      <c r="M13" t="s">
        <v>61</v>
      </c>
      <c r="N13">
        <v>2</v>
      </c>
      <c r="O13" t="s">
        <v>62</v>
      </c>
      <c r="P13">
        <v>1</v>
      </c>
      <c r="S13">
        <v>1960</v>
      </c>
      <c r="T13" s="11">
        <v>440537</v>
      </c>
      <c r="U13">
        <v>0.136386300515971</v>
      </c>
      <c r="V13" s="11">
        <v>0</v>
      </c>
      <c r="W13">
        <v>0.142128752590504</v>
      </c>
      <c r="X13" s="11">
        <v>70286</v>
      </c>
      <c r="Y13">
        <v>0.136386300515971</v>
      </c>
      <c r="Z13" t="s">
        <v>63</v>
      </c>
      <c r="AA13" s="11">
        <v>510823</v>
      </c>
      <c r="AC13" s="12">
        <v>0.93500000000000005</v>
      </c>
      <c r="AD13">
        <v>2</v>
      </c>
      <c r="AE13" s="12">
        <v>1</v>
      </c>
      <c r="AF13" s="11">
        <v>510823</v>
      </c>
      <c r="AG13" s="11">
        <v>0</v>
      </c>
      <c r="AH13" s="12" t="s">
        <v>64</v>
      </c>
      <c r="AI13">
        <v>651.40757341219307</v>
      </c>
      <c r="AJ13" s="12">
        <v>1</v>
      </c>
      <c r="AK13">
        <v>651.40757341219307</v>
      </c>
      <c r="AL13">
        <v>1.2752118999999999E-3</v>
      </c>
      <c r="AM13">
        <v>1.2752118999999999E-3</v>
      </c>
    </row>
    <row r="14" spans="1:39" x14ac:dyDescent="0.2">
      <c r="A14">
        <v>13</v>
      </c>
      <c r="D14" t="s">
        <v>76</v>
      </c>
      <c r="E14">
        <v>1960</v>
      </c>
      <c r="F14" t="s">
        <v>56</v>
      </c>
      <c r="G14" t="s">
        <v>57</v>
      </c>
      <c r="H14" t="s">
        <v>58</v>
      </c>
      <c r="I14" t="s">
        <v>59</v>
      </c>
      <c r="J14">
        <v>1</v>
      </c>
      <c r="K14" t="s">
        <v>60</v>
      </c>
      <c r="L14">
        <v>1</v>
      </c>
      <c r="M14" t="s">
        <v>61</v>
      </c>
      <c r="N14">
        <v>2</v>
      </c>
      <c r="O14" t="s">
        <v>62</v>
      </c>
      <c r="P14">
        <v>1</v>
      </c>
      <c r="S14">
        <v>1960</v>
      </c>
      <c r="T14" s="11">
        <v>440537</v>
      </c>
      <c r="U14">
        <v>0.136386300515971</v>
      </c>
      <c r="V14" s="11">
        <v>0</v>
      </c>
      <c r="W14">
        <v>0.142128752590504</v>
      </c>
      <c r="X14" s="11">
        <v>70286</v>
      </c>
      <c r="Y14">
        <v>0.136386300515971</v>
      </c>
      <c r="Z14" t="s">
        <v>63</v>
      </c>
      <c r="AA14" s="11">
        <v>510823</v>
      </c>
      <c r="AC14" s="12">
        <v>0.93500000000000005</v>
      </c>
      <c r="AD14">
        <v>2</v>
      </c>
      <c r="AE14" s="12">
        <v>1</v>
      </c>
      <c r="AF14" s="11">
        <v>510823</v>
      </c>
      <c r="AG14" s="11">
        <v>0</v>
      </c>
      <c r="AH14" s="12" t="s">
        <v>64</v>
      </c>
      <c r="AI14">
        <v>651.40757341219307</v>
      </c>
      <c r="AJ14" s="12">
        <v>1</v>
      </c>
      <c r="AK14">
        <v>651.40757341219307</v>
      </c>
      <c r="AL14">
        <v>1.2752118999999999E-3</v>
      </c>
      <c r="AM14">
        <v>1.2752118999999999E-3</v>
      </c>
    </row>
    <row r="15" spans="1:39" x14ac:dyDescent="0.2">
      <c r="A15">
        <v>14</v>
      </c>
      <c r="D15" t="s">
        <v>77</v>
      </c>
      <c r="E15">
        <v>1960</v>
      </c>
      <c r="F15" t="s">
        <v>56</v>
      </c>
      <c r="G15" t="s">
        <v>57</v>
      </c>
      <c r="H15" t="s">
        <v>58</v>
      </c>
      <c r="I15" t="s">
        <v>59</v>
      </c>
      <c r="J15">
        <v>1</v>
      </c>
      <c r="K15" t="s">
        <v>60</v>
      </c>
      <c r="L15">
        <v>1</v>
      </c>
      <c r="M15" t="s">
        <v>61</v>
      </c>
      <c r="N15">
        <v>2</v>
      </c>
      <c r="O15" t="s">
        <v>62</v>
      </c>
      <c r="P15">
        <v>1</v>
      </c>
      <c r="S15">
        <v>1960</v>
      </c>
      <c r="T15" s="11">
        <v>1014526</v>
      </c>
      <c r="U15">
        <v>0.136386300515971</v>
      </c>
      <c r="V15" s="11">
        <v>0</v>
      </c>
      <c r="W15">
        <v>0.142128752590504</v>
      </c>
      <c r="X15" s="11">
        <v>124446</v>
      </c>
      <c r="Y15">
        <v>0.136386300515971</v>
      </c>
      <c r="Z15" t="s">
        <v>63</v>
      </c>
      <c r="AA15" s="11">
        <v>1138972</v>
      </c>
      <c r="AC15" s="12">
        <v>0.93500000000000005</v>
      </c>
      <c r="AD15">
        <v>2</v>
      </c>
      <c r="AE15" s="12">
        <v>1</v>
      </c>
      <c r="AF15" s="11">
        <v>1138972</v>
      </c>
      <c r="AG15" s="11">
        <v>0</v>
      </c>
      <c r="AH15" s="12" t="s">
        <v>64</v>
      </c>
      <c r="AI15">
        <v>1452.4306593564354</v>
      </c>
      <c r="AJ15" s="12">
        <v>1</v>
      </c>
      <c r="AK15">
        <v>1452.4306593564354</v>
      </c>
      <c r="AL15">
        <v>1.2752118999999999E-3</v>
      </c>
      <c r="AM15">
        <v>1.2752118999999999E-3</v>
      </c>
    </row>
    <row r="16" spans="1:39" x14ac:dyDescent="0.2">
      <c r="A16">
        <v>15</v>
      </c>
      <c r="D16" t="s">
        <v>78</v>
      </c>
      <c r="E16">
        <v>1960</v>
      </c>
      <c r="F16" t="s">
        <v>56</v>
      </c>
      <c r="G16" t="s">
        <v>57</v>
      </c>
      <c r="H16" t="s">
        <v>58</v>
      </c>
      <c r="I16" t="s">
        <v>59</v>
      </c>
      <c r="J16">
        <v>1</v>
      </c>
      <c r="K16" t="s">
        <v>60</v>
      </c>
      <c r="L16">
        <v>1</v>
      </c>
      <c r="M16" t="s">
        <v>61</v>
      </c>
      <c r="N16">
        <v>2</v>
      </c>
      <c r="O16" t="s">
        <v>62</v>
      </c>
      <c r="P16">
        <v>1</v>
      </c>
      <c r="S16">
        <v>1960</v>
      </c>
      <c r="T16" s="11">
        <v>1612958</v>
      </c>
      <c r="U16">
        <v>0.136386300515971</v>
      </c>
      <c r="V16" s="11">
        <v>0</v>
      </c>
      <c r="W16">
        <v>0.142128752590504</v>
      </c>
      <c r="X16" s="11">
        <v>124446</v>
      </c>
      <c r="Y16">
        <v>0.136386300515971</v>
      </c>
      <c r="Z16" t="s">
        <v>63</v>
      </c>
      <c r="AA16" s="11">
        <v>1737404</v>
      </c>
      <c r="AC16" s="12">
        <v>0.93500000000000005</v>
      </c>
      <c r="AD16">
        <v>2</v>
      </c>
      <c r="AE16" s="12">
        <v>1</v>
      </c>
      <c r="AF16" s="11">
        <v>1737404</v>
      </c>
      <c r="AG16" s="11">
        <v>0</v>
      </c>
      <c r="AH16" s="12" t="s">
        <v>64</v>
      </c>
      <c r="AI16">
        <v>2215.5582729764283</v>
      </c>
      <c r="AJ16" s="12">
        <v>1</v>
      </c>
      <c r="AK16">
        <v>2215.5582729764283</v>
      </c>
      <c r="AL16">
        <v>1.2752118999999999E-3</v>
      </c>
      <c r="AM16">
        <v>1.2752118999999999E-3</v>
      </c>
    </row>
    <row r="17" spans="1:39" x14ac:dyDescent="0.2">
      <c r="A17">
        <v>16</v>
      </c>
      <c r="D17" t="s">
        <v>79</v>
      </c>
      <c r="E17">
        <v>1960</v>
      </c>
      <c r="F17" t="s">
        <v>56</v>
      </c>
      <c r="G17" t="s">
        <v>57</v>
      </c>
      <c r="H17" t="s">
        <v>58</v>
      </c>
      <c r="I17" t="s">
        <v>59</v>
      </c>
      <c r="J17">
        <v>1</v>
      </c>
      <c r="K17" t="s">
        <v>60</v>
      </c>
      <c r="L17">
        <v>1</v>
      </c>
      <c r="M17" t="s">
        <v>61</v>
      </c>
      <c r="N17">
        <v>2</v>
      </c>
      <c r="O17" t="s">
        <v>62</v>
      </c>
      <c r="P17">
        <v>1</v>
      </c>
      <c r="S17">
        <v>1960</v>
      </c>
      <c r="T17" s="11">
        <v>1013417</v>
      </c>
      <c r="U17">
        <v>0.136386300515971</v>
      </c>
      <c r="V17" s="11">
        <v>0</v>
      </c>
      <c r="W17">
        <v>0.142128752590504</v>
      </c>
      <c r="X17" s="11">
        <v>124446</v>
      </c>
      <c r="Y17">
        <v>0.136386300515971</v>
      </c>
      <c r="Z17" t="s">
        <v>63</v>
      </c>
      <c r="AA17" s="11">
        <v>1137863</v>
      </c>
      <c r="AC17" s="12">
        <v>0.93500000000000005</v>
      </c>
      <c r="AD17">
        <v>2</v>
      </c>
      <c r="AE17" s="12">
        <v>1</v>
      </c>
      <c r="AF17" s="11">
        <v>1137863</v>
      </c>
      <c r="AG17" s="11">
        <v>0</v>
      </c>
      <c r="AH17" s="12" t="s">
        <v>64</v>
      </c>
      <c r="AI17">
        <v>1451.0164493484403</v>
      </c>
      <c r="AJ17" s="12">
        <v>1</v>
      </c>
      <c r="AK17">
        <v>1451.0164493484403</v>
      </c>
      <c r="AL17">
        <v>1.2752118999999999E-3</v>
      </c>
      <c r="AM17">
        <v>1.2752118999999999E-3</v>
      </c>
    </row>
    <row r="18" spans="1:39" x14ac:dyDescent="0.2">
      <c r="A18">
        <v>17</v>
      </c>
      <c r="D18" t="s">
        <v>80</v>
      </c>
      <c r="E18">
        <v>1960</v>
      </c>
      <c r="F18" t="s">
        <v>56</v>
      </c>
      <c r="G18" t="s">
        <v>57</v>
      </c>
      <c r="H18" t="s">
        <v>58</v>
      </c>
      <c r="I18" t="s">
        <v>59</v>
      </c>
      <c r="J18">
        <v>1</v>
      </c>
      <c r="K18" t="s">
        <v>60</v>
      </c>
      <c r="L18">
        <v>1</v>
      </c>
      <c r="M18" t="s">
        <v>61</v>
      </c>
      <c r="N18">
        <v>2</v>
      </c>
      <c r="O18" t="s">
        <v>62</v>
      </c>
      <c r="P18">
        <v>1</v>
      </c>
      <c r="S18">
        <v>1960</v>
      </c>
      <c r="T18" s="11">
        <v>3082654</v>
      </c>
      <c r="U18">
        <v>0.136386300515971</v>
      </c>
      <c r="V18" s="11">
        <v>0</v>
      </c>
      <c r="W18">
        <v>0.142128752590504</v>
      </c>
      <c r="X18" s="11">
        <v>286924</v>
      </c>
      <c r="Y18">
        <v>0.136386300515971</v>
      </c>
      <c r="Z18" t="s">
        <v>63</v>
      </c>
      <c r="AA18" s="11">
        <v>3369578</v>
      </c>
      <c r="AC18" s="12">
        <v>0.93500000000000005</v>
      </c>
      <c r="AD18">
        <v>2</v>
      </c>
      <c r="AE18" s="12">
        <v>1</v>
      </c>
      <c r="AF18" s="11">
        <v>3369578</v>
      </c>
      <c r="AG18" s="11">
        <v>0</v>
      </c>
      <c r="AH18" s="12" t="s">
        <v>64</v>
      </c>
      <c r="AI18">
        <v>4296.9259966820428</v>
      </c>
      <c r="AJ18" s="12">
        <v>1</v>
      </c>
      <c r="AK18">
        <v>4296.9259966820428</v>
      </c>
      <c r="AL18">
        <v>1.2752118999999999E-3</v>
      </c>
      <c r="AM18">
        <v>1.2752118999999999E-3</v>
      </c>
    </row>
    <row r="19" spans="1:39" x14ac:dyDescent="0.2">
      <c r="A19">
        <v>18</v>
      </c>
      <c r="D19" t="s">
        <v>81</v>
      </c>
      <c r="E19">
        <v>1960</v>
      </c>
      <c r="F19" t="s">
        <v>56</v>
      </c>
      <c r="G19" t="s">
        <v>57</v>
      </c>
      <c r="H19" t="s">
        <v>58</v>
      </c>
      <c r="I19" t="s">
        <v>59</v>
      </c>
      <c r="J19">
        <v>1</v>
      </c>
      <c r="K19" t="s">
        <v>60</v>
      </c>
      <c r="L19">
        <v>1</v>
      </c>
      <c r="M19" t="s">
        <v>61</v>
      </c>
      <c r="N19">
        <v>2</v>
      </c>
      <c r="O19" t="s">
        <v>62</v>
      </c>
      <c r="P19">
        <v>1</v>
      </c>
      <c r="S19">
        <v>1960</v>
      </c>
      <c r="T19" s="11">
        <v>1013417</v>
      </c>
      <c r="U19">
        <v>0.136386300515971</v>
      </c>
      <c r="V19" s="11">
        <v>0</v>
      </c>
      <c r="W19">
        <v>0.142128752590504</v>
      </c>
      <c r="X19" s="11">
        <v>124446</v>
      </c>
      <c r="Y19">
        <v>0.136386300515971</v>
      </c>
      <c r="Z19" t="s">
        <v>63</v>
      </c>
      <c r="AA19" s="11">
        <v>1137863</v>
      </c>
      <c r="AC19" s="12">
        <v>0.93500000000000005</v>
      </c>
      <c r="AD19">
        <v>2</v>
      </c>
      <c r="AE19" s="12">
        <v>1</v>
      </c>
      <c r="AF19" s="11">
        <v>1137863</v>
      </c>
      <c r="AG19" s="11">
        <v>0</v>
      </c>
      <c r="AH19" s="12" t="s">
        <v>64</v>
      </c>
      <c r="AI19">
        <v>1451.0164493484403</v>
      </c>
      <c r="AJ19" s="12">
        <v>1</v>
      </c>
      <c r="AK19">
        <v>1451.0164493484403</v>
      </c>
      <c r="AL19">
        <v>1.2752118999999999E-3</v>
      </c>
      <c r="AM19">
        <v>1.2752118999999999E-3</v>
      </c>
    </row>
    <row r="20" spans="1:39" x14ac:dyDescent="0.2">
      <c r="A20">
        <v>19</v>
      </c>
      <c r="D20" t="s">
        <v>82</v>
      </c>
      <c r="E20">
        <v>1960</v>
      </c>
      <c r="F20" t="s">
        <v>56</v>
      </c>
      <c r="G20" t="s">
        <v>57</v>
      </c>
      <c r="H20" t="s">
        <v>58</v>
      </c>
      <c r="I20" t="s">
        <v>59</v>
      </c>
      <c r="J20">
        <v>1</v>
      </c>
      <c r="K20" t="s">
        <v>60</v>
      </c>
      <c r="L20">
        <v>1</v>
      </c>
      <c r="M20" t="s">
        <v>61</v>
      </c>
      <c r="N20">
        <v>2</v>
      </c>
      <c r="O20" t="s">
        <v>62</v>
      </c>
      <c r="P20">
        <v>1</v>
      </c>
      <c r="S20">
        <v>1960</v>
      </c>
      <c r="T20" s="11">
        <v>2938284</v>
      </c>
      <c r="U20">
        <v>0.136386300515971</v>
      </c>
      <c r="V20" s="11">
        <v>0</v>
      </c>
      <c r="W20">
        <v>0.142128752590504</v>
      </c>
      <c r="X20" s="11">
        <v>232765</v>
      </c>
      <c r="Y20">
        <v>0.136386300515971</v>
      </c>
      <c r="Z20" t="s">
        <v>63</v>
      </c>
      <c r="AA20" s="11">
        <v>3171049</v>
      </c>
      <c r="AC20" s="12">
        <v>0.93500000000000005</v>
      </c>
      <c r="AD20">
        <v>2</v>
      </c>
      <c r="AE20" s="12">
        <v>1</v>
      </c>
      <c r="AF20" s="11">
        <v>3171049</v>
      </c>
      <c r="AG20" s="11">
        <v>0</v>
      </c>
      <c r="AH20" s="12" t="s">
        <v>64</v>
      </c>
      <c r="AI20">
        <v>4043.7594514365283</v>
      </c>
      <c r="AJ20" s="12">
        <v>1</v>
      </c>
      <c r="AK20">
        <v>4043.7594514365283</v>
      </c>
      <c r="AL20">
        <v>1.2752118999999999E-3</v>
      </c>
      <c r="AM20">
        <v>1.2752118999999999E-3</v>
      </c>
    </row>
    <row r="21" spans="1:39" x14ac:dyDescent="0.2">
      <c r="A21">
        <v>20</v>
      </c>
      <c r="D21" t="s">
        <v>83</v>
      </c>
      <c r="E21">
        <v>1960</v>
      </c>
      <c r="F21" t="s">
        <v>56</v>
      </c>
      <c r="G21" t="s">
        <v>57</v>
      </c>
      <c r="H21" t="s">
        <v>58</v>
      </c>
      <c r="I21" t="s">
        <v>59</v>
      </c>
      <c r="J21">
        <v>1</v>
      </c>
      <c r="K21" t="s">
        <v>60</v>
      </c>
      <c r="L21">
        <v>1</v>
      </c>
      <c r="M21" t="s">
        <v>61</v>
      </c>
      <c r="N21">
        <v>2</v>
      </c>
      <c r="O21" t="s">
        <v>62</v>
      </c>
      <c r="P21">
        <v>1</v>
      </c>
      <c r="S21">
        <v>1960</v>
      </c>
      <c r="T21" s="11">
        <v>330654</v>
      </c>
      <c r="U21">
        <v>0.136386300515971</v>
      </c>
      <c r="V21" s="11">
        <v>0</v>
      </c>
      <c r="W21">
        <v>0.142128752590504</v>
      </c>
      <c r="X21" s="11">
        <v>43207</v>
      </c>
      <c r="Y21">
        <v>0.136386300515971</v>
      </c>
      <c r="Z21" t="s">
        <v>63</v>
      </c>
      <c r="AA21" s="11">
        <v>373861</v>
      </c>
      <c r="AC21" s="12">
        <v>0.93500000000000005</v>
      </c>
      <c r="AD21">
        <v>2</v>
      </c>
      <c r="AE21" s="12">
        <v>1</v>
      </c>
      <c r="AF21" s="11">
        <v>373861</v>
      </c>
      <c r="AG21" s="11">
        <v>0</v>
      </c>
      <c r="AH21" s="12" t="s">
        <v>64</v>
      </c>
      <c r="AI21">
        <v>476.75199981883338</v>
      </c>
      <c r="AJ21" s="12">
        <v>1</v>
      </c>
      <c r="AK21">
        <v>476.75199981883338</v>
      </c>
      <c r="AL21">
        <v>1.2752118999999999E-3</v>
      </c>
      <c r="AM21">
        <v>1.2752118999999999E-3</v>
      </c>
    </row>
    <row r="22" spans="1:39" x14ac:dyDescent="0.2">
      <c r="A22">
        <v>21</v>
      </c>
      <c r="D22" t="s">
        <v>84</v>
      </c>
      <c r="E22">
        <v>1960</v>
      </c>
      <c r="F22" t="s">
        <v>56</v>
      </c>
      <c r="G22" t="s">
        <v>57</v>
      </c>
      <c r="H22" t="s">
        <v>58</v>
      </c>
      <c r="I22" t="s">
        <v>59</v>
      </c>
      <c r="J22">
        <v>1</v>
      </c>
      <c r="K22" t="s">
        <v>60</v>
      </c>
      <c r="L22">
        <v>1</v>
      </c>
      <c r="M22" t="s">
        <v>61</v>
      </c>
      <c r="N22">
        <v>2</v>
      </c>
      <c r="O22" t="s">
        <v>62</v>
      </c>
      <c r="P22">
        <v>1</v>
      </c>
      <c r="S22">
        <v>1960</v>
      </c>
      <c r="T22" s="11">
        <v>1609558</v>
      </c>
      <c r="U22">
        <v>0.136386300515971</v>
      </c>
      <c r="V22" s="11">
        <v>0</v>
      </c>
      <c r="W22">
        <v>0.142128752590504</v>
      </c>
      <c r="X22" s="11">
        <v>124446</v>
      </c>
      <c r="Y22">
        <v>0.136386300515971</v>
      </c>
      <c r="Z22" t="s">
        <v>63</v>
      </c>
      <c r="AA22" s="11">
        <v>1734004</v>
      </c>
      <c r="AC22" s="12">
        <v>0.93500000000000005</v>
      </c>
      <c r="AD22">
        <v>2</v>
      </c>
      <c r="AE22" s="12">
        <v>1</v>
      </c>
      <c r="AF22" s="11">
        <v>1734004</v>
      </c>
      <c r="AG22" s="11">
        <v>0</v>
      </c>
      <c r="AH22" s="12" t="s">
        <v>64</v>
      </c>
      <c r="AI22">
        <v>2211.2225524830255</v>
      </c>
      <c r="AJ22" s="12">
        <v>1</v>
      </c>
      <c r="AK22">
        <v>2211.2225524830255</v>
      </c>
      <c r="AL22">
        <v>1.2752118999999999E-3</v>
      </c>
      <c r="AM22">
        <v>1.2752118999999999E-3</v>
      </c>
    </row>
    <row r="23" spans="1:39" x14ac:dyDescent="0.2">
      <c r="A23">
        <v>22</v>
      </c>
      <c r="D23" t="s">
        <v>85</v>
      </c>
      <c r="E23">
        <v>1960</v>
      </c>
      <c r="F23" t="s">
        <v>56</v>
      </c>
      <c r="G23" t="s">
        <v>57</v>
      </c>
      <c r="H23" t="s">
        <v>58</v>
      </c>
      <c r="I23" t="s">
        <v>59</v>
      </c>
      <c r="J23">
        <v>1</v>
      </c>
      <c r="K23" t="s">
        <v>60</v>
      </c>
      <c r="L23">
        <v>1</v>
      </c>
      <c r="M23" t="s">
        <v>61</v>
      </c>
      <c r="N23">
        <v>2</v>
      </c>
      <c r="O23" t="s">
        <v>62</v>
      </c>
      <c r="P23">
        <v>1</v>
      </c>
      <c r="S23">
        <v>1960</v>
      </c>
      <c r="T23" s="11">
        <v>2801003</v>
      </c>
      <c r="U23">
        <v>0.136386300515971</v>
      </c>
      <c r="V23" s="11">
        <v>0</v>
      </c>
      <c r="W23">
        <v>0.142128752590504</v>
      </c>
      <c r="X23" s="11">
        <v>151525</v>
      </c>
      <c r="Y23">
        <v>0.136386300515971</v>
      </c>
      <c r="Z23" t="s">
        <v>63</v>
      </c>
      <c r="AA23" s="11">
        <v>2952528</v>
      </c>
      <c r="AC23" s="12">
        <v>0.93500000000000005</v>
      </c>
      <c r="AD23">
        <v>2</v>
      </c>
      <c r="AE23" s="12">
        <v>1</v>
      </c>
      <c r="AF23" s="11">
        <v>2952528</v>
      </c>
      <c r="AG23" s="11">
        <v>0</v>
      </c>
      <c r="AH23" s="12" t="s">
        <v>64</v>
      </c>
      <c r="AI23">
        <v>3765.0988696898062</v>
      </c>
      <c r="AJ23" s="12">
        <v>1</v>
      </c>
      <c r="AK23">
        <v>3765.0988696898062</v>
      </c>
      <c r="AL23">
        <v>1.2752118999999999E-3</v>
      </c>
      <c r="AM23">
        <v>1.2752118999999999E-3</v>
      </c>
    </row>
    <row r="24" spans="1:39" x14ac:dyDescent="0.2">
      <c r="A24">
        <v>23</v>
      </c>
      <c r="D24" t="s">
        <v>86</v>
      </c>
      <c r="E24">
        <v>1960</v>
      </c>
      <c r="F24" t="s">
        <v>56</v>
      </c>
      <c r="G24" t="s">
        <v>57</v>
      </c>
      <c r="H24" t="s">
        <v>58</v>
      </c>
      <c r="I24" t="s">
        <v>59</v>
      </c>
      <c r="J24">
        <v>1</v>
      </c>
      <c r="K24" t="s">
        <v>60</v>
      </c>
      <c r="L24">
        <v>1</v>
      </c>
      <c r="M24" t="s">
        <v>61</v>
      </c>
      <c r="N24">
        <v>2</v>
      </c>
      <c r="O24" t="s">
        <v>62</v>
      </c>
      <c r="P24">
        <v>1</v>
      </c>
      <c r="S24">
        <v>1960</v>
      </c>
      <c r="T24" s="11">
        <v>441563</v>
      </c>
      <c r="U24">
        <v>0.136386300515971</v>
      </c>
      <c r="V24" s="11">
        <v>0</v>
      </c>
      <c r="W24">
        <v>0.142128752590504</v>
      </c>
      <c r="X24" s="11">
        <v>70286</v>
      </c>
      <c r="Y24">
        <v>0.136386300515971</v>
      </c>
      <c r="Z24" t="s">
        <v>63</v>
      </c>
      <c r="AA24" s="11">
        <v>511849</v>
      </c>
      <c r="AC24" s="12">
        <v>0.93500000000000005</v>
      </c>
      <c r="AD24">
        <v>2</v>
      </c>
      <c r="AE24" s="12">
        <v>1</v>
      </c>
      <c r="AF24" s="11">
        <v>511849</v>
      </c>
      <c r="AG24" s="11">
        <v>0</v>
      </c>
      <c r="AH24" s="12" t="s">
        <v>64</v>
      </c>
      <c r="AI24">
        <v>652.71594083167292</v>
      </c>
      <c r="AJ24" s="12">
        <v>1</v>
      </c>
      <c r="AK24">
        <v>652.71594083167292</v>
      </c>
      <c r="AL24">
        <v>1.2752118999999999E-3</v>
      </c>
      <c r="AM24">
        <v>1.2752118999999999E-3</v>
      </c>
    </row>
    <row r="25" spans="1:39" x14ac:dyDescent="0.2">
      <c r="A25">
        <v>24</v>
      </c>
      <c r="D25" t="s">
        <v>87</v>
      </c>
      <c r="E25">
        <v>1960</v>
      </c>
      <c r="F25" t="s">
        <v>56</v>
      </c>
      <c r="G25" t="s">
        <v>57</v>
      </c>
      <c r="H25" t="s">
        <v>58</v>
      </c>
      <c r="I25" t="s">
        <v>59</v>
      </c>
      <c r="J25">
        <v>1</v>
      </c>
      <c r="K25" t="s">
        <v>60</v>
      </c>
      <c r="L25">
        <v>1</v>
      </c>
      <c r="M25" t="s">
        <v>61</v>
      </c>
      <c r="N25">
        <v>2</v>
      </c>
      <c r="O25" t="s">
        <v>62</v>
      </c>
      <c r="P25">
        <v>1</v>
      </c>
      <c r="S25">
        <v>1960</v>
      </c>
      <c r="T25" s="11">
        <v>4528488</v>
      </c>
      <c r="U25">
        <v>0.136386300515971</v>
      </c>
      <c r="V25" s="11">
        <v>0</v>
      </c>
      <c r="W25">
        <v>0.142128752590504</v>
      </c>
      <c r="X25" s="11">
        <v>422328</v>
      </c>
      <c r="Y25">
        <v>0.136386300515971</v>
      </c>
      <c r="Z25" t="s">
        <v>63</v>
      </c>
      <c r="AA25" s="11">
        <v>4950816</v>
      </c>
      <c r="AC25" s="12">
        <v>0.93500000000000005</v>
      </c>
      <c r="AD25">
        <v>2</v>
      </c>
      <c r="AE25" s="12">
        <v>1</v>
      </c>
      <c r="AF25" s="11">
        <v>4950816</v>
      </c>
      <c r="AG25" s="11">
        <v>0</v>
      </c>
      <c r="AH25" s="12" t="s">
        <v>64</v>
      </c>
      <c r="AI25">
        <v>6313.3395265488443</v>
      </c>
      <c r="AJ25" s="12">
        <v>1</v>
      </c>
      <c r="AK25">
        <v>6313.3395265488443</v>
      </c>
      <c r="AL25">
        <v>1.2752118999999999E-3</v>
      </c>
      <c r="AM25">
        <v>1.2752118999999999E-3</v>
      </c>
    </row>
    <row r="26" spans="1:39" x14ac:dyDescent="0.2">
      <c r="A26">
        <v>25</v>
      </c>
      <c r="D26" t="s">
        <v>88</v>
      </c>
      <c r="E26">
        <v>1960</v>
      </c>
      <c r="F26" t="s">
        <v>56</v>
      </c>
      <c r="G26" t="s">
        <v>57</v>
      </c>
      <c r="H26" t="s">
        <v>58</v>
      </c>
      <c r="I26" t="s">
        <v>59</v>
      </c>
      <c r="J26">
        <v>1</v>
      </c>
      <c r="K26" t="s">
        <v>60</v>
      </c>
      <c r="L26">
        <v>1</v>
      </c>
      <c r="M26" t="s">
        <v>61</v>
      </c>
      <c r="N26">
        <v>2</v>
      </c>
      <c r="O26" t="s">
        <v>62</v>
      </c>
      <c r="P26">
        <v>1</v>
      </c>
      <c r="S26">
        <v>1960</v>
      </c>
      <c r="T26" s="11">
        <v>1159335</v>
      </c>
      <c r="U26">
        <v>0.136386300515971</v>
      </c>
      <c r="V26" s="11">
        <v>0</v>
      </c>
      <c r="W26">
        <v>0.142128752590504</v>
      </c>
      <c r="X26" s="11">
        <v>178605</v>
      </c>
      <c r="Y26">
        <v>0.136386300515971</v>
      </c>
      <c r="Z26" t="s">
        <v>63</v>
      </c>
      <c r="AA26" s="11">
        <v>1337940</v>
      </c>
      <c r="AC26" s="12">
        <v>0.93500000000000005</v>
      </c>
      <c r="AD26">
        <v>2</v>
      </c>
      <c r="AE26" s="12">
        <v>1</v>
      </c>
      <c r="AF26" s="11">
        <v>1337940</v>
      </c>
      <c r="AG26" s="11">
        <v>0</v>
      </c>
      <c r="AH26" s="12" t="s">
        <v>64</v>
      </c>
      <c r="AI26">
        <v>1706.1570226303625</v>
      </c>
      <c r="AJ26" s="12">
        <v>1</v>
      </c>
      <c r="AK26">
        <v>1706.1570226303625</v>
      </c>
      <c r="AL26">
        <v>1.2752118999999999E-3</v>
      </c>
      <c r="AM26">
        <v>1.2752118999999999E-3</v>
      </c>
    </row>
    <row r="27" spans="1:39" x14ac:dyDescent="0.2">
      <c r="A27">
        <v>26</v>
      </c>
      <c r="D27" t="s">
        <v>89</v>
      </c>
      <c r="E27">
        <v>1960</v>
      </c>
      <c r="F27" t="s">
        <v>56</v>
      </c>
      <c r="G27" t="s">
        <v>57</v>
      </c>
      <c r="H27" t="s">
        <v>58</v>
      </c>
      <c r="I27" t="s">
        <v>59</v>
      </c>
      <c r="J27">
        <v>1</v>
      </c>
      <c r="K27" t="s">
        <v>60</v>
      </c>
      <c r="L27">
        <v>1</v>
      </c>
      <c r="M27" t="s">
        <v>61</v>
      </c>
      <c r="N27">
        <v>2</v>
      </c>
      <c r="O27" t="s">
        <v>62</v>
      </c>
      <c r="P27">
        <v>1</v>
      </c>
      <c r="S27">
        <v>1960</v>
      </c>
      <c r="T27" s="11">
        <v>2801003</v>
      </c>
      <c r="U27">
        <v>0.136386300515971</v>
      </c>
      <c r="V27" s="11">
        <v>0</v>
      </c>
      <c r="W27">
        <v>0.142128752590504</v>
      </c>
      <c r="X27" s="11">
        <v>124446</v>
      </c>
      <c r="Y27">
        <v>0.136386300515971</v>
      </c>
      <c r="Z27" t="s">
        <v>63</v>
      </c>
      <c r="AA27" s="11">
        <v>2925449</v>
      </c>
      <c r="AC27" s="12">
        <v>0.93500000000000005</v>
      </c>
      <c r="AD27">
        <v>2</v>
      </c>
      <c r="AE27" s="12">
        <v>1</v>
      </c>
      <c r="AF27" s="11">
        <v>2925449</v>
      </c>
      <c r="AG27" s="11">
        <v>0</v>
      </c>
      <c r="AH27" s="12" t="s">
        <v>64</v>
      </c>
      <c r="AI27">
        <v>3730.5674063836732</v>
      </c>
      <c r="AJ27" s="12">
        <v>1</v>
      </c>
      <c r="AK27">
        <v>3730.5674063836732</v>
      </c>
      <c r="AL27">
        <v>1.2752118999999999E-3</v>
      </c>
      <c r="AM27">
        <v>1.2752118999999999E-3</v>
      </c>
    </row>
    <row r="28" spans="1:39" x14ac:dyDescent="0.2">
      <c r="A28">
        <v>27</v>
      </c>
      <c r="D28" t="s">
        <v>90</v>
      </c>
      <c r="E28">
        <v>1960</v>
      </c>
      <c r="F28" t="s">
        <v>56</v>
      </c>
      <c r="G28" t="s">
        <v>57</v>
      </c>
      <c r="H28" t="s">
        <v>58</v>
      </c>
      <c r="I28" t="s">
        <v>59</v>
      </c>
      <c r="J28">
        <v>1</v>
      </c>
      <c r="K28" t="s">
        <v>60</v>
      </c>
      <c r="L28">
        <v>1</v>
      </c>
      <c r="M28" t="s">
        <v>61</v>
      </c>
      <c r="N28">
        <v>2</v>
      </c>
      <c r="O28" t="s">
        <v>62</v>
      </c>
      <c r="P28">
        <v>1</v>
      </c>
      <c r="S28">
        <v>1960</v>
      </c>
      <c r="T28" s="11">
        <v>980536</v>
      </c>
      <c r="U28">
        <v>0.136386300515971</v>
      </c>
      <c r="V28" s="11">
        <v>0</v>
      </c>
      <c r="W28">
        <v>0.142128752590504</v>
      </c>
      <c r="X28" s="11">
        <v>110906</v>
      </c>
      <c r="Y28">
        <v>0.136386300515971</v>
      </c>
      <c r="Z28" t="s">
        <v>63</v>
      </c>
      <c r="AA28" s="11">
        <v>1091442</v>
      </c>
      <c r="AC28" s="12">
        <v>0.93500000000000005</v>
      </c>
      <c r="AD28">
        <v>2</v>
      </c>
      <c r="AE28" s="12">
        <v>1</v>
      </c>
      <c r="AF28" s="11">
        <v>1091442</v>
      </c>
      <c r="AG28" s="11">
        <v>0</v>
      </c>
      <c r="AH28" s="12" t="s">
        <v>64</v>
      </c>
      <c r="AI28">
        <v>1391.8198372824852</v>
      </c>
      <c r="AJ28" s="12">
        <v>1</v>
      </c>
      <c r="AK28">
        <v>1391.8198372824852</v>
      </c>
      <c r="AL28">
        <v>1.2752118999999999E-3</v>
      </c>
      <c r="AM28">
        <v>1.2752118999999999E-3</v>
      </c>
    </row>
    <row r="29" spans="1:39" x14ac:dyDescent="0.2">
      <c r="A29">
        <v>28</v>
      </c>
      <c r="D29" t="s">
        <v>91</v>
      </c>
      <c r="E29">
        <v>1960</v>
      </c>
      <c r="F29" t="s">
        <v>56</v>
      </c>
      <c r="G29" t="s">
        <v>57</v>
      </c>
      <c r="H29" t="s">
        <v>58</v>
      </c>
      <c r="I29" t="s">
        <v>59</v>
      </c>
      <c r="J29">
        <v>1</v>
      </c>
      <c r="K29" t="s">
        <v>60</v>
      </c>
      <c r="L29">
        <v>1</v>
      </c>
      <c r="M29" t="s">
        <v>61</v>
      </c>
      <c r="N29">
        <v>2</v>
      </c>
      <c r="O29" t="s">
        <v>62</v>
      </c>
      <c r="P29">
        <v>1</v>
      </c>
      <c r="S29">
        <v>1960</v>
      </c>
      <c r="T29" s="11">
        <v>3090090</v>
      </c>
      <c r="U29">
        <v>0.136386300515971</v>
      </c>
      <c r="V29" s="11">
        <v>0</v>
      </c>
      <c r="W29">
        <v>0.142128752590504</v>
      </c>
      <c r="X29" s="11">
        <v>232765</v>
      </c>
      <c r="Y29">
        <v>0.136386300515971</v>
      </c>
      <c r="Z29" t="s">
        <v>63</v>
      </c>
      <c r="AA29" s="11">
        <v>3322855</v>
      </c>
      <c r="AC29" s="12">
        <v>0.93500000000000005</v>
      </c>
      <c r="AD29">
        <v>2</v>
      </c>
      <c r="AE29" s="12">
        <v>1</v>
      </c>
      <c r="AF29" s="11">
        <v>3322855</v>
      </c>
      <c r="AG29" s="11">
        <v>0</v>
      </c>
      <c r="AH29" s="12" t="s">
        <v>64</v>
      </c>
      <c r="AI29">
        <v>4237.34427061932</v>
      </c>
      <c r="AJ29" s="12">
        <v>1</v>
      </c>
      <c r="AK29">
        <v>4237.34427061932</v>
      </c>
      <c r="AL29">
        <v>1.2752118999999999E-3</v>
      </c>
      <c r="AM29">
        <v>1.2752118999999999E-3</v>
      </c>
    </row>
    <row r="30" spans="1:39" x14ac:dyDescent="0.2">
      <c r="A30">
        <v>29</v>
      </c>
      <c r="D30" t="s">
        <v>92</v>
      </c>
      <c r="E30">
        <v>1960</v>
      </c>
      <c r="F30" t="s">
        <v>56</v>
      </c>
      <c r="G30" t="s">
        <v>57</v>
      </c>
      <c r="H30" t="s">
        <v>58</v>
      </c>
      <c r="I30" t="s">
        <v>59</v>
      </c>
      <c r="J30">
        <v>1</v>
      </c>
      <c r="K30" t="s">
        <v>60</v>
      </c>
      <c r="L30">
        <v>1</v>
      </c>
      <c r="M30" t="s">
        <v>61</v>
      </c>
      <c r="N30">
        <v>2</v>
      </c>
      <c r="O30" t="s">
        <v>62</v>
      </c>
      <c r="P30">
        <v>1</v>
      </c>
      <c r="S30">
        <v>1960</v>
      </c>
      <c r="T30" s="11">
        <v>4390427</v>
      </c>
      <c r="U30">
        <v>0.136386300515971</v>
      </c>
      <c r="V30" s="11">
        <v>0</v>
      </c>
      <c r="W30">
        <v>0.142128752590504</v>
      </c>
      <c r="X30" s="11">
        <v>395243</v>
      </c>
      <c r="Y30">
        <v>0.136386300515971</v>
      </c>
      <c r="Z30" t="s">
        <v>63</v>
      </c>
      <c r="AA30" s="11">
        <v>4785670</v>
      </c>
      <c r="AC30" s="12">
        <v>0.93500000000000005</v>
      </c>
      <c r="AD30">
        <v>2</v>
      </c>
      <c r="AE30" s="12">
        <v>1</v>
      </c>
      <c r="AF30" s="11">
        <v>4785670</v>
      </c>
      <c r="AG30" s="11">
        <v>0</v>
      </c>
      <c r="AH30" s="12" t="s">
        <v>64</v>
      </c>
      <c r="AI30">
        <v>6102.7433804889961</v>
      </c>
      <c r="AJ30" s="12">
        <v>1</v>
      </c>
      <c r="AK30">
        <v>6102.7433804889961</v>
      </c>
      <c r="AL30">
        <v>1.2752118999999999E-3</v>
      </c>
      <c r="AM30">
        <v>1.2752118999999999E-3</v>
      </c>
    </row>
    <row r="31" spans="1:39" x14ac:dyDescent="0.2">
      <c r="A31">
        <v>30</v>
      </c>
      <c r="D31" t="s">
        <v>93</v>
      </c>
      <c r="E31">
        <v>1960</v>
      </c>
      <c r="F31" t="s">
        <v>56</v>
      </c>
      <c r="G31" t="s">
        <v>57</v>
      </c>
      <c r="H31" t="s">
        <v>58</v>
      </c>
      <c r="I31" t="s">
        <v>59</v>
      </c>
      <c r="J31">
        <v>1</v>
      </c>
      <c r="K31" t="s">
        <v>60</v>
      </c>
      <c r="L31">
        <v>1</v>
      </c>
      <c r="M31" t="s">
        <v>61</v>
      </c>
      <c r="N31">
        <v>2</v>
      </c>
      <c r="O31" t="s">
        <v>62</v>
      </c>
      <c r="P31">
        <v>1</v>
      </c>
      <c r="S31">
        <v>1960</v>
      </c>
      <c r="T31" s="11">
        <v>803748</v>
      </c>
      <c r="U31">
        <v>0.136386300515971</v>
      </c>
      <c r="V31" s="11">
        <v>0</v>
      </c>
      <c r="W31">
        <v>0.142128752590504</v>
      </c>
      <c r="X31" s="11">
        <v>124446</v>
      </c>
      <c r="Y31">
        <v>0.136386300515971</v>
      </c>
      <c r="Z31" t="s">
        <v>63</v>
      </c>
      <c r="AA31" s="11">
        <v>928194</v>
      </c>
      <c r="AC31" s="12">
        <v>0.93500000000000005</v>
      </c>
      <c r="AD31">
        <v>2</v>
      </c>
      <c r="AE31" s="12">
        <v>1</v>
      </c>
      <c r="AF31" s="11">
        <v>928194</v>
      </c>
      <c r="AG31" s="11">
        <v>0</v>
      </c>
      <c r="AH31" s="12" t="s">
        <v>64</v>
      </c>
      <c r="AI31">
        <v>1183.644043427483</v>
      </c>
      <c r="AJ31" s="12">
        <v>1</v>
      </c>
      <c r="AK31">
        <v>1183.644043427483</v>
      </c>
      <c r="AL31">
        <v>1.2752118999999999E-3</v>
      </c>
      <c r="AM31">
        <v>1.2752118999999999E-3</v>
      </c>
    </row>
    <row r="32" spans="1:39" x14ac:dyDescent="0.2">
      <c r="A32">
        <v>31</v>
      </c>
      <c r="D32" t="s">
        <v>94</v>
      </c>
      <c r="E32">
        <v>1960</v>
      </c>
      <c r="F32" t="s">
        <v>56</v>
      </c>
      <c r="G32" t="s">
        <v>57</v>
      </c>
      <c r="H32" t="s">
        <v>58</v>
      </c>
      <c r="I32" t="s">
        <v>59</v>
      </c>
      <c r="J32">
        <v>1</v>
      </c>
      <c r="K32" t="s">
        <v>60</v>
      </c>
      <c r="L32">
        <v>1</v>
      </c>
      <c r="M32" t="s">
        <v>61</v>
      </c>
      <c r="N32">
        <v>2</v>
      </c>
      <c r="O32" t="s">
        <v>62</v>
      </c>
      <c r="P32">
        <v>1</v>
      </c>
      <c r="S32">
        <v>1960</v>
      </c>
      <c r="T32" s="11">
        <v>979105</v>
      </c>
      <c r="U32">
        <v>0.136386300515971</v>
      </c>
      <c r="V32" s="11">
        <v>0</v>
      </c>
      <c r="W32">
        <v>0.142128752590504</v>
      </c>
      <c r="X32" s="11">
        <v>110906</v>
      </c>
      <c r="Y32">
        <v>0.136386300515971</v>
      </c>
      <c r="Z32" t="s">
        <v>63</v>
      </c>
      <c r="AA32" s="11">
        <v>1090011</v>
      </c>
      <c r="AC32" s="12">
        <v>0.93500000000000005</v>
      </c>
      <c r="AD32">
        <v>2</v>
      </c>
      <c r="AE32" s="12">
        <v>1</v>
      </c>
      <c r="AF32" s="11">
        <v>1090011</v>
      </c>
      <c r="AG32" s="11">
        <v>0</v>
      </c>
      <c r="AH32" s="12" t="s">
        <v>64</v>
      </c>
      <c r="AI32">
        <v>1389.9950090395266</v>
      </c>
      <c r="AJ32" s="12">
        <v>1</v>
      </c>
      <c r="AK32">
        <v>1389.9950090395266</v>
      </c>
      <c r="AL32">
        <v>1.2752118999999999E-3</v>
      </c>
      <c r="AM32">
        <v>1.2752118999999999E-3</v>
      </c>
    </row>
    <row r="33" spans="1:39" x14ac:dyDescent="0.2">
      <c r="A33">
        <v>32</v>
      </c>
      <c r="D33" t="s">
        <v>95</v>
      </c>
      <c r="E33">
        <v>1960</v>
      </c>
      <c r="F33" t="s">
        <v>56</v>
      </c>
      <c r="G33" t="s">
        <v>57</v>
      </c>
      <c r="H33" t="s">
        <v>58</v>
      </c>
      <c r="I33" t="s">
        <v>59</v>
      </c>
      <c r="J33">
        <v>1</v>
      </c>
      <c r="K33" t="s">
        <v>60</v>
      </c>
      <c r="L33">
        <v>1</v>
      </c>
      <c r="M33" t="s">
        <v>61</v>
      </c>
      <c r="N33">
        <v>2</v>
      </c>
      <c r="O33" t="s">
        <v>62</v>
      </c>
      <c r="P33">
        <v>1</v>
      </c>
      <c r="S33">
        <v>1960</v>
      </c>
      <c r="T33" s="11">
        <v>851751</v>
      </c>
      <c r="U33">
        <v>0.136386300515971</v>
      </c>
      <c r="V33" s="11">
        <v>0</v>
      </c>
      <c r="W33">
        <v>0.142128752590504</v>
      </c>
      <c r="X33" s="11">
        <v>97336</v>
      </c>
      <c r="Y33">
        <v>0.136386300515971</v>
      </c>
      <c r="Z33" t="s">
        <v>63</v>
      </c>
      <c r="AA33" s="11">
        <v>949087</v>
      </c>
      <c r="AC33" s="12">
        <v>0.93500000000000005</v>
      </c>
      <c r="AD33">
        <v>2</v>
      </c>
      <c r="AE33" s="12">
        <v>1</v>
      </c>
      <c r="AF33" s="11">
        <v>949087</v>
      </c>
      <c r="AG33" s="11">
        <v>0</v>
      </c>
      <c r="AH33" s="12" t="s">
        <v>64</v>
      </c>
      <c r="AI33">
        <v>1210.2870458594427</v>
      </c>
      <c r="AJ33" s="12">
        <v>1</v>
      </c>
      <c r="AK33">
        <v>1210.2870458594427</v>
      </c>
      <c r="AL33">
        <v>1.2752118999999999E-3</v>
      </c>
      <c r="AM33">
        <v>1.2752118999999999E-3</v>
      </c>
    </row>
    <row r="34" spans="1:39" x14ac:dyDescent="0.2">
      <c r="A34">
        <v>33</v>
      </c>
      <c r="D34" t="s">
        <v>96</v>
      </c>
      <c r="E34">
        <v>1960</v>
      </c>
      <c r="F34" t="s">
        <v>56</v>
      </c>
      <c r="G34" t="s">
        <v>57</v>
      </c>
      <c r="H34" t="s">
        <v>58</v>
      </c>
      <c r="I34" t="s">
        <v>59</v>
      </c>
      <c r="J34">
        <v>1</v>
      </c>
      <c r="K34" t="s">
        <v>60</v>
      </c>
      <c r="L34">
        <v>1</v>
      </c>
      <c r="M34" t="s">
        <v>61</v>
      </c>
      <c r="N34">
        <v>2</v>
      </c>
      <c r="O34" t="s">
        <v>62</v>
      </c>
      <c r="P34">
        <v>1</v>
      </c>
      <c r="S34">
        <v>1960</v>
      </c>
      <c r="T34" s="11">
        <v>366695</v>
      </c>
      <c r="U34">
        <v>0.136386300515971</v>
      </c>
      <c r="V34" s="11">
        <v>0</v>
      </c>
      <c r="W34">
        <v>0.142128752590504</v>
      </c>
      <c r="X34" s="11">
        <v>70286</v>
      </c>
      <c r="Y34">
        <v>0.136386300515971</v>
      </c>
      <c r="Z34" t="s">
        <v>63</v>
      </c>
      <c r="AA34" s="11">
        <v>436981</v>
      </c>
      <c r="AC34" s="12">
        <v>0.93500000000000005</v>
      </c>
      <c r="AD34">
        <v>2</v>
      </c>
      <c r="AE34" s="12">
        <v>1</v>
      </c>
      <c r="AF34" s="11">
        <v>436981</v>
      </c>
      <c r="AG34" s="11">
        <v>0</v>
      </c>
      <c r="AH34" s="12" t="s">
        <v>64</v>
      </c>
      <c r="AI34">
        <v>557.24337556694502</v>
      </c>
      <c r="AJ34" s="12">
        <v>1</v>
      </c>
      <c r="AK34">
        <v>557.24337556694502</v>
      </c>
      <c r="AL34">
        <v>1.2752118999999999E-3</v>
      </c>
      <c r="AM34">
        <v>1.2752118999999999E-3</v>
      </c>
    </row>
    <row r="35" spans="1:39" x14ac:dyDescent="0.2">
      <c r="A35">
        <v>34</v>
      </c>
      <c r="D35" t="s">
        <v>97</v>
      </c>
      <c r="E35">
        <v>1960</v>
      </c>
      <c r="F35" t="s">
        <v>56</v>
      </c>
      <c r="G35" t="s">
        <v>57</v>
      </c>
      <c r="H35" t="s">
        <v>58</v>
      </c>
      <c r="I35" t="s">
        <v>59</v>
      </c>
      <c r="J35">
        <v>1</v>
      </c>
      <c r="K35" t="s">
        <v>60</v>
      </c>
      <c r="L35">
        <v>1</v>
      </c>
      <c r="M35" t="s">
        <v>61</v>
      </c>
      <c r="N35">
        <v>2</v>
      </c>
      <c r="O35" t="s">
        <v>62</v>
      </c>
      <c r="P35">
        <v>1</v>
      </c>
      <c r="S35">
        <v>1960</v>
      </c>
      <c r="T35" s="11">
        <v>1012463</v>
      </c>
      <c r="U35">
        <v>0.136386300515971</v>
      </c>
      <c r="V35" s="11">
        <v>0</v>
      </c>
      <c r="W35">
        <v>0.142128752590504</v>
      </c>
      <c r="X35" s="11">
        <v>124446</v>
      </c>
      <c r="Y35">
        <v>0.136386300515971</v>
      </c>
      <c r="Z35" t="s">
        <v>63</v>
      </c>
      <c r="AA35" s="11">
        <v>1136909</v>
      </c>
      <c r="AC35" s="12">
        <v>0.93500000000000005</v>
      </c>
      <c r="AD35">
        <v>2</v>
      </c>
      <c r="AE35" s="12">
        <v>1</v>
      </c>
      <c r="AF35" s="11">
        <v>1136909</v>
      </c>
      <c r="AG35" s="11">
        <v>0</v>
      </c>
      <c r="AH35" s="12" t="s">
        <v>64</v>
      </c>
      <c r="AI35">
        <v>1449.7998971864679</v>
      </c>
      <c r="AJ35" s="12">
        <v>1</v>
      </c>
      <c r="AK35">
        <v>1449.7998971864679</v>
      </c>
      <c r="AL35">
        <v>1.2752118999999999E-3</v>
      </c>
      <c r="AM35">
        <v>1.2752118999999999E-3</v>
      </c>
    </row>
    <row r="36" spans="1:39" x14ac:dyDescent="0.2">
      <c r="A36">
        <v>35</v>
      </c>
      <c r="D36" t="s">
        <v>98</v>
      </c>
      <c r="E36">
        <v>1960</v>
      </c>
      <c r="F36" t="s">
        <v>56</v>
      </c>
      <c r="G36" t="s">
        <v>57</v>
      </c>
      <c r="H36" t="s">
        <v>58</v>
      </c>
      <c r="I36" t="s">
        <v>59</v>
      </c>
      <c r="J36">
        <v>1</v>
      </c>
      <c r="K36" t="s">
        <v>60</v>
      </c>
      <c r="L36">
        <v>1</v>
      </c>
      <c r="M36" t="s">
        <v>61</v>
      </c>
      <c r="N36">
        <v>2</v>
      </c>
      <c r="O36" t="s">
        <v>62</v>
      </c>
      <c r="P36">
        <v>1</v>
      </c>
      <c r="S36">
        <v>1960</v>
      </c>
      <c r="T36" s="11">
        <v>851426</v>
      </c>
      <c r="U36">
        <v>0.136386300515971</v>
      </c>
      <c r="V36" s="11">
        <v>0</v>
      </c>
      <c r="W36">
        <v>0.142128752590504</v>
      </c>
      <c r="X36" s="11">
        <v>97366</v>
      </c>
      <c r="Y36">
        <v>0.136386300515971</v>
      </c>
      <c r="Z36" t="s">
        <v>63</v>
      </c>
      <c r="AA36" s="11">
        <v>948792</v>
      </c>
      <c r="AC36" s="12">
        <v>0.93500000000000005</v>
      </c>
      <c r="AD36">
        <v>2</v>
      </c>
      <c r="AE36" s="12">
        <v>1</v>
      </c>
      <c r="AF36" s="11">
        <v>948792</v>
      </c>
      <c r="AG36" s="11">
        <v>0</v>
      </c>
      <c r="AH36" s="12" t="s">
        <v>64</v>
      </c>
      <c r="AI36">
        <v>1209.9108583460445</v>
      </c>
      <c r="AJ36" s="12">
        <v>1</v>
      </c>
      <c r="AK36">
        <v>1209.9108583460445</v>
      </c>
      <c r="AL36">
        <v>1.2752118999999999E-3</v>
      </c>
      <c r="AM36">
        <v>1.2752118999999999E-3</v>
      </c>
    </row>
    <row r="37" spans="1:39" x14ac:dyDescent="0.2">
      <c r="A37">
        <v>36</v>
      </c>
      <c r="D37" t="s">
        <v>99</v>
      </c>
      <c r="E37">
        <v>1960</v>
      </c>
      <c r="F37" t="s">
        <v>56</v>
      </c>
      <c r="G37" t="s">
        <v>57</v>
      </c>
      <c r="H37" t="s">
        <v>58</v>
      </c>
      <c r="I37" t="s">
        <v>59</v>
      </c>
      <c r="J37">
        <v>1</v>
      </c>
      <c r="K37" t="s">
        <v>60</v>
      </c>
      <c r="L37">
        <v>1</v>
      </c>
      <c r="M37" t="s">
        <v>61</v>
      </c>
      <c r="N37">
        <v>2</v>
      </c>
      <c r="O37" t="s">
        <v>62</v>
      </c>
      <c r="P37">
        <v>1</v>
      </c>
      <c r="S37">
        <v>1960</v>
      </c>
      <c r="T37" s="11">
        <v>821113</v>
      </c>
      <c r="U37">
        <v>0.136386300515971</v>
      </c>
      <c r="V37" s="11">
        <v>0</v>
      </c>
      <c r="W37">
        <v>0.142128752590504</v>
      </c>
      <c r="X37" s="11">
        <v>97366</v>
      </c>
      <c r="Y37">
        <v>0.136386300515971</v>
      </c>
      <c r="Z37" t="s">
        <v>63</v>
      </c>
      <c r="AA37" s="11">
        <v>918479</v>
      </c>
      <c r="AC37" s="12">
        <v>0.93500000000000005</v>
      </c>
      <c r="AD37">
        <v>2</v>
      </c>
      <c r="AE37" s="12">
        <v>1</v>
      </c>
      <c r="AF37" s="11">
        <v>918479</v>
      </c>
      <c r="AG37" s="11">
        <v>0</v>
      </c>
      <c r="AH37" s="12" t="s">
        <v>64</v>
      </c>
      <c r="AI37">
        <v>1171.2553597235396</v>
      </c>
      <c r="AJ37" s="12">
        <v>1</v>
      </c>
      <c r="AK37">
        <v>1171.2553597235396</v>
      </c>
      <c r="AL37">
        <v>1.2752118999999999E-3</v>
      </c>
      <c r="AM37">
        <v>1.2752118999999999E-3</v>
      </c>
    </row>
    <row r="38" spans="1:39" x14ac:dyDescent="0.2">
      <c r="A38">
        <v>37</v>
      </c>
      <c r="D38" t="s">
        <v>100</v>
      </c>
      <c r="E38">
        <v>1960</v>
      </c>
      <c r="F38" t="s">
        <v>56</v>
      </c>
      <c r="G38" t="s">
        <v>57</v>
      </c>
      <c r="H38" t="s">
        <v>58</v>
      </c>
      <c r="I38" t="s">
        <v>59</v>
      </c>
      <c r="J38">
        <v>1</v>
      </c>
      <c r="K38" t="s">
        <v>60</v>
      </c>
      <c r="L38">
        <v>1</v>
      </c>
      <c r="M38" t="s">
        <v>61</v>
      </c>
      <c r="N38">
        <v>2</v>
      </c>
      <c r="O38" t="s">
        <v>62</v>
      </c>
      <c r="P38">
        <v>1</v>
      </c>
      <c r="S38">
        <v>1960</v>
      </c>
      <c r="T38" s="11">
        <v>596507</v>
      </c>
      <c r="U38">
        <v>0.136386300515971</v>
      </c>
      <c r="V38" s="11">
        <v>0</v>
      </c>
      <c r="W38">
        <v>0.142128752590504</v>
      </c>
      <c r="X38" s="11">
        <v>70286</v>
      </c>
      <c r="Y38">
        <v>0.136386300515971</v>
      </c>
      <c r="Z38" t="s">
        <v>63</v>
      </c>
      <c r="AA38" s="11">
        <v>666793</v>
      </c>
      <c r="AC38" s="12">
        <v>0.93500000000000005</v>
      </c>
      <c r="AD38">
        <v>2</v>
      </c>
      <c r="AE38" s="12">
        <v>1</v>
      </c>
      <c r="AF38" s="11">
        <v>666793</v>
      </c>
      <c r="AG38" s="11">
        <v>0</v>
      </c>
      <c r="AH38" s="12" t="s">
        <v>64</v>
      </c>
      <c r="AI38">
        <v>850.30237498749375</v>
      </c>
      <c r="AJ38" s="12">
        <v>1</v>
      </c>
      <c r="AK38">
        <v>850.30237498749375</v>
      </c>
      <c r="AL38">
        <v>1.2752118999999999E-3</v>
      </c>
      <c r="AM38">
        <v>1.2752118999999999E-3</v>
      </c>
    </row>
    <row r="39" spans="1:39" x14ac:dyDescent="0.2">
      <c r="A39">
        <v>38</v>
      </c>
      <c r="D39" t="s">
        <v>101</v>
      </c>
      <c r="E39">
        <v>1960</v>
      </c>
      <c r="F39" t="s">
        <v>56</v>
      </c>
      <c r="G39" t="s">
        <v>57</v>
      </c>
      <c r="H39" t="s">
        <v>58</v>
      </c>
      <c r="I39" t="s">
        <v>59</v>
      </c>
      <c r="J39">
        <v>1</v>
      </c>
      <c r="K39" t="s">
        <v>60</v>
      </c>
      <c r="L39">
        <v>1</v>
      </c>
      <c r="M39" t="s">
        <v>61</v>
      </c>
      <c r="N39">
        <v>2</v>
      </c>
      <c r="O39" t="s">
        <v>62</v>
      </c>
      <c r="P39">
        <v>1</v>
      </c>
      <c r="S39">
        <v>1960</v>
      </c>
      <c r="T39" s="11">
        <v>440537</v>
      </c>
      <c r="U39">
        <v>0.136386300515971</v>
      </c>
      <c r="V39" s="11">
        <v>0</v>
      </c>
      <c r="W39">
        <v>0.142128752590504</v>
      </c>
      <c r="X39" s="11">
        <v>70286</v>
      </c>
      <c r="Y39">
        <v>0.136386300515971</v>
      </c>
      <c r="Z39" t="s">
        <v>63</v>
      </c>
      <c r="AA39" s="11">
        <v>510823</v>
      </c>
      <c r="AC39" s="12">
        <v>0.93500000000000005</v>
      </c>
      <c r="AD39">
        <v>2</v>
      </c>
      <c r="AE39" s="12">
        <v>1</v>
      </c>
      <c r="AF39" s="11">
        <v>510823</v>
      </c>
      <c r="AG39" s="11">
        <v>0</v>
      </c>
      <c r="AH39" s="12" t="s">
        <v>64</v>
      </c>
      <c r="AI39">
        <v>651.40757341219307</v>
      </c>
      <c r="AJ39" s="12">
        <v>1</v>
      </c>
      <c r="AK39">
        <v>651.40757341219307</v>
      </c>
      <c r="AL39">
        <v>1.2752118999999999E-3</v>
      </c>
      <c r="AM39">
        <v>1.2752118999999999E-3</v>
      </c>
    </row>
    <row r="40" spans="1:39" x14ac:dyDescent="0.2">
      <c r="A40">
        <v>39</v>
      </c>
      <c r="D40" t="s">
        <v>102</v>
      </c>
      <c r="E40">
        <v>1960</v>
      </c>
      <c r="F40" t="s">
        <v>56</v>
      </c>
      <c r="G40" t="s">
        <v>57</v>
      </c>
      <c r="H40" t="s">
        <v>58</v>
      </c>
      <c r="I40" t="s">
        <v>59</v>
      </c>
      <c r="J40">
        <v>1</v>
      </c>
      <c r="K40" t="s">
        <v>60</v>
      </c>
      <c r="L40">
        <v>1</v>
      </c>
      <c r="M40" t="s">
        <v>61</v>
      </c>
      <c r="N40">
        <v>2</v>
      </c>
      <c r="O40" t="s">
        <v>62</v>
      </c>
      <c r="P40">
        <v>1</v>
      </c>
      <c r="S40">
        <v>1960</v>
      </c>
      <c r="T40" s="11">
        <v>438174</v>
      </c>
      <c r="U40">
        <v>0.136386300515971</v>
      </c>
      <c r="V40" s="11">
        <v>0</v>
      </c>
      <c r="W40">
        <v>0.142128752590504</v>
      </c>
      <c r="X40" s="11">
        <v>70286</v>
      </c>
      <c r="Y40">
        <v>0.136386300515971</v>
      </c>
      <c r="Z40" t="s">
        <v>63</v>
      </c>
      <c r="AA40" s="11">
        <v>508460</v>
      </c>
      <c r="AC40" s="12">
        <v>0.93500000000000005</v>
      </c>
      <c r="AD40">
        <v>2</v>
      </c>
      <c r="AE40" s="12">
        <v>1</v>
      </c>
      <c r="AF40" s="11">
        <v>508460</v>
      </c>
      <c r="AG40" s="11">
        <v>0</v>
      </c>
      <c r="AH40" s="12" t="s">
        <v>64</v>
      </c>
      <c r="AI40">
        <v>648.39424766927823</v>
      </c>
      <c r="AJ40" s="12">
        <v>1</v>
      </c>
      <c r="AK40">
        <v>648.39424766927823</v>
      </c>
      <c r="AL40">
        <v>1.2752118999999999E-3</v>
      </c>
      <c r="AM40">
        <v>1.2752118999999999E-3</v>
      </c>
    </row>
    <row r="41" spans="1:39" x14ac:dyDescent="0.2">
      <c r="A41">
        <v>40</v>
      </c>
      <c r="D41" t="s">
        <v>103</v>
      </c>
      <c r="E41">
        <v>1960</v>
      </c>
      <c r="F41" t="s">
        <v>56</v>
      </c>
      <c r="G41" t="s">
        <v>57</v>
      </c>
      <c r="H41" t="s">
        <v>58</v>
      </c>
      <c r="I41" t="s">
        <v>59</v>
      </c>
      <c r="J41">
        <v>1</v>
      </c>
      <c r="K41" t="s">
        <v>60</v>
      </c>
      <c r="L41">
        <v>1</v>
      </c>
      <c r="M41" t="s">
        <v>61</v>
      </c>
      <c r="N41">
        <v>2</v>
      </c>
      <c r="O41" t="s">
        <v>62</v>
      </c>
      <c r="P41">
        <v>1</v>
      </c>
      <c r="S41">
        <v>1960</v>
      </c>
      <c r="T41" s="11">
        <v>436647</v>
      </c>
      <c r="U41">
        <v>0.136386300515971</v>
      </c>
      <c r="V41" s="11">
        <v>0</v>
      </c>
      <c r="W41">
        <v>0.142128752590504</v>
      </c>
      <c r="X41" s="11">
        <v>70286</v>
      </c>
      <c r="Y41">
        <v>0.136386300515971</v>
      </c>
      <c r="Z41" t="s">
        <v>63</v>
      </c>
      <c r="AA41" s="11">
        <v>506933</v>
      </c>
      <c r="AC41" s="12">
        <v>0.93500000000000005</v>
      </c>
      <c r="AD41">
        <v>2</v>
      </c>
      <c r="AE41" s="12">
        <v>1</v>
      </c>
      <c r="AF41" s="11">
        <v>506933</v>
      </c>
      <c r="AG41" s="11">
        <v>0</v>
      </c>
      <c r="AH41" s="12" t="s">
        <v>64</v>
      </c>
      <c r="AI41">
        <v>646.4469990829765</v>
      </c>
      <c r="AJ41" s="12">
        <v>1</v>
      </c>
      <c r="AK41">
        <v>646.4469990829765</v>
      </c>
      <c r="AL41">
        <v>1.2752118999999999E-3</v>
      </c>
      <c r="AM41">
        <v>1.2752118999999999E-3</v>
      </c>
    </row>
    <row r="42" spans="1:39" x14ac:dyDescent="0.2">
      <c r="A42">
        <v>41</v>
      </c>
      <c r="D42" t="s">
        <v>104</v>
      </c>
      <c r="E42">
        <v>1960</v>
      </c>
      <c r="F42" t="s">
        <v>56</v>
      </c>
      <c r="G42" t="s">
        <v>57</v>
      </c>
      <c r="H42" t="s">
        <v>58</v>
      </c>
      <c r="I42" t="s">
        <v>59</v>
      </c>
      <c r="J42">
        <v>1</v>
      </c>
      <c r="K42" t="s">
        <v>60</v>
      </c>
      <c r="L42">
        <v>1</v>
      </c>
      <c r="M42" t="s">
        <v>61</v>
      </c>
      <c r="N42">
        <v>2</v>
      </c>
      <c r="O42" t="s">
        <v>62</v>
      </c>
      <c r="P42">
        <v>1</v>
      </c>
      <c r="S42">
        <v>1960</v>
      </c>
      <c r="T42" s="11">
        <v>368532</v>
      </c>
      <c r="U42">
        <v>0.136386300515971</v>
      </c>
      <c r="V42" s="11">
        <v>0</v>
      </c>
      <c r="W42">
        <v>0.142128752590504</v>
      </c>
      <c r="X42" s="11">
        <v>70286</v>
      </c>
      <c r="Y42">
        <v>0.136386300515971</v>
      </c>
      <c r="Z42" t="s">
        <v>63</v>
      </c>
      <c r="AA42" s="11">
        <v>438818</v>
      </c>
      <c r="AC42" s="12">
        <v>0.93500000000000005</v>
      </c>
      <c r="AD42">
        <v>2</v>
      </c>
      <c r="AE42" s="12">
        <v>1</v>
      </c>
      <c r="AF42" s="11">
        <v>438818</v>
      </c>
      <c r="AG42" s="11">
        <v>0</v>
      </c>
      <c r="AH42" s="12" t="s">
        <v>64</v>
      </c>
      <c r="AI42">
        <v>559.58593984529227</v>
      </c>
      <c r="AJ42" s="12">
        <v>1</v>
      </c>
      <c r="AK42">
        <v>559.58593984529227</v>
      </c>
      <c r="AL42">
        <v>1.2752118999999999E-3</v>
      </c>
      <c r="AM42">
        <v>1.2752118999999999E-3</v>
      </c>
    </row>
    <row r="43" spans="1:39" x14ac:dyDescent="0.2">
      <c r="A43">
        <v>42</v>
      </c>
      <c r="D43" t="s">
        <v>105</v>
      </c>
      <c r="E43">
        <v>1960</v>
      </c>
      <c r="F43" t="s">
        <v>56</v>
      </c>
      <c r="G43" t="s">
        <v>57</v>
      </c>
      <c r="H43" t="s">
        <v>58</v>
      </c>
      <c r="I43" t="s">
        <v>59</v>
      </c>
      <c r="J43">
        <v>1</v>
      </c>
      <c r="K43" t="s">
        <v>60</v>
      </c>
      <c r="L43">
        <v>1</v>
      </c>
      <c r="M43" t="s">
        <v>61</v>
      </c>
      <c r="N43">
        <v>2</v>
      </c>
      <c r="O43" t="s">
        <v>62</v>
      </c>
      <c r="P43">
        <v>1</v>
      </c>
      <c r="S43">
        <v>1960</v>
      </c>
      <c r="T43" s="11">
        <v>440537</v>
      </c>
      <c r="U43">
        <v>0.136386300515971</v>
      </c>
      <c r="V43" s="11">
        <v>0</v>
      </c>
      <c r="W43">
        <v>0.142128752590504</v>
      </c>
      <c r="X43" s="11">
        <v>70286</v>
      </c>
      <c r="Y43">
        <v>0.136386300515971</v>
      </c>
      <c r="Z43" t="s">
        <v>63</v>
      </c>
      <c r="AA43" s="11">
        <v>510823</v>
      </c>
      <c r="AC43" s="12">
        <v>0.93500000000000005</v>
      </c>
      <c r="AD43">
        <v>2</v>
      </c>
      <c r="AE43" s="12">
        <v>1</v>
      </c>
      <c r="AF43" s="11">
        <v>510823</v>
      </c>
      <c r="AG43" s="11">
        <v>0</v>
      </c>
      <c r="AH43" s="12" t="s">
        <v>64</v>
      </c>
      <c r="AI43">
        <v>651.40757341219307</v>
      </c>
      <c r="AJ43" s="12">
        <v>1</v>
      </c>
      <c r="AK43">
        <v>651.40757341219307</v>
      </c>
      <c r="AL43">
        <v>1.2752118999999999E-3</v>
      </c>
      <c r="AM43">
        <v>1.2752118999999999E-3</v>
      </c>
    </row>
    <row r="44" spans="1:39" x14ac:dyDescent="0.2">
      <c r="A44">
        <v>43</v>
      </c>
      <c r="D44" t="s">
        <v>106</v>
      </c>
      <c r="E44">
        <v>1960</v>
      </c>
      <c r="F44" t="s">
        <v>56</v>
      </c>
      <c r="G44" t="s">
        <v>57</v>
      </c>
      <c r="H44" t="s">
        <v>58</v>
      </c>
      <c r="I44" t="s">
        <v>59</v>
      </c>
      <c r="J44">
        <v>1</v>
      </c>
      <c r="K44" t="s">
        <v>60</v>
      </c>
      <c r="L44">
        <v>1</v>
      </c>
      <c r="M44" t="s">
        <v>61</v>
      </c>
      <c r="N44">
        <v>2</v>
      </c>
      <c r="O44" t="s">
        <v>62</v>
      </c>
      <c r="P44">
        <v>1</v>
      </c>
      <c r="S44">
        <v>1960</v>
      </c>
      <c r="T44" s="11">
        <v>550404</v>
      </c>
      <c r="U44">
        <v>0.136386300515971</v>
      </c>
      <c r="V44" s="11">
        <v>0</v>
      </c>
      <c r="W44">
        <v>0.142128752590504</v>
      </c>
      <c r="X44" s="11">
        <v>70286</v>
      </c>
      <c r="Y44">
        <v>0.136386300515971</v>
      </c>
      <c r="Z44" t="s">
        <v>63</v>
      </c>
      <c r="AA44" s="11">
        <v>620690</v>
      </c>
      <c r="AC44" s="12">
        <v>0.93500000000000005</v>
      </c>
      <c r="AD44">
        <v>2</v>
      </c>
      <c r="AE44" s="12">
        <v>1</v>
      </c>
      <c r="AF44" s="11">
        <v>620690</v>
      </c>
      <c r="AG44" s="11">
        <v>0</v>
      </c>
      <c r="AH44" s="12" t="s">
        <v>64</v>
      </c>
      <c r="AI44">
        <v>791.51128030886264</v>
      </c>
      <c r="AJ44" s="12">
        <v>1</v>
      </c>
      <c r="AK44">
        <v>791.51128030886264</v>
      </c>
      <c r="AL44">
        <v>1.2752118999999999E-3</v>
      </c>
      <c r="AM44">
        <v>1.2752118999999999E-3</v>
      </c>
    </row>
    <row r="45" spans="1:39" x14ac:dyDescent="0.2">
      <c r="A45">
        <v>44</v>
      </c>
      <c r="D45" t="s">
        <v>107</v>
      </c>
      <c r="E45">
        <v>1960</v>
      </c>
      <c r="F45" t="s">
        <v>56</v>
      </c>
      <c r="G45" t="s">
        <v>57</v>
      </c>
      <c r="H45" t="s">
        <v>58</v>
      </c>
      <c r="I45" t="s">
        <v>59</v>
      </c>
      <c r="J45">
        <v>1</v>
      </c>
      <c r="K45" t="s">
        <v>60</v>
      </c>
      <c r="L45">
        <v>1</v>
      </c>
      <c r="M45" t="s">
        <v>61</v>
      </c>
      <c r="N45">
        <v>2</v>
      </c>
      <c r="O45" t="s">
        <v>62</v>
      </c>
      <c r="P45">
        <v>1</v>
      </c>
      <c r="S45">
        <v>1960</v>
      </c>
      <c r="T45" s="11">
        <v>1914202</v>
      </c>
      <c r="U45">
        <v>0.136386300515971</v>
      </c>
      <c r="V45" s="11">
        <v>0</v>
      </c>
      <c r="W45">
        <v>0.142128752590504</v>
      </c>
      <c r="X45" s="11">
        <v>151525</v>
      </c>
      <c r="Y45">
        <v>0.136386300515971</v>
      </c>
      <c r="Z45" t="s">
        <v>63</v>
      </c>
      <c r="AA45" s="11">
        <v>2065727</v>
      </c>
      <c r="AC45" s="12">
        <v>0.93500000000000005</v>
      </c>
      <c r="AD45">
        <v>2</v>
      </c>
      <c r="AE45" s="12">
        <v>1</v>
      </c>
      <c r="AF45" s="11">
        <v>2065727</v>
      </c>
      <c r="AG45" s="11">
        <v>0</v>
      </c>
      <c r="AH45" s="12" t="s">
        <v>64</v>
      </c>
      <c r="AI45">
        <v>2634.2396728456815</v>
      </c>
      <c r="AJ45" s="12">
        <v>1</v>
      </c>
      <c r="AK45">
        <v>2634.2396728456815</v>
      </c>
      <c r="AL45">
        <v>1.2752118999999999E-3</v>
      </c>
      <c r="AM45">
        <v>1.2752118999999999E-3</v>
      </c>
    </row>
    <row r="46" spans="1:39" x14ac:dyDescent="0.2">
      <c r="A46">
        <v>45</v>
      </c>
      <c r="D46" t="s">
        <v>108</v>
      </c>
      <c r="E46">
        <v>1960</v>
      </c>
      <c r="F46" t="s">
        <v>56</v>
      </c>
      <c r="G46" t="s">
        <v>57</v>
      </c>
      <c r="H46" t="s">
        <v>58</v>
      </c>
      <c r="I46" t="s">
        <v>59</v>
      </c>
      <c r="J46">
        <v>1</v>
      </c>
      <c r="K46" t="s">
        <v>60</v>
      </c>
      <c r="L46">
        <v>1</v>
      </c>
      <c r="M46" t="s">
        <v>61</v>
      </c>
      <c r="N46">
        <v>2</v>
      </c>
      <c r="O46" t="s">
        <v>62</v>
      </c>
      <c r="P46">
        <v>1</v>
      </c>
      <c r="S46">
        <v>1960</v>
      </c>
      <c r="T46" s="11">
        <v>1914202</v>
      </c>
      <c r="U46">
        <v>0.136386300515971</v>
      </c>
      <c r="V46" s="11">
        <v>0</v>
      </c>
      <c r="W46">
        <v>0.142128752590504</v>
      </c>
      <c r="X46" s="11">
        <v>151525</v>
      </c>
      <c r="Y46">
        <v>0.136386300515971</v>
      </c>
      <c r="Z46" t="s">
        <v>63</v>
      </c>
      <c r="AA46" s="11">
        <v>2065727</v>
      </c>
      <c r="AC46" s="12">
        <v>0.93500000000000005</v>
      </c>
      <c r="AD46">
        <v>2</v>
      </c>
      <c r="AE46" s="12">
        <v>1</v>
      </c>
      <c r="AF46" s="11">
        <v>2065727</v>
      </c>
      <c r="AG46" s="11">
        <v>0</v>
      </c>
      <c r="AH46" s="12" t="s">
        <v>64</v>
      </c>
      <c r="AI46">
        <v>2634.2396728456815</v>
      </c>
      <c r="AJ46" s="12">
        <v>1</v>
      </c>
      <c r="AK46">
        <v>2634.2396728456815</v>
      </c>
      <c r="AL46">
        <v>1.2752118999999999E-3</v>
      </c>
      <c r="AM46">
        <v>1.2752118999999999E-3</v>
      </c>
    </row>
    <row r="47" spans="1:39" x14ac:dyDescent="0.2">
      <c r="A47">
        <v>46</v>
      </c>
      <c r="D47" t="s">
        <v>109</v>
      </c>
      <c r="E47">
        <v>1960</v>
      </c>
      <c r="F47" t="s">
        <v>56</v>
      </c>
      <c r="G47" t="s">
        <v>57</v>
      </c>
      <c r="H47" t="s">
        <v>58</v>
      </c>
      <c r="I47" t="s">
        <v>59</v>
      </c>
      <c r="J47">
        <v>1</v>
      </c>
      <c r="K47" t="s">
        <v>60</v>
      </c>
      <c r="L47">
        <v>1</v>
      </c>
      <c r="M47" t="s">
        <v>61</v>
      </c>
      <c r="N47">
        <v>2</v>
      </c>
      <c r="O47" t="s">
        <v>62</v>
      </c>
      <c r="P47">
        <v>1</v>
      </c>
      <c r="S47">
        <v>1960</v>
      </c>
      <c r="T47" s="11">
        <v>1914202</v>
      </c>
      <c r="U47">
        <v>0.136386300515971</v>
      </c>
      <c r="V47" s="11">
        <v>0</v>
      </c>
      <c r="W47">
        <v>0.142128752590504</v>
      </c>
      <c r="X47" s="11">
        <v>151525</v>
      </c>
      <c r="Y47">
        <v>0.136386300515971</v>
      </c>
      <c r="Z47" t="s">
        <v>63</v>
      </c>
      <c r="AA47" s="11">
        <v>2065727</v>
      </c>
      <c r="AC47" s="12">
        <v>0.93500000000000005</v>
      </c>
      <c r="AD47">
        <v>2</v>
      </c>
      <c r="AE47" s="12">
        <v>1</v>
      </c>
      <c r="AF47" s="11">
        <v>2065727</v>
      </c>
      <c r="AG47" s="11">
        <v>0</v>
      </c>
      <c r="AH47" s="12" t="s">
        <v>64</v>
      </c>
      <c r="AI47">
        <v>2634.2396728456815</v>
      </c>
      <c r="AJ47" s="12">
        <v>1</v>
      </c>
      <c r="AK47">
        <v>2634.2396728456815</v>
      </c>
      <c r="AL47">
        <v>1.2752118999999999E-3</v>
      </c>
      <c r="AM47">
        <v>1.2752118999999999E-3</v>
      </c>
    </row>
    <row r="48" spans="1:39" x14ac:dyDescent="0.2">
      <c r="A48">
        <v>47</v>
      </c>
      <c r="D48" t="s">
        <v>110</v>
      </c>
      <c r="E48">
        <v>1960</v>
      </c>
      <c r="F48" t="s">
        <v>56</v>
      </c>
      <c r="G48" t="s">
        <v>57</v>
      </c>
      <c r="H48" t="s">
        <v>58</v>
      </c>
      <c r="I48" t="s">
        <v>59</v>
      </c>
      <c r="J48">
        <v>1</v>
      </c>
      <c r="K48" t="s">
        <v>60</v>
      </c>
      <c r="L48">
        <v>1</v>
      </c>
      <c r="M48" t="s">
        <v>61</v>
      </c>
      <c r="N48">
        <v>2</v>
      </c>
      <c r="O48" t="s">
        <v>62</v>
      </c>
      <c r="P48">
        <v>1</v>
      </c>
      <c r="S48">
        <v>1960</v>
      </c>
      <c r="T48" s="11">
        <v>2938284</v>
      </c>
      <c r="U48">
        <v>0.136386300515971</v>
      </c>
      <c r="V48" s="11">
        <v>0</v>
      </c>
      <c r="W48">
        <v>0.142128752590504</v>
      </c>
      <c r="X48" s="11">
        <v>286924</v>
      </c>
      <c r="Y48">
        <v>0.136386300515971</v>
      </c>
      <c r="Z48" t="s">
        <v>63</v>
      </c>
      <c r="AA48" s="11">
        <v>3225208</v>
      </c>
      <c r="AC48" s="12">
        <v>0.93500000000000005</v>
      </c>
      <c r="AD48">
        <v>2</v>
      </c>
      <c r="AE48" s="12">
        <v>1</v>
      </c>
      <c r="AF48" s="11">
        <v>3225208</v>
      </c>
      <c r="AG48" s="11">
        <v>0</v>
      </c>
      <c r="AH48" s="12" t="s">
        <v>64</v>
      </c>
      <c r="AI48">
        <v>4112.8236532607043</v>
      </c>
      <c r="AJ48" s="12">
        <v>1</v>
      </c>
      <c r="AK48">
        <v>4112.8236532607043</v>
      </c>
      <c r="AL48">
        <v>1.2752118999999999E-3</v>
      </c>
      <c r="AM48">
        <v>1.2752118999999999E-3</v>
      </c>
    </row>
    <row r="49" spans="1:39" x14ac:dyDescent="0.2">
      <c r="A49">
        <v>48</v>
      </c>
      <c r="D49" t="s">
        <v>111</v>
      </c>
      <c r="E49">
        <v>1960</v>
      </c>
      <c r="F49" t="s">
        <v>56</v>
      </c>
      <c r="G49" t="s">
        <v>57</v>
      </c>
      <c r="H49" t="s">
        <v>58</v>
      </c>
      <c r="I49" t="s">
        <v>59</v>
      </c>
      <c r="J49">
        <v>1</v>
      </c>
      <c r="K49" t="s">
        <v>60</v>
      </c>
      <c r="L49">
        <v>1</v>
      </c>
      <c r="M49" t="s">
        <v>61</v>
      </c>
      <c r="N49">
        <v>2</v>
      </c>
      <c r="O49" t="s">
        <v>62</v>
      </c>
      <c r="P49">
        <v>1</v>
      </c>
      <c r="S49">
        <v>1960</v>
      </c>
      <c r="T49" s="11">
        <v>2938284</v>
      </c>
      <c r="U49">
        <v>0.136386300515971</v>
      </c>
      <c r="V49" s="11">
        <v>0</v>
      </c>
      <c r="W49">
        <v>0.142128752590504</v>
      </c>
      <c r="X49" s="11">
        <v>286924</v>
      </c>
      <c r="Y49">
        <v>0.136386300515971</v>
      </c>
      <c r="Z49" t="s">
        <v>63</v>
      </c>
      <c r="AA49" s="11">
        <v>3225208</v>
      </c>
      <c r="AC49" s="12">
        <v>0.93500000000000005</v>
      </c>
      <c r="AD49">
        <v>2</v>
      </c>
      <c r="AE49" s="12">
        <v>1</v>
      </c>
      <c r="AF49" s="11">
        <v>3225208</v>
      </c>
      <c r="AG49" s="11">
        <v>0</v>
      </c>
      <c r="AH49" s="12" t="s">
        <v>64</v>
      </c>
      <c r="AI49">
        <v>4112.8236532607043</v>
      </c>
      <c r="AJ49" s="12">
        <v>1</v>
      </c>
      <c r="AK49">
        <v>4112.8236532607043</v>
      </c>
      <c r="AL49">
        <v>1.2752118999999999E-3</v>
      </c>
      <c r="AM49">
        <v>1.2752118999999999E-3</v>
      </c>
    </row>
    <row r="50" spans="1:39" x14ac:dyDescent="0.2">
      <c r="A50">
        <v>49</v>
      </c>
      <c r="D50" t="s">
        <v>112</v>
      </c>
      <c r="E50">
        <v>1960</v>
      </c>
      <c r="F50" t="s">
        <v>56</v>
      </c>
      <c r="G50" t="s">
        <v>57</v>
      </c>
      <c r="H50" t="s">
        <v>58</v>
      </c>
      <c r="I50" t="s">
        <v>59</v>
      </c>
      <c r="J50">
        <v>1</v>
      </c>
      <c r="K50" t="s">
        <v>60</v>
      </c>
      <c r="L50">
        <v>1</v>
      </c>
      <c r="M50" t="s">
        <v>61</v>
      </c>
      <c r="N50">
        <v>2</v>
      </c>
      <c r="O50" t="s">
        <v>62</v>
      </c>
      <c r="P50">
        <v>1</v>
      </c>
      <c r="S50">
        <v>1960</v>
      </c>
      <c r="T50" s="11">
        <v>1609558</v>
      </c>
      <c r="U50">
        <v>0.136386300515971</v>
      </c>
      <c r="V50" s="11">
        <v>0</v>
      </c>
      <c r="W50">
        <v>0.142128752590504</v>
      </c>
      <c r="X50" s="11">
        <v>124446</v>
      </c>
      <c r="Y50">
        <v>0.136386300515971</v>
      </c>
      <c r="Z50" t="s">
        <v>63</v>
      </c>
      <c r="AA50" s="11">
        <v>1734004</v>
      </c>
      <c r="AC50" s="12">
        <v>0.93500000000000005</v>
      </c>
      <c r="AD50">
        <v>2</v>
      </c>
      <c r="AE50" s="12">
        <v>1</v>
      </c>
      <c r="AF50" s="11">
        <v>1734004</v>
      </c>
      <c r="AG50" s="11">
        <v>0</v>
      </c>
      <c r="AH50" s="12" t="s">
        <v>64</v>
      </c>
      <c r="AI50">
        <v>2211.2225524830255</v>
      </c>
      <c r="AJ50" s="12">
        <v>1</v>
      </c>
      <c r="AK50">
        <v>2211.2225524830255</v>
      </c>
      <c r="AL50">
        <v>1.2752118999999999E-3</v>
      </c>
      <c r="AM50">
        <v>1.2752118999999999E-3</v>
      </c>
    </row>
    <row r="51" spans="1:39" x14ac:dyDescent="0.2">
      <c r="A51">
        <v>50</v>
      </c>
      <c r="D51" t="s">
        <v>113</v>
      </c>
      <c r="E51">
        <v>1960</v>
      </c>
      <c r="F51" t="s">
        <v>56</v>
      </c>
      <c r="G51" t="s">
        <v>57</v>
      </c>
      <c r="H51" t="s">
        <v>58</v>
      </c>
      <c r="I51" t="s">
        <v>59</v>
      </c>
      <c r="J51">
        <v>1</v>
      </c>
      <c r="K51" t="s">
        <v>60</v>
      </c>
      <c r="L51">
        <v>1</v>
      </c>
      <c r="M51" t="s">
        <v>61</v>
      </c>
      <c r="N51">
        <v>2</v>
      </c>
      <c r="O51" t="s">
        <v>62</v>
      </c>
      <c r="P51">
        <v>1</v>
      </c>
      <c r="S51">
        <v>1960</v>
      </c>
      <c r="T51" s="11">
        <v>550898</v>
      </c>
      <c r="U51">
        <v>0.136386300515971</v>
      </c>
      <c r="V51" s="11">
        <v>0</v>
      </c>
      <c r="W51">
        <v>0.142128752590504</v>
      </c>
      <c r="X51" s="11">
        <v>70286</v>
      </c>
      <c r="Y51">
        <v>0.136386300515971</v>
      </c>
      <c r="Z51" t="s">
        <v>63</v>
      </c>
      <c r="AA51" s="11">
        <v>621184</v>
      </c>
      <c r="AC51" s="12">
        <v>0.93500000000000005</v>
      </c>
      <c r="AD51">
        <v>2</v>
      </c>
      <c r="AE51" s="12">
        <v>1</v>
      </c>
      <c r="AF51" s="11">
        <v>621184</v>
      </c>
      <c r="AG51" s="11">
        <v>0</v>
      </c>
      <c r="AH51" s="12" t="s">
        <v>64</v>
      </c>
      <c r="AI51">
        <v>792.14123499231584</v>
      </c>
      <c r="AJ51" s="12">
        <v>1</v>
      </c>
      <c r="AK51">
        <v>792.14123499231584</v>
      </c>
      <c r="AL51">
        <v>1.2752118999999999E-3</v>
      </c>
      <c r="AM51">
        <v>1.2752118999999999E-3</v>
      </c>
    </row>
    <row r="52" spans="1:39" x14ac:dyDescent="0.2">
      <c r="A52">
        <v>51</v>
      </c>
      <c r="D52" t="s">
        <v>114</v>
      </c>
      <c r="E52">
        <v>1960</v>
      </c>
      <c r="F52" t="s">
        <v>56</v>
      </c>
      <c r="G52" t="s">
        <v>57</v>
      </c>
      <c r="H52" t="s">
        <v>58</v>
      </c>
      <c r="I52" t="s">
        <v>59</v>
      </c>
      <c r="J52">
        <v>1</v>
      </c>
      <c r="K52" t="s">
        <v>60</v>
      </c>
      <c r="L52">
        <v>1</v>
      </c>
      <c r="M52" t="s">
        <v>61</v>
      </c>
      <c r="N52">
        <v>2</v>
      </c>
      <c r="O52" t="s">
        <v>62</v>
      </c>
      <c r="P52">
        <v>1</v>
      </c>
      <c r="S52">
        <v>1960</v>
      </c>
      <c r="T52" s="11">
        <v>804228</v>
      </c>
      <c r="U52">
        <v>0.136386300515971</v>
      </c>
      <c r="V52" s="11">
        <v>0</v>
      </c>
      <c r="W52">
        <v>0.142128752590504</v>
      </c>
      <c r="X52" s="11">
        <v>124446</v>
      </c>
      <c r="Y52">
        <v>0.136386300515971</v>
      </c>
      <c r="Z52" t="s">
        <v>63</v>
      </c>
      <c r="AA52" s="11">
        <v>928674</v>
      </c>
      <c r="AC52" s="12">
        <v>0.93500000000000005</v>
      </c>
      <c r="AD52">
        <v>2</v>
      </c>
      <c r="AE52" s="12">
        <v>1</v>
      </c>
      <c r="AF52" s="11">
        <v>928674</v>
      </c>
      <c r="AG52" s="11">
        <v>0</v>
      </c>
      <c r="AH52" s="12" t="s">
        <v>64</v>
      </c>
      <c r="AI52">
        <v>1184.2561451441989</v>
      </c>
      <c r="AJ52" s="12">
        <v>1</v>
      </c>
      <c r="AK52">
        <v>1184.2561451441989</v>
      </c>
      <c r="AL52">
        <v>1.2752118999999999E-3</v>
      </c>
      <c r="AM52">
        <v>1.2752118999999999E-3</v>
      </c>
    </row>
    <row r="53" spans="1:39" x14ac:dyDescent="0.2">
      <c r="A53">
        <v>52</v>
      </c>
      <c r="D53" t="s">
        <v>115</v>
      </c>
      <c r="E53">
        <v>1960</v>
      </c>
      <c r="F53" t="s">
        <v>56</v>
      </c>
      <c r="G53" t="s">
        <v>57</v>
      </c>
      <c r="H53" t="s">
        <v>58</v>
      </c>
      <c r="I53" t="s">
        <v>59</v>
      </c>
      <c r="J53">
        <v>1</v>
      </c>
      <c r="K53" t="s">
        <v>60</v>
      </c>
      <c r="L53">
        <v>1</v>
      </c>
      <c r="M53" t="s">
        <v>61</v>
      </c>
      <c r="N53">
        <v>2</v>
      </c>
      <c r="O53" t="s">
        <v>62</v>
      </c>
      <c r="P53">
        <v>1</v>
      </c>
      <c r="S53">
        <v>1960</v>
      </c>
      <c r="T53" s="11">
        <v>544925</v>
      </c>
      <c r="U53">
        <v>0.136386300515971</v>
      </c>
      <c r="V53" s="11">
        <v>0</v>
      </c>
      <c r="W53">
        <v>0.142128752590504</v>
      </c>
      <c r="X53" s="11">
        <v>70286</v>
      </c>
      <c r="Y53">
        <v>0.136386300515971</v>
      </c>
      <c r="Z53" t="s">
        <v>63</v>
      </c>
      <c r="AA53" s="11">
        <v>615211</v>
      </c>
      <c r="AC53" s="12">
        <v>0.93500000000000005</v>
      </c>
      <c r="AD53">
        <v>2</v>
      </c>
      <c r="AE53" s="12">
        <v>1</v>
      </c>
      <c r="AF53" s="11">
        <v>615211</v>
      </c>
      <c r="AG53" s="11">
        <v>0</v>
      </c>
      <c r="AH53" s="12" t="s">
        <v>64</v>
      </c>
      <c r="AI53">
        <v>784.52439425493515</v>
      </c>
      <c r="AJ53" s="12">
        <v>1</v>
      </c>
      <c r="AK53">
        <v>784.52439425493515</v>
      </c>
      <c r="AL53">
        <v>1.2752118999999999E-3</v>
      </c>
      <c r="AM53">
        <v>1.2752118999999999E-3</v>
      </c>
    </row>
    <row r="54" spans="1:39" x14ac:dyDescent="0.2">
      <c r="A54">
        <v>53</v>
      </c>
      <c r="D54" t="s">
        <v>116</v>
      </c>
      <c r="E54">
        <v>1960</v>
      </c>
      <c r="F54" t="s">
        <v>56</v>
      </c>
      <c r="G54" t="s">
        <v>57</v>
      </c>
      <c r="H54" t="s">
        <v>58</v>
      </c>
      <c r="I54" t="s">
        <v>59</v>
      </c>
      <c r="J54">
        <v>1</v>
      </c>
      <c r="K54" t="s">
        <v>60</v>
      </c>
      <c r="L54">
        <v>1</v>
      </c>
      <c r="M54" t="s">
        <v>61</v>
      </c>
      <c r="N54">
        <v>2</v>
      </c>
      <c r="O54" t="s">
        <v>62</v>
      </c>
      <c r="P54">
        <v>1</v>
      </c>
      <c r="S54">
        <v>1960</v>
      </c>
      <c r="T54" s="11">
        <v>551562</v>
      </c>
      <c r="U54">
        <v>0.136386300515971</v>
      </c>
      <c r="V54" s="11">
        <v>0</v>
      </c>
      <c r="W54">
        <v>0.142128752590504</v>
      </c>
      <c r="X54" s="11">
        <v>70286</v>
      </c>
      <c r="Y54">
        <v>0.136386300515971</v>
      </c>
      <c r="Z54" t="s">
        <v>63</v>
      </c>
      <c r="AA54" s="11">
        <v>621848</v>
      </c>
      <c r="AC54" s="12">
        <v>0.93500000000000005</v>
      </c>
      <c r="AD54">
        <v>2</v>
      </c>
      <c r="AE54" s="12">
        <v>1</v>
      </c>
      <c r="AF54" s="11">
        <v>621848</v>
      </c>
      <c r="AG54" s="11">
        <v>0</v>
      </c>
      <c r="AH54" s="12" t="s">
        <v>64</v>
      </c>
      <c r="AI54">
        <v>792.98797570043928</v>
      </c>
      <c r="AJ54" s="12">
        <v>1</v>
      </c>
      <c r="AK54">
        <v>792.98797570043928</v>
      </c>
      <c r="AL54">
        <v>1.2752118999999999E-3</v>
      </c>
      <c r="AM54">
        <v>1.2752118999999999E-3</v>
      </c>
    </row>
    <row r="55" spans="1:39" x14ac:dyDescent="0.2">
      <c r="A55">
        <v>54</v>
      </c>
      <c r="D55" t="s">
        <v>117</v>
      </c>
      <c r="E55">
        <v>1960</v>
      </c>
      <c r="F55" t="s">
        <v>56</v>
      </c>
      <c r="G55" t="s">
        <v>57</v>
      </c>
      <c r="H55" t="s">
        <v>58</v>
      </c>
      <c r="I55" t="s">
        <v>59</v>
      </c>
      <c r="J55">
        <v>1</v>
      </c>
      <c r="K55" t="s">
        <v>60</v>
      </c>
      <c r="L55">
        <v>1</v>
      </c>
      <c r="M55" t="s">
        <v>61</v>
      </c>
      <c r="N55">
        <v>2</v>
      </c>
      <c r="O55" t="s">
        <v>62</v>
      </c>
      <c r="P55">
        <v>1</v>
      </c>
      <c r="S55">
        <v>1960</v>
      </c>
      <c r="T55" s="11">
        <v>2938284</v>
      </c>
      <c r="U55">
        <v>0.136386300515971</v>
      </c>
      <c r="V55" s="11">
        <v>0</v>
      </c>
      <c r="W55">
        <v>0.142128752590504</v>
      </c>
      <c r="X55" s="11">
        <v>232765</v>
      </c>
      <c r="Y55">
        <v>0.136386300515971</v>
      </c>
      <c r="Z55" t="s">
        <v>63</v>
      </c>
      <c r="AA55" s="11">
        <v>3171049</v>
      </c>
      <c r="AC55" s="12">
        <v>0.93500000000000005</v>
      </c>
      <c r="AD55">
        <v>2</v>
      </c>
      <c r="AE55" s="12">
        <v>1</v>
      </c>
      <c r="AF55" s="11">
        <v>3171049</v>
      </c>
      <c r="AG55" s="11">
        <v>0</v>
      </c>
      <c r="AH55" s="12" t="s">
        <v>64</v>
      </c>
      <c r="AI55">
        <v>4043.7594514365283</v>
      </c>
      <c r="AJ55" s="12">
        <v>1</v>
      </c>
      <c r="AK55">
        <v>4043.7594514365283</v>
      </c>
      <c r="AL55">
        <v>1.2752118999999999E-3</v>
      </c>
      <c r="AM55">
        <v>1.2752118999999999E-3</v>
      </c>
    </row>
    <row r="56" spans="1:39" x14ac:dyDescent="0.2">
      <c r="A56">
        <v>55</v>
      </c>
      <c r="D56" t="s">
        <v>118</v>
      </c>
      <c r="E56">
        <v>1960</v>
      </c>
      <c r="F56" t="s">
        <v>56</v>
      </c>
      <c r="G56" t="s">
        <v>57</v>
      </c>
      <c r="H56" t="s">
        <v>58</v>
      </c>
      <c r="I56" t="s">
        <v>59</v>
      </c>
      <c r="J56">
        <v>1</v>
      </c>
      <c r="K56" t="s">
        <v>60</v>
      </c>
      <c r="L56">
        <v>1</v>
      </c>
      <c r="M56" t="s">
        <v>61</v>
      </c>
      <c r="N56">
        <v>2</v>
      </c>
      <c r="O56" t="s">
        <v>62</v>
      </c>
      <c r="P56">
        <v>1</v>
      </c>
      <c r="S56">
        <v>1960</v>
      </c>
      <c r="T56" s="11">
        <v>3331380</v>
      </c>
      <c r="U56">
        <v>0.136386300515971</v>
      </c>
      <c r="V56" s="11">
        <v>0</v>
      </c>
      <c r="W56">
        <v>0.142128752590504</v>
      </c>
      <c r="X56" s="11">
        <v>341083</v>
      </c>
      <c r="Y56">
        <v>0.136386300515971</v>
      </c>
      <c r="Z56" t="s">
        <v>63</v>
      </c>
      <c r="AA56" s="11">
        <v>3672463</v>
      </c>
      <c r="AC56" s="12">
        <v>0.93500000000000005</v>
      </c>
      <c r="AD56">
        <v>2</v>
      </c>
      <c r="AE56" s="12">
        <v>1</v>
      </c>
      <c r="AF56" s="11">
        <v>3672463</v>
      </c>
      <c r="AG56" s="11">
        <v>0</v>
      </c>
      <c r="AH56" s="12" t="s">
        <v>64</v>
      </c>
      <c r="AI56">
        <v>4683.1685559891839</v>
      </c>
      <c r="AJ56" s="12">
        <v>1</v>
      </c>
      <c r="AK56">
        <v>4683.1685559891839</v>
      </c>
      <c r="AL56">
        <v>1.2752118999999999E-3</v>
      </c>
      <c r="AM56">
        <v>1.2752118999999999E-3</v>
      </c>
    </row>
    <row r="57" spans="1:39" x14ac:dyDescent="0.2">
      <c r="A57">
        <v>56</v>
      </c>
      <c r="D57" t="s">
        <v>119</v>
      </c>
      <c r="E57">
        <v>1960</v>
      </c>
      <c r="F57" t="s">
        <v>56</v>
      </c>
      <c r="G57" t="s">
        <v>57</v>
      </c>
      <c r="H57" t="s">
        <v>58</v>
      </c>
      <c r="I57" t="s">
        <v>59</v>
      </c>
      <c r="J57">
        <v>1</v>
      </c>
      <c r="K57" t="s">
        <v>60</v>
      </c>
      <c r="L57">
        <v>1</v>
      </c>
      <c r="M57" t="s">
        <v>61</v>
      </c>
      <c r="N57">
        <v>2</v>
      </c>
      <c r="O57" t="s">
        <v>62</v>
      </c>
      <c r="P57">
        <v>1</v>
      </c>
      <c r="S57">
        <v>1960</v>
      </c>
      <c r="T57" s="11">
        <v>1466525</v>
      </c>
      <c r="U57">
        <v>0.136386300515971</v>
      </c>
      <c r="V57" s="11">
        <v>0</v>
      </c>
      <c r="W57">
        <v>0.142128752590504</v>
      </c>
      <c r="X57" s="11">
        <v>124446</v>
      </c>
      <c r="Y57">
        <v>0.136386300515971</v>
      </c>
      <c r="Z57" t="s">
        <v>63</v>
      </c>
      <c r="AA57" s="11">
        <v>1590971</v>
      </c>
      <c r="AC57" s="12">
        <v>0.93500000000000005</v>
      </c>
      <c r="AD57">
        <v>2</v>
      </c>
      <c r="AE57" s="12">
        <v>1</v>
      </c>
      <c r="AF57" s="11">
        <v>1590971</v>
      </c>
      <c r="AG57" s="11">
        <v>0</v>
      </c>
      <c r="AH57" s="12" t="s">
        <v>64</v>
      </c>
      <c r="AI57">
        <v>2028.8251673851223</v>
      </c>
      <c r="AJ57" s="12">
        <v>1</v>
      </c>
      <c r="AK57">
        <v>2028.8251673851223</v>
      </c>
      <c r="AL57">
        <v>1.2752118999999999E-3</v>
      </c>
      <c r="AM57">
        <v>1.2752118999999999E-3</v>
      </c>
    </row>
    <row r="58" spans="1:39" x14ac:dyDescent="0.2">
      <c r="A58">
        <v>57</v>
      </c>
      <c r="D58" t="s">
        <v>120</v>
      </c>
      <c r="E58">
        <v>1960</v>
      </c>
      <c r="F58" t="s">
        <v>56</v>
      </c>
      <c r="G58" t="s">
        <v>57</v>
      </c>
      <c r="H58" t="s">
        <v>58</v>
      </c>
      <c r="I58" t="s">
        <v>59</v>
      </c>
      <c r="J58">
        <v>1</v>
      </c>
      <c r="K58" t="s">
        <v>60</v>
      </c>
      <c r="L58">
        <v>1</v>
      </c>
      <c r="M58" t="s">
        <v>61</v>
      </c>
      <c r="N58">
        <v>2</v>
      </c>
      <c r="O58" t="s">
        <v>62</v>
      </c>
      <c r="P58">
        <v>1</v>
      </c>
      <c r="S58">
        <v>1960</v>
      </c>
      <c r="T58" s="11">
        <v>2790897</v>
      </c>
      <c r="U58">
        <v>0.136386300515971</v>
      </c>
      <c r="V58" s="11">
        <v>0</v>
      </c>
      <c r="W58">
        <v>0.142128752590504</v>
      </c>
      <c r="X58" s="11">
        <v>232765</v>
      </c>
      <c r="Y58">
        <v>0.136386300515971</v>
      </c>
      <c r="Z58" t="s">
        <v>63</v>
      </c>
      <c r="AA58" s="11">
        <v>3023662</v>
      </c>
      <c r="AC58" s="12">
        <v>0.93500000000000005</v>
      </c>
      <c r="AD58">
        <v>2</v>
      </c>
      <c r="AE58" s="12">
        <v>1</v>
      </c>
      <c r="AF58" s="11">
        <v>3023662</v>
      </c>
      <c r="AG58" s="11">
        <v>0</v>
      </c>
      <c r="AH58" s="12" t="s">
        <v>64</v>
      </c>
      <c r="AI58">
        <v>3855.8097936832496</v>
      </c>
      <c r="AJ58" s="12">
        <v>1</v>
      </c>
      <c r="AK58">
        <v>3855.8097936832496</v>
      </c>
      <c r="AL58">
        <v>1.2752118999999999E-3</v>
      </c>
      <c r="AM58">
        <v>1.2752118999999999E-3</v>
      </c>
    </row>
    <row r="59" spans="1:39" x14ac:dyDescent="0.2">
      <c r="A59">
        <v>58</v>
      </c>
      <c r="D59" t="s">
        <v>121</v>
      </c>
      <c r="E59">
        <v>1960</v>
      </c>
      <c r="F59" t="s">
        <v>56</v>
      </c>
      <c r="G59" t="s">
        <v>57</v>
      </c>
      <c r="H59" t="s">
        <v>58</v>
      </c>
      <c r="I59" t="s">
        <v>59</v>
      </c>
      <c r="J59">
        <v>1</v>
      </c>
      <c r="K59" t="s">
        <v>60</v>
      </c>
      <c r="L59">
        <v>1</v>
      </c>
      <c r="M59" t="s">
        <v>61</v>
      </c>
      <c r="N59">
        <v>2</v>
      </c>
      <c r="O59" t="s">
        <v>62</v>
      </c>
      <c r="P59">
        <v>1</v>
      </c>
      <c r="S59">
        <v>1960</v>
      </c>
      <c r="T59" s="11">
        <v>2938284</v>
      </c>
      <c r="U59">
        <v>0.136386300515971</v>
      </c>
      <c r="V59" s="11">
        <v>0</v>
      </c>
      <c r="W59">
        <v>0.142128752590504</v>
      </c>
      <c r="X59" s="11">
        <v>232765</v>
      </c>
      <c r="Y59">
        <v>0.136386300515971</v>
      </c>
      <c r="Z59" t="s">
        <v>63</v>
      </c>
      <c r="AA59" s="11">
        <v>3171049</v>
      </c>
      <c r="AC59" s="12">
        <v>0.93500000000000005</v>
      </c>
      <c r="AD59">
        <v>2</v>
      </c>
      <c r="AE59" s="12">
        <v>1</v>
      </c>
      <c r="AF59" s="11">
        <v>3171049</v>
      </c>
      <c r="AG59" s="11">
        <v>0</v>
      </c>
      <c r="AH59" s="12" t="s">
        <v>64</v>
      </c>
      <c r="AI59">
        <v>4043.7594514365283</v>
      </c>
      <c r="AJ59" s="12">
        <v>1</v>
      </c>
      <c r="AK59">
        <v>4043.7594514365283</v>
      </c>
      <c r="AL59">
        <v>1.2752118999999999E-3</v>
      </c>
      <c r="AM59">
        <v>1.2752118999999999E-3</v>
      </c>
    </row>
    <row r="60" spans="1:39" x14ac:dyDescent="0.2">
      <c r="A60">
        <v>59</v>
      </c>
      <c r="D60" t="s">
        <v>122</v>
      </c>
      <c r="E60">
        <v>1960</v>
      </c>
      <c r="F60" t="s">
        <v>56</v>
      </c>
      <c r="G60" t="s">
        <v>57</v>
      </c>
      <c r="H60" t="s">
        <v>58</v>
      </c>
      <c r="I60" t="s">
        <v>59</v>
      </c>
      <c r="J60">
        <v>1</v>
      </c>
      <c r="K60" t="s">
        <v>60</v>
      </c>
      <c r="L60">
        <v>1</v>
      </c>
      <c r="M60" t="s">
        <v>61</v>
      </c>
      <c r="N60">
        <v>2</v>
      </c>
      <c r="O60" t="s">
        <v>62</v>
      </c>
      <c r="P60">
        <v>1</v>
      </c>
      <c r="S60">
        <v>1960</v>
      </c>
      <c r="T60" s="11">
        <v>1063624</v>
      </c>
      <c r="U60">
        <v>0.136386300515971</v>
      </c>
      <c r="V60" s="11">
        <v>0</v>
      </c>
      <c r="W60">
        <v>0.142128752590504</v>
      </c>
      <c r="X60" s="11">
        <v>110906</v>
      </c>
      <c r="Y60">
        <v>0.136386300515971</v>
      </c>
      <c r="Z60" t="s">
        <v>63</v>
      </c>
      <c r="AA60" s="11">
        <v>1174530</v>
      </c>
      <c r="AC60" s="12">
        <v>0.93500000000000005</v>
      </c>
      <c r="AD60">
        <v>2</v>
      </c>
      <c r="AE60" s="12">
        <v>1</v>
      </c>
      <c r="AF60" s="11">
        <v>1174530</v>
      </c>
      <c r="AG60" s="11">
        <v>0</v>
      </c>
      <c r="AH60" s="12" t="s">
        <v>64</v>
      </c>
      <c r="AI60">
        <v>1497.774644445969</v>
      </c>
      <c r="AJ60" s="12">
        <v>1</v>
      </c>
      <c r="AK60">
        <v>1497.774644445969</v>
      </c>
      <c r="AL60">
        <v>1.2752118999999999E-3</v>
      </c>
      <c r="AM60">
        <v>1.2752118999999999E-3</v>
      </c>
    </row>
    <row r="61" spans="1:39" x14ac:dyDescent="0.2">
      <c r="A61">
        <v>60</v>
      </c>
      <c r="D61" t="s">
        <v>123</v>
      </c>
      <c r="E61">
        <v>1960</v>
      </c>
      <c r="F61" t="s">
        <v>56</v>
      </c>
      <c r="G61" t="s">
        <v>57</v>
      </c>
      <c r="H61" t="s">
        <v>58</v>
      </c>
      <c r="I61" t="s">
        <v>59</v>
      </c>
      <c r="J61">
        <v>1</v>
      </c>
      <c r="K61" t="s">
        <v>60</v>
      </c>
      <c r="L61">
        <v>1</v>
      </c>
      <c r="M61" t="s">
        <v>61</v>
      </c>
      <c r="N61">
        <v>2</v>
      </c>
      <c r="O61" t="s">
        <v>62</v>
      </c>
      <c r="P61">
        <v>1</v>
      </c>
      <c r="S61">
        <v>1960</v>
      </c>
      <c r="T61" s="11">
        <v>1063624</v>
      </c>
      <c r="U61">
        <v>0.136386300515971</v>
      </c>
      <c r="V61" s="11">
        <v>0</v>
      </c>
      <c r="W61">
        <v>0.142128752590504</v>
      </c>
      <c r="X61" s="11">
        <v>110906</v>
      </c>
      <c r="Y61">
        <v>0.136386300515971</v>
      </c>
      <c r="Z61" t="s">
        <v>63</v>
      </c>
      <c r="AA61" s="11">
        <v>1174530</v>
      </c>
      <c r="AC61" s="12">
        <v>0.93500000000000005</v>
      </c>
      <c r="AD61">
        <v>2</v>
      </c>
      <c r="AE61" s="12">
        <v>1</v>
      </c>
      <c r="AF61" s="11">
        <v>1174530</v>
      </c>
      <c r="AG61" s="11">
        <v>0</v>
      </c>
      <c r="AH61" s="12" t="s">
        <v>64</v>
      </c>
      <c r="AI61">
        <v>1497.774644445969</v>
      </c>
      <c r="AJ61" s="12">
        <v>1</v>
      </c>
      <c r="AK61">
        <v>1497.774644445969</v>
      </c>
      <c r="AL61">
        <v>1.2752118999999999E-3</v>
      </c>
      <c r="AM61">
        <v>1.2752118999999999E-3</v>
      </c>
    </row>
    <row r="62" spans="1:39" x14ac:dyDescent="0.2">
      <c r="A62">
        <v>61</v>
      </c>
      <c r="D62" t="s">
        <v>124</v>
      </c>
      <c r="E62">
        <v>1960</v>
      </c>
      <c r="F62" t="s">
        <v>56</v>
      </c>
      <c r="G62" t="s">
        <v>57</v>
      </c>
      <c r="H62" t="s">
        <v>58</v>
      </c>
      <c r="I62" t="s">
        <v>59</v>
      </c>
      <c r="J62">
        <v>1</v>
      </c>
      <c r="K62" t="s">
        <v>60</v>
      </c>
      <c r="L62">
        <v>1</v>
      </c>
      <c r="M62" t="s">
        <v>61</v>
      </c>
      <c r="N62">
        <v>2</v>
      </c>
      <c r="O62" t="s">
        <v>62</v>
      </c>
      <c r="P62">
        <v>1</v>
      </c>
      <c r="S62">
        <v>1960</v>
      </c>
      <c r="T62" s="11">
        <v>981171</v>
      </c>
      <c r="U62">
        <v>0.136386300515971</v>
      </c>
      <c r="V62" s="11">
        <v>0</v>
      </c>
      <c r="W62">
        <v>0.142128752590504</v>
      </c>
      <c r="X62" s="11">
        <v>110906</v>
      </c>
      <c r="Y62">
        <v>0.136386300515971</v>
      </c>
      <c r="Z62" t="s">
        <v>63</v>
      </c>
      <c r="AA62" s="11">
        <v>1092077</v>
      </c>
      <c r="AC62" s="12">
        <v>0.93500000000000005</v>
      </c>
      <c r="AD62">
        <v>2</v>
      </c>
      <c r="AE62" s="12">
        <v>1</v>
      </c>
      <c r="AF62" s="11">
        <v>1092077</v>
      </c>
      <c r="AG62" s="11">
        <v>0</v>
      </c>
      <c r="AH62" s="12" t="s">
        <v>64</v>
      </c>
      <c r="AI62">
        <v>1392.6295968452237</v>
      </c>
      <c r="AJ62" s="12">
        <v>1</v>
      </c>
      <c r="AK62">
        <v>1392.6295968452237</v>
      </c>
      <c r="AL62">
        <v>1.2752118999999999E-3</v>
      </c>
      <c r="AM62">
        <v>1.2752118999999999E-3</v>
      </c>
    </row>
    <row r="63" spans="1:39" x14ac:dyDescent="0.2">
      <c r="A63">
        <v>62</v>
      </c>
      <c r="D63" t="s">
        <v>121</v>
      </c>
      <c r="E63">
        <v>1960</v>
      </c>
      <c r="F63" t="s">
        <v>56</v>
      </c>
      <c r="G63" t="s">
        <v>57</v>
      </c>
      <c r="H63" t="s">
        <v>58</v>
      </c>
      <c r="I63" t="s">
        <v>59</v>
      </c>
      <c r="J63">
        <v>1</v>
      </c>
      <c r="K63" t="s">
        <v>60</v>
      </c>
      <c r="L63">
        <v>1</v>
      </c>
      <c r="M63" t="s">
        <v>61</v>
      </c>
      <c r="N63">
        <v>2</v>
      </c>
      <c r="O63" t="s">
        <v>62</v>
      </c>
      <c r="P63">
        <v>1</v>
      </c>
      <c r="S63">
        <v>1960</v>
      </c>
      <c r="T63" s="11">
        <v>48963</v>
      </c>
      <c r="U63">
        <v>0.136386300515971</v>
      </c>
      <c r="V63" s="11">
        <v>0</v>
      </c>
      <c r="W63">
        <v>0.142128752590504</v>
      </c>
      <c r="X63" s="11">
        <v>0</v>
      </c>
      <c r="Y63">
        <v>0.136386300515971</v>
      </c>
      <c r="Z63" t="s">
        <v>63</v>
      </c>
      <c r="AA63" s="11">
        <v>48963</v>
      </c>
      <c r="AC63" s="12">
        <v>0.93500000000000005</v>
      </c>
      <c r="AD63">
        <v>2</v>
      </c>
      <c r="AE63" s="12">
        <v>1</v>
      </c>
      <c r="AF63" s="11">
        <v>48963</v>
      </c>
      <c r="AG63" s="11">
        <v>0</v>
      </c>
      <c r="AH63" s="12" t="s">
        <v>64</v>
      </c>
      <c r="AI63">
        <v>62.438200740728611</v>
      </c>
      <c r="AJ63" s="12">
        <v>1</v>
      </c>
      <c r="AK63">
        <v>62.438200740728611</v>
      </c>
      <c r="AL63">
        <v>1.2752118999999999E-3</v>
      </c>
      <c r="AM63">
        <v>1.2752118999999999E-3</v>
      </c>
    </row>
    <row r="64" spans="1:39" x14ac:dyDescent="0.2">
      <c r="A64">
        <v>63</v>
      </c>
      <c r="D64" t="s">
        <v>125</v>
      </c>
      <c r="E64">
        <v>1960</v>
      </c>
      <c r="F64" t="s">
        <v>56</v>
      </c>
      <c r="G64" t="s">
        <v>57</v>
      </c>
      <c r="H64" t="s">
        <v>58</v>
      </c>
      <c r="I64" t="s">
        <v>59</v>
      </c>
      <c r="J64">
        <v>1</v>
      </c>
      <c r="K64" t="s">
        <v>60</v>
      </c>
      <c r="L64">
        <v>1</v>
      </c>
      <c r="M64" t="s">
        <v>61</v>
      </c>
      <c r="N64">
        <v>2</v>
      </c>
      <c r="O64" t="s">
        <v>62</v>
      </c>
      <c r="P64">
        <v>1</v>
      </c>
      <c r="S64">
        <v>1960</v>
      </c>
      <c r="T64" s="11">
        <v>423018</v>
      </c>
      <c r="U64">
        <v>0.136386300515971</v>
      </c>
      <c r="V64" s="11">
        <v>0</v>
      </c>
      <c r="W64">
        <v>0.142128752590504</v>
      </c>
      <c r="X64" s="11">
        <v>70286</v>
      </c>
      <c r="Y64">
        <v>0.136386300515971</v>
      </c>
      <c r="Z64" t="s">
        <v>63</v>
      </c>
      <c r="AA64" s="11">
        <v>493304</v>
      </c>
      <c r="AC64" s="12">
        <v>0.93500000000000005</v>
      </c>
      <c r="AD64">
        <v>2</v>
      </c>
      <c r="AE64" s="12">
        <v>1</v>
      </c>
      <c r="AF64" s="11">
        <v>493304</v>
      </c>
      <c r="AG64" s="11">
        <v>0</v>
      </c>
      <c r="AH64" s="12" t="s">
        <v>64</v>
      </c>
      <c r="AI64">
        <v>629.06713596398072</v>
      </c>
      <c r="AJ64" s="12">
        <v>1</v>
      </c>
      <c r="AK64">
        <v>629.06713596398072</v>
      </c>
      <c r="AL64">
        <v>1.2752118999999999E-3</v>
      </c>
      <c r="AM64">
        <v>1.2752118999999999E-3</v>
      </c>
    </row>
    <row r="65" spans="1:39" x14ac:dyDescent="0.2">
      <c r="A65">
        <v>64</v>
      </c>
      <c r="D65" t="s">
        <v>126</v>
      </c>
      <c r="E65">
        <v>2180</v>
      </c>
      <c r="F65" t="s">
        <v>56</v>
      </c>
      <c r="G65" t="s">
        <v>127</v>
      </c>
      <c r="H65" t="s">
        <v>128</v>
      </c>
      <c r="I65" t="s">
        <v>59</v>
      </c>
      <c r="J65">
        <v>2</v>
      </c>
      <c r="K65" t="s">
        <v>129</v>
      </c>
      <c r="L65">
        <v>2</v>
      </c>
      <c r="M65" t="s">
        <v>130</v>
      </c>
      <c r="N65">
        <v>2</v>
      </c>
      <c r="O65" t="s">
        <v>62</v>
      </c>
      <c r="P65">
        <v>1</v>
      </c>
      <c r="S65">
        <v>1954</v>
      </c>
      <c r="T65" s="11">
        <v>6997515</v>
      </c>
      <c r="U65">
        <v>0.101469305305583</v>
      </c>
      <c r="V65" s="11">
        <v>10000</v>
      </c>
      <c r="W65">
        <v>0.118447947666697</v>
      </c>
      <c r="X65" s="11">
        <v>497000</v>
      </c>
      <c r="Y65">
        <v>0.101469305305583</v>
      </c>
      <c r="Z65" t="s">
        <v>63</v>
      </c>
      <c r="AA65" s="11">
        <v>7504515</v>
      </c>
      <c r="AC65" s="12">
        <v>0.93500000000000005</v>
      </c>
      <c r="AD65">
        <v>0</v>
      </c>
      <c r="AE65" s="12">
        <v>1</v>
      </c>
      <c r="AF65" s="11">
        <v>7504515</v>
      </c>
      <c r="AG65" s="11">
        <v>0</v>
      </c>
      <c r="AH65" s="12" t="s">
        <v>64</v>
      </c>
      <c r="AI65">
        <v>7121.4060897055733</v>
      </c>
      <c r="AJ65" s="12">
        <v>1</v>
      </c>
      <c r="AK65">
        <v>7121.4060897055733</v>
      </c>
      <c r="AL65">
        <v>9.4894954000000005E-4</v>
      </c>
      <c r="AM65">
        <v>9.4894954000000005E-4</v>
      </c>
    </row>
    <row r="66" spans="1:39" x14ac:dyDescent="0.2">
      <c r="A66">
        <v>65</v>
      </c>
      <c r="D66" t="s">
        <v>131</v>
      </c>
      <c r="E66">
        <v>2180</v>
      </c>
      <c r="F66" t="s">
        <v>56</v>
      </c>
      <c r="G66" t="s">
        <v>127</v>
      </c>
      <c r="H66" t="s">
        <v>128</v>
      </c>
      <c r="I66" t="s">
        <v>59</v>
      </c>
      <c r="J66">
        <v>2</v>
      </c>
      <c r="K66" t="s">
        <v>129</v>
      </c>
      <c r="L66">
        <v>2</v>
      </c>
      <c r="M66" t="s">
        <v>130</v>
      </c>
      <c r="N66">
        <v>2</v>
      </c>
      <c r="O66" t="s">
        <v>62</v>
      </c>
      <c r="P66">
        <v>1</v>
      </c>
      <c r="S66">
        <v>1968</v>
      </c>
      <c r="T66" s="11">
        <v>16825022</v>
      </c>
      <c r="U66">
        <v>0.101469305305583</v>
      </c>
      <c r="V66" s="11">
        <v>40000</v>
      </c>
      <c r="W66">
        <v>0.118447947666697</v>
      </c>
      <c r="X66" s="11">
        <v>2775000</v>
      </c>
      <c r="Y66">
        <v>0.101469305305583</v>
      </c>
      <c r="Z66" t="s">
        <v>63</v>
      </c>
      <c r="AA66" s="11">
        <v>19640022</v>
      </c>
      <c r="AC66" s="12">
        <v>0.93500000000000005</v>
      </c>
      <c r="AD66">
        <v>0</v>
      </c>
      <c r="AE66" s="12">
        <v>1</v>
      </c>
      <c r="AF66" s="11">
        <v>19640022</v>
      </c>
      <c r="AG66" s="11">
        <v>0</v>
      </c>
      <c r="AH66" s="12" t="s">
        <v>64</v>
      </c>
      <c r="AI66">
        <v>18639.585294964585</v>
      </c>
      <c r="AJ66" s="12">
        <v>1</v>
      </c>
      <c r="AK66">
        <v>18639.585294964585</v>
      </c>
      <c r="AL66">
        <v>9.4906131999999998E-4</v>
      </c>
      <c r="AM66">
        <v>9.4906131999999998E-4</v>
      </c>
    </row>
    <row r="67" spans="1:39" x14ac:dyDescent="0.2">
      <c r="A67">
        <v>66</v>
      </c>
      <c r="D67" t="s">
        <v>132</v>
      </c>
      <c r="E67">
        <v>2180</v>
      </c>
      <c r="F67" t="s">
        <v>56</v>
      </c>
      <c r="G67" t="s">
        <v>127</v>
      </c>
      <c r="H67" t="s">
        <v>128</v>
      </c>
      <c r="I67" t="s">
        <v>59</v>
      </c>
      <c r="J67">
        <v>2</v>
      </c>
      <c r="K67" t="s">
        <v>129</v>
      </c>
      <c r="L67">
        <v>2</v>
      </c>
      <c r="M67" t="s">
        <v>130</v>
      </c>
      <c r="N67">
        <v>2</v>
      </c>
      <c r="O67" t="s">
        <v>62</v>
      </c>
      <c r="P67">
        <v>1</v>
      </c>
      <c r="T67" s="11">
        <v>16825022</v>
      </c>
      <c r="U67">
        <v>0.101469305305583</v>
      </c>
      <c r="V67" s="11">
        <v>0</v>
      </c>
      <c r="W67">
        <v>0.118447947666697</v>
      </c>
      <c r="X67" s="11">
        <v>0</v>
      </c>
      <c r="Y67">
        <v>0.101469305305583</v>
      </c>
      <c r="Z67" t="s">
        <v>63</v>
      </c>
      <c r="AA67" s="11">
        <v>16825022</v>
      </c>
      <c r="AC67" s="12">
        <v>0.93500000000000005</v>
      </c>
      <c r="AD67">
        <v>0</v>
      </c>
      <c r="AE67" s="12">
        <v>1</v>
      </c>
      <c r="AF67" s="11">
        <v>16825022</v>
      </c>
      <c r="AG67" s="11">
        <v>0</v>
      </c>
      <c r="AH67" s="12" t="s">
        <v>64</v>
      </c>
      <c r="AI67">
        <v>15962.537799752259</v>
      </c>
      <c r="AJ67" s="12">
        <v>1</v>
      </c>
      <c r="AK67">
        <v>15962.537799752259</v>
      </c>
      <c r="AL67">
        <v>9.4873799999999997E-4</v>
      </c>
      <c r="AM67">
        <v>9.4873799999999997E-4</v>
      </c>
    </row>
    <row r="68" spans="1:39" x14ac:dyDescent="0.2">
      <c r="A68">
        <v>67</v>
      </c>
      <c r="D68" t="s">
        <v>133</v>
      </c>
      <c r="E68">
        <v>2108</v>
      </c>
      <c r="F68" t="s">
        <v>56</v>
      </c>
      <c r="G68" t="s">
        <v>134</v>
      </c>
      <c r="H68" t="s">
        <v>135</v>
      </c>
      <c r="I68" t="s">
        <v>59</v>
      </c>
      <c r="J68">
        <v>3</v>
      </c>
      <c r="K68" t="s">
        <v>136</v>
      </c>
      <c r="L68">
        <v>5</v>
      </c>
      <c r="M68" t="s">
        <v>137</v>
      </c>
      <c r="N68">
        <v>8</v>
      </c>
      <c r="O68" t="s">
        <v>138</v>
      </c>
      <c r="P68">
        <v>1</v>
      </c>
      <c r="S68">
        <v>1930</v>
      </c>
      <c r="T68" s="11">
        <v>18720000</v>
      </c>
      <c r="U68">
        <v>2.9127216136487E-2</v>
      </c>
      <c r="V68" s="11">
        <v>0</v>
      </c>
      <c r="W68">
        <v>0.11436323157531</v>
      </c>
      <c r="X68" s="11">
        <v>1958000</v>
      </c>
      <c r="Y68">
        <v>2.9127216136487E-2</v>
      </c>
      <c r="Z68" t="s">
        <v>63</v>
      </c>
      <c r="AA68" s="11">
        <v>20678000</v>
      </c>
      <c r="AC68" s="12">
        <v>0.94750000000000001</v>
      </c>
      <c r="AD68">
        <v>0</v>
      </c>
      <c r="AE68" s="12">
        <v>1</v>
      </c>
      <c r="AF68" s="11">
        <v>20678000</v>
      </c>
      <c r="AG68" s="11">
        <v>0</v>
      </c>
      <c r="AH68" s="12" t="s">
        <v>64</v>
      </c>
      <c r="AI68">
        <v>5706.7221506858859</v>
      </c>
      <c r="AJ68" s="12">
        <v>1</v>
      </c>
      <c r="AK68">
        <v>5706.7221506858859</v>
      </c>
      <c r="AL68">
        <v>2.7598036999999998E-4</v>
      </c>
      <c r="AM68">
        <v>2.7598036999999998E-4</v>
      </c>
    </row>
    <row r="69" spans="1:39" x14ac:dyDescent="0.2">
      <c r="A69">
        <v>68</v>
      </c>
      <c r="D69" t="s">
        <v>139</v>
      </c>
      <c r="E69">
        <v>2180</v>
      </c>
      <c r="F69" t="s">
        <v>56</v>
      </c>
      <c r="G69" t="s">
        <v>127</v>
      </c>
      <c r="H69" t="s">
        <v>128</v>
      </c>
      <c r="I69" t="s">
        <v>59</v>
      </c>
      <c r="J69">
        <v>2</v>
      </c>
      <c r="K69" t="s">
        <v>129</v>
      </c>
      <c r="L69">
        <v>2</v>
      </c>
      <c r="M69" t="s">
        <v>130</v>
      </c>
      <c r="N69">
        <v>8</v>
      </c>
      <c r="O69" t="s">
        <v>138</v>
      </c>
      <c r="P69">
        <v>1</v>
      </c>
      <c r="T69" s="11">
        <v>8658208</v>
      </c>
      <c r="U69">
        <v>5.7881300398647001E-2</v>
      </c>
      <c r="V69" s="11">
        <v>0</v>
      </c>
      <c r="W69">
        <v>0.217993937565958</v>
      </c>
      <c r="X69" s="11">
        <v>1411365</v>
      </c>
      <c r="Y69">
        <v>5.7881300398647001E-2</v>
      </c>
      <c r="Z69" t="s">
        <v>63</v>
      </c>
      <c r="AA69" s="11">
        <v>10069573</v>
      </c>
      <c r="AC69" s="12">
        <v>0.93500000000000005</v>
      </c>
      <c r="AD69">
        <v>0</v>
      </c>
      <c r="AE69" s="12">
        <v>1</v>
      </c>
      <c r="AF69" s="11">
        <v>10069573</v>
      </c>
      <c r="AG69" s="11">
        <v>0</v>
      </c>
      <c r="AH69" s="12" t="s">
        <v>64</v>
      </c>
      <c r="AI69">
        <v>5449.5538101866323</v>
      </c>
      <c r="AJ69" s="12">
        <v>1</v>
      </c>
      <c r="AK69">
        <v>5449.5538101866323</v>
      </c>
      <c r="AL69">
        <v>5.4119015000000004E-4</v>
      </c>
      <c r="AM69">
        <v>5.4119015000000004E-4</v>
      </c>
    </row>
    <row r="70" spans="1:39" x14ac:dyDescent="0.2">
      <c r="A70">
        <v>69</v>
      </c>
      <c r="D70" t="s">
        <v>140</v>
      </c>
      <c r="E70">
        <v>2180</v>
      </c>
      <c r="F70" t="s">
        <v>56</v>
      </c>
      <c r="G70" t="s">
        <v>127</v>
      </c>
      <c r="H70" t="s">
        <v>128</v>
      </c>
      <c r="I70" t="s">
        <v>59</v>
      </c>
      <c r="J70">
        <v>0</v>
      </c>
      <c r="K70" t="s">
        <v>141</v>
      </c>
      <c r="L70">
        <v>0</v>
      </c>
      <c r="M70" t="s">
        <v>141</v>
      </c>
      <c r="N70">
        <v>47</v>
      </c>
      <c r="O70" t="s">
        <v>142</v>
      </c>
      <c r="P70">
        <v>1</v>
      </c>
      <c r="T70" s="11">
        <v>0</v>
      </c>
      <c r="U70">
        <v>0.18080862496783001</v>
      </c>
      <c r="V70" s="11">
        <v>0</v>
      </c>
      <c r="W70">
        <v>0.18017581205824101</v>
      </c>
      <c r="X70" s="11">
        <v>261365</v>
      </c>
      <c r="Y70">
        <v>0.18080862496783001</v>
      </c>
      <c r="Z70" t="s">
        <v>63</v>
      </c>
      <c r="AA70" s="11">
        <v>261365</v>
      </c>
      <c r="AC70" s="12">
        <v>0.94099999999999995</v>
      </c>
      <c r="AD70">
        <v>0</v>
      </c>
      <c r="AE70" s="12">
        <v>1</v>
      </c>
      <c r="AF70" s="11">
        <v>261365</v>
      </c>
      <c r="AG70" s="11">
        <v>0</v>
      </c>
      <c r="AH70" s="12" t="s">
        <v>143</v>
      </c>
      <c r="AI70">
        <v>444.68880535098589</v>
      </c>
      <c r="AJ70" s="12">
        <v>1</v>
      </c>
      <c r="AK70">
        <v>444.68880535098589</v>
      </c>
      <c r="AL70">
        <v>1.7014091600000001E-3</v>
      </c>
      <c r="AM70">
        <v>1.7014091600000001E-3</v>
      </c>
    </row>
    <row r="71" spans="1:39" x14ac:dyDescent="0.2">
      <c r="A71">
        <v>70</v>
      </c>
      <c r="D71" t="s">
        <v>144</v>
      </c>
      <c r="E71">
        <v>2180</v>
      </c>
      <c r="F71" t="s">
        <v>56</v>
      </c>
      <c r="G71" t="s">
        <v>127</v>
      </c>
      <c r="H71" t="s">
        <v>128</v>
      </c>
      <c r="I71" t="s">
        <v>59</v>
      </c>
      <c r="J71">
        <v>2</v>
      </c>
      <c r="K71" t="s">
        <v>129</v>
      </c>
      <c r="L71">
        <v>2</v>
      </c>
      <c r="M71" t="s">
        <v>130</v>
      </c>
      <c r="N71">
        <v>9</v>
      </c>
      <c r="O71" t="s">
        <v>145</v>
      </c>
      <c r="P71">
        <v>1</v>
      </c>
      <c r="S71">
        <v>2016</v>
      </c>
      <c r="T71" s="11">
        <v>900000</v>
      </c>
      <c r="U71">
        <v>2.3618327892069E-2</v>
      </c>
      <c r="V71" s="11">
        <v>0</v>
      </c>
      <c r="W71">
        <v>2.8497221952555E-2</v>
      </c>
      <c r="X71" s="11">
        <v>121000</v>
      </c>
      <c r="Y71">
        <v>2.3618327892069E-2</v>
      </c>
      <c r="Z71" t="s">
        <v>63</v>
      </c>
      <c r="AA71" s="11">
        <v>1021000</v>
      </c>
      <c r="AC71" s="12">
        <v>0.93500000000000005</v>
      </c>
      <c r="AD71">
        <v>2</v>
      </c>
      <c r="AE71" s="12">
        <v>1</v>
      </c>
      <c r="AF71" s="11">
        <v>1021000</v>
      </c>
      <c r="AG71" s="11">
        <v>0</v>
      </c>
      <c r="AH71" s="12" t="s">
        <v>143</v>
      </c>
      <c r="AI71">
        <v>225.46882447245289</v>
      </c>
      <c r="AJ71" s="12">
        <v>1</v>
      </c>
      <c r="AK71">
        <v>225.46882447245289</v>
      </c>
      <c r="AL71">
        <v>2.2083136E-4</v>
      </c>
      <c r="AM71">
        <v>2.2083136E-4</v>
      </c>
    </row>
    <row r="72" spans="1:39" x14ac:dyDescent="0.2">
      <c r="A72">
        <v>71</v>
      </c>
      <c r="D72" t="s">
        <v>146</v>
      </c>
      <c r="E72">
        <v>2072</v>
      </c>
      <c r="F72" t="s">
        <v>56</v>
      </c>
      <c r="G72" t="s">
        <v>147</v>
      </c>
      <c r="H72" t="s">
        <v>148</v>
      </c>
      <c r="I72" t="s">
        <v>59</v>
      </c>
      <c r="J72">
        <v>2</v>
      </c>
      <c r="K72" t="s">
        <v>129</v>
      </c>
      <c r="L72">
        <v>2</v>
      </c>
      <c r="M72" t="s">
        <v>130</v>
      </c>
      <c r="N72">
        <v>5</v>
      </c>
      <c r="O72" t="s">
        <v>149</v>
      </c>
      <c r="P72">
        <v>1</v>
      </c>
      <c r="S72">
        <v>2005</v>
      </c>
      <c r="T72" s="11">
        <v>3647748</v>
      </c>
      <c r="U72">
        <v>9.9586386307111002E-2</v>
      </c>
      <c r="V72" s="11">
        <v>0</v>
      </c>
      <c r="W72">
        <v>0.12581115328797901</v>
      </c>
      <c r="X72" s="11">
        <v>712000</v>
      </c>
      <c r="Y72">
        <v>9.9586386307111002E-2</v>
      </c>
      <c r="Z72" t="s">
        <v>63</v>
      </c>
      <c r="AA72" s="11">
        <v>4359748</v>
      </c>
      <c r="AC72" s="12">
        <v>0.93500000000000005</v>
      </c>
      <c r="AD72">
        <v>1</v>
      </c>
      <c r="AE72" s="12">
        <v>0.75</v>
      </c>
      <c r="AF72" s="11">
        <v>4359748</v>
      </c>
      <c r="AG72" s="11">
        <v>0</v>
      </c>
      <c r="AH72" s="12" t="s">
        <v>143</v>
      </c>
      <c r="AI72">
        <v>3044.6279840642028</v>
      </c>
      <c r="AJ72" s="12">
        <v>1</v>
      </c>
      <c r="AK72">
        <v>3044.6279840642028</v>
      </c>
      <c r="AL72">
        <v>6.9834952999999996E-4</v>
      </c>
      <c r="AM72">
        <v>6.9834952999999996E-4</v>
      </c>
    </row>
    <row r="73" spans="1:39" x14ac:dyDescent="0.2">
      <c r="A73">
        <v>72</v>
      </c>
      <c r="D73" t="s">
        <v>150</v>
      </c>
      <c r="E73">
        <v>2072</v>
      </c>
      <c r="F73" t="s">
        <v>56</v>
      </c>
      <c r="G73" t="s">
        <v>147</v>
      </c>
      <c r="H73" t="s">
        <v>148</v>
      </c>
      <c r="I73" t="s">
        <v>59</v>
      </c>
      <c r="J73">
        <v>2</v>
      </c>
      <c r="K73" t="s">
        <v>129</v>
      </c>
      <c r="L73">
        <v>2</v>
      </c>
      <c r="M73" t="s">
        <v>130</v>
      </c>
      <c r="N73">
        <v>5</v>
      </c>
      <c r="O73" t="s">
        <v>149</v>
      </c>
      <c r="P73">
        <v>1</v>
      </c>
      <c r="S73">
        <v>2005</v>
      </c>
      <c r="T73" s="11">
        <v>4256564</v>
      </c>
      <c r="U73">
        <v>9.9586386307111002E-2</v>
      </c>
      <c r="V73" s="11">
        <v>0</v>
      </c>
      <c r="W73">
        <v>0.12581115328797901</v>
      </c>
      <c r="X73" s="11">
        <v>804000</v>
      </c>
      <c r="Y73">
        <v>9.9586386307111002E-2</v>
      </c>
      <c r="Z73" t="s">
        <v>63</v>
      </c>
      <c r="AA73" s="11">
        <v>5060564</v>
      </c>
      <c r="AC73" s="12">
        <v>0.93500000000000005</v>
      </c>
      <c r="AD73">
        <v>0</v>
      </c>
      <c r="AE73" s="12">
        <v>1</v>
      </c>
      <c r="AF73" s="11">
        <v>5060564</v>
      </c>
      <c r="AG73" s="11">
        <v>0</v>
      </c>
      <c r="AH73" s="12" t="s">
        <v>143</v>
      </c>
      <c r="AI73">
        <v>4712.0566814252807</v>
      </c>
      <c r="AJ73" s="12">
        <v>1</v>
      </c>
      <c r="AK73">
        <v>4712.0566814252807</v>
      </c>
      <c r="AL73">
        <v>9.3113270999999997E-4</v>
      </c>
      <c r="AM73">
        <v>9.3113270999999997E-4</v>
      </c>
    </row>
    <row r="74" spans="1:39" x14ac:dyDescent="0.2">
      <c r="A74">
        <v>73</v>
      </c>
      <c r="D74" t="s">
        <v>151</v>
      </c>
      <c r="E74">
        <v>2072</v>
      </c>
      <c r="F74" t="s">
        <v>56</v>
      </c>
      <c r="G74" t="s">
        <v>147</v>
      </c>
      <c r="H74" t="s">
        <v>148</v>
      </c>
      <c r="I74" t="s">
        <v>59</v>
      </c>
      <c r="J74">
        <v>2</v>
      </c>
      <c r="K74" t="s">
        <v>129</v>
      </c>
      <c r="L74">
        <v>2</v>
      </c>
      <c r="M74" t="s">
        <v>130</v>
      </c>
      <c r="N74">
        <v>5</v>
      </c>
      <c r="O74" t="s">
        <v>149</v>
      </c>
      <c r="P74">
        <v>1</v>
      </c>
      <c r="S74">
        <v>2005</v>
      </c>
      <c r="T74" s="11">
        <v>3036488</v>
      </c>
      <c r="U74">
        <v>9.9586386307111002E-2</v>
      </c>
      <c r="V74" s="11">
        <v>0</v>
      </c>
      <c r="W74">
        <v>0.12581115328797901</v>
      </c>
      <c r="X74" s="11">
        <v>608000</v>
      </c>
      <c r="Y74">
        <v>9.9586386307111002E-2</v>
      </c>
      <c r="Z74" t="s">
        <v>63</v>
      </c>
      <c r="AA74" s="11">
        <v>3644488</v>
      </c>
      <c r="AC74" s="12">
        <v>0.93500000000000005</v>
      </c>
      <c r="AD74">
        <v>0</v>
      </c>
      <c r="AE74" s="12">
        <v>1</v>
      </c>
      <c r="AF74" s="11">
        <v>3644488</v>
      </c>
      <c r="AG74" s="11">
        <v>0</v>
      </c>
      <c r="AH74" s="12" t="s">
        <v>143</v>
      </c>
      <c r="AI74">
        <v>3393.5019951875438</v>
      </c>
      <c r="AJ74" s="12">
        <v>1</v>
      </c>
      <c r="AK74">
        <v>3393.5019951875438</v>
      </c>
      <c r="AL74">
        <v>9.3113270999999997E-4</v>
      </c>
      <c r="AM74">
        <v>9.3113270999999997E-4</v>
      </c>
    </row>
    <row r="75" spans="1:39" x14ac:dyDescent="0.2">
      <c r="A75">
        <v>74</v>
      </c>
      <c r="D75" t="s">
        <v>152</v>
      </c>
      <c r="E75">
        <v>1730</v>
      </c>
      <c r="F75" t="s">
        <v>56</v>
      </c>
      <c r="G75" t="s">
        <v>153</v>
      </c>
      <c r="H75" t="s">
        <v>128</v>
      </c>
      <c r="I75" t="s">
        <v>59</v>
      </c>
      <c r="J75">
        <v>0</v>
      </c>
      <c r="K75" t="s">
        <v>141</v>
      </c>
      <c r="L75">
        <v>0</v>
      </c>
      <c r="M75" t="s">
        <v>141</v>
      </c>
      <c r="N75">
        <v>2</v>
      </c>
      <c r="O75" t="s">
        <v>62</v>
      </c>
      <c r="P75">
        <v>1</v>
      </c>
      <c r="T75" s="11">
        <v>0</v>
      </c>
      <c r="U75">
        <v>8.7202233276287996E-2</v>
      </c>
      <c r="V75" s="11">
        <v>0</v>
      </c>
      <c r="W75">
        <v>9.5814402982119004E-2</v>
      </c>
      <c r="X75" s="11">
        <v>538000</v>
      </c>
      <c r="Y75">
        <v>8.7202233276287996E-2</v>
      </c>
      <c r="Z75" t="s">
        <v>63</v>
      </c>
      <c r="AA75" s="11">
        <v>538000</v>
      </c>
      <c r="AC75" s="12">
        <v>0.94099999999999995</v>
      </c>
      <c r="AD75">
        <v>0</v>
      </c>
      <c r="AE75" s="12">
        <v>1</v>
      </c>
      <c r="AF75" s="11">
        <v>538000</v>
      </c>
      <c r="AG75" s="11">
        <v>0</v>
      </c>
      <c r="AH75" s="12" t="s">
        <v>64</v>
      </c>
      <c r="AI75">
        <v>441.4682821398701</v>
      </c>
      <c r="AJ75" s="12">
        <v>1</v>
      </c>
      <c r="AK75">
        <v>441.4682821398701</v>
      </c>
      <c r="AL75">
        <v>8.2057300999999997E-4</v>
      </c>
      <c r="AM75">
        <v>8.2057300999999997E-4</v>
      </c>
    </row>
    <row r="76" spans="1:39" x14ac:dyDescent="0.2">
      <c r="A76">
        <v>75</v>
      </c>
      <c r="D76" t="s">
        <v>154</v>
      </c>
      <c r="E76">
        <v>1803</v>
      </c>
      <c r="F76" t="s">
        <v>56</v>
      </c>
      <c r="G76" t="s">
        <v>155</v>
      </c>
      <c r="H76" t="s">
        <v>128</v>
      </c>
      <c r="I76" t="s">
        <v>59</v>
      </c>
      <c r="J76">
        <v>1</v>
      </c>
      <c r="K76" t="s">
        <v>60</v>
      </c>
      <c r="L76">
        <v>1</v>
      </c>
      <c r="M76" t="s">
        <v>61</v>
      </c>
      <c r="N76">
        <v>1</v>
      </c>
      <c r="O76" t="s">
        <v>156</v>
      </c>
      <c r="P76">
        <v>1</v>
      </c>
      <c r="T76" s="11">
        <v>391040</v>
      </c>
      <c r="U76">
        <v>5.5581978886288998E-2</v>
      </c>
      <c r="V76" s="11">
        <v>0</v>
      </c>
      <c r="W76">
        <v>5.6541520595747997E-2</v>
      </c>
      <c r="X76" s="11">
        <v>21520</v>
      </c>
      <c r="Y76">
        <v>5.5581978886288998E-2</v>
      </c>
      <c r="Z76" t="s">
        <v>63</v>
      </c>
      <c r="AA76" s="11">
        <v>412560</v>
      </c>
      <c r="AC76" s="12">
        <v>0.93500000000000005</v>
      </c>
      <c r="AD76">
        <v>0</v>
      </c>
      <c r="AE76" s="12">
        <v>1</v>
      </c>
      <c r="AF76" s="11">
        <v>412560</v>
      </c>
      <c r="AG76" s="11">
        <v>0</v>
      </c>
      <c r="AH76" s="12" t="s">
        <v>64</v>
      </c>
      <c r="AI76">
        <v>214.40392630721109</v>
      </c>
      <c r="AJ76" s="12">
        <v>1</v>
      </c>
      <c r="AK76">
        <v>214.40392630721109</v>
      </c>
      <c r="AL76">
        <v>5.1969150000000003E-4</v>
      </c>
      <c r="AM76">
        <v>5.1969150000000003E-4</v>
      </c>
    </row>
    <row r="77" spans="1:39" x14ac:dyDescent="0.2">
      <c r="A77">
        <v>76</v>
      </c>
      <c r="D77" t="s">
        <v>157</v>
      </c>
      <c r="E77">
        <v>3860</v>
      </c>
      <c r="F77" t="s">
        <v>158</v>
      </c>
      <c r="G77" t="s">
        <v>159</v>
      </c>
      <c r="H77" t="s">
        <v>160</v>
      </c>
      <c r="I77" t="s">
        <v>59</v>
      </c>
      <c r="J77">
        <v>0</v>
      </c>
      <c r="K77" t="s">
        <v>141</v>
      </c>
      <c r="L77">
        <v>0</v>
      </c>
      <c r="M77" t="s">
        <v>141</v>
      </c>
      <c r="N77">
        <v>47</v>
      </c>
      <c r="O77" t="s">
        <v>142</v>
      </c>
      <c r="P77">
        <v>1</v>
      </c>
      <c r="T77" s="11">
        <v>0</v>
      </c>
      <c r="U77">
        <v>0.17990774563916601</v>
      </c>
      <c r="V77" s="11">
        <v>0</v>
      </c>
      <c r="W77">
        <v>0.18749142825266099</v>
      </c>
      <c r="X77" s="11">
        <v>262841</v>
      </c>
      <c r="Y77">
        <v>0.17990774563916601</v>
      </c>
      <c r="Z77" t="s">
        <v>63</v>
      </c>
      <c r="AA77" s="11">
        <v>262841</v>
      </c>
      <c r="AC77" s="12">
        <v>0.94099999999999995</v>
      </c>
      <c r="AD77">
        <v>0</v>
      </c>
      <c r="AE77" s="12">
        <v>1</v>
      </c>
      <c r="AF77" s="11">
        <v>262841</v>
      </c>
      <c r="AG77" s="11">
        <v>0</v>
      </c>
      <c r="AH77" s="12" t="s">
        <v>143</v>
      </c>
      <c r="AI77">
        <v>444.97190997022932</v>
      </c>
      <c r="AJ77" s="12">
        <v>1</v>
      </c>
      <c r="AK77">
        <v>444.97190997022932</v>
      </c>
      <c r="AL77">
        <v>1.6929318799999999E-3</v>
      </c>
      <c r="AM77">
        <v>1.6929318799999999E-3</v>
      </c>
    </row>
    <row r="78" spans="1:39" x14ac:dyDescent="0.2">
      <c r="A78">
        <v>77</v>
      </c>
      <c r="D78" t="s">
        <v>161</v>
      </c>
      <c r="E78">
        <v>3060</v>
      </c>
      <c r="F78" t="s">
        <v>158</v>
      </c>
      <c r="G78" t="s">
        <v>162</v>
      </c>
      <c r="H78" t="s">
        <v>163</v>
      </c>
      <c r="I78" t="s">
        <v>59</v>
      </c>
      <c r="J78">
        <v>0</v>
      </c>
      <c r="K78" t="s">
        <v>141</v>
      </c>
      <c r="L78">
        <v>0</v>
      </c>
      <c r="M78" t="s">
        <v>141</v>
      </c>
      <c r="N78">
        <v>5</v>
      </c>
      <c r="O78" t="s">
        <v>149</v>
      </c>
      <c r="P78">
        <v>1</v>
      </c>
      <c r="T78" s="11">
        <v>0</v>
      </c>
      <c r="U78">
        <v>8.5157638983547002E-2</v>
      </c>
      <c r="V78" s="11">
        <v>0</v>
      </c>
      <c r="W78">
        <v>0.105902772627936</v>
      </c>
      <c r="X78" s="11">
        <v>396300</v>
      </c>
      <c r="Y78">
        <v>8.5157638983547002E-2</v>
      </c>
      <c r="Z78" t="s">
        <v>63</v>
      </c>
      <c r="AA78" s="11">
        <v>396300</v>
      </c>
      <c r="AC78" s="12">
        <v>0.94099999999999995</v>
      </c>
      <c r="AD78">
        <v>0</v>
      </c>
      <c r="AE78" s="12">
        <v>1</v>
      </c>
      <c r="AF78" s="11">
        <v>396300</v>
      </c>
      <c r="AG78" s="11">
        <v>0</v>
      </c>
      <c r="AH78" s="12" t="s">
        <v>143</v>
      </c>
      <c r="AI78">
        <v>317.56841961758073</v>
      </c>
      <c r="AJ78" s="12">
        <v>1</v>
      </c>
      <c r="AK78">
        <v>317.56841961758073</v>
      </c>
      <c r="AL78">
        <v>8.0133337999999999E-4</v>
      </c>
      <c r="AM78">
        <v>8.0133337999999999E-4</v>
      </c>
    </row>
    <row r="79" spans="1:39" x14ac:dyDescent="0.2">
      <c r="A79">
        <v>78</v>
      </c>
      <c r="D79" t="s">
        <v>164</v>
      </c>
      <c r="E79">
        <v>3275</v>
      </c>
      <c r="F79" t="s">
        <v>158</v>
      </c>
      <c r="G79" t="s">
        <v>165</v>
      </c>
      <c r="H79" t="s">
        <v>166</v>
      </c>
      <c r="I79" t="s">
        <v>59</v>
      </c>
      <c r="J79" t="s">
        <v>167</v>
      </c>
      <c r="K79" t="s">
        <v>168</v>
      </c>
      <c r="L79">
        <v>5</v>
      </c>
      <c r="M79" t="s">
        <v>137</v>
      </c>
      <c r="N79">
        <v>2</v>
      </c>
      <c r="O79" t="s">
        <v>62</v>
      </c>
      <c r="P79">
        <v>1</v>
      </c>
      <c r="T79" s="11">
        <v>3766415</v>
      </c>
      <c r="U79">
        <v>5.0807298565154001E-2</v>
      </c>
      <c r="V79" s="11">
        <v>0</v>
      </c>
      <c r="W79">
        <v>6.4662794924499001E-2</v>
      </c>
      <c r="X79" s="11">
        <v>347000</v>
      </c>
      <c r="Y79">
        <v>5.0807298565154001E-2</v>
      </c>
      <c r="Z79" t="s">
        <v>63</v>
      </c>
      <c r="AA79" s="11">
        <v>4113415</v>
      </c>
      <c r="AC79" s="12">
        <v>0.94750000000000001</v>
      </c>
      <c r="AD79">
        <v>2</v>
      </c>
      <c r="AE79" s="12">
        <v>1</v>
      </c>
      <c r="AF79" s="11">
        <v>4113415</v>
      </c>
      <c r="AG79" s="11">
        <v>0</v>
      </c>
      <c r="AH79" s="12" t="s">
        <v>64</v>
      </c>
      <c r="AI79">
        <v>1980.1945006594533</v>
      </c>
      <c r="AJ79" s="12">
        <v>1</v>
      </c>
      <c r="AK79">
        <v>1980.1945006594533</v>
      </c>
      <c r="AL79">
        <v>4.8139914999999997E-4</v>
      </c>
      <c r="AM79">
        <v>4.8139914999999997E-4</v>
      </c>
    </row>
    <row r="80" spans="1:39" x14ac:dyDescent="0.2">
      <c r="A80">
        <v>79</v>
      </c>
      <c r="D80" t="s">
        <v>169</v>
      </c>
      <c r="E80">
        <v>3275</v>
      </c>
      <c r="F80" t="s">
        <v>158</v>
      </c>
      <c r="G80" t="s">
        <v>165</v>
      </c>
      <c r="H80" t="s">
        <v>166</v>
      </c>
      <c r="I80" t="s">
        <v>59</v>
      </c>
      <c r="J80" t="s">
        <v>167</v>
      </c>
      <c r="K80" t="s">
        <v>168</v>
      </c>
      <c r="L80">
        <v>5</v>
      </c>
      <c r="M80" t="s">
        <v>137</v>
      </c>
      <c r="N80">
        <v>2</v>
      </c>
      <c r="O80" t="s">
        <v>62</v>
      </c>
      <c r="P80">
        <v>1</v>
      </c>
      <c r="T80" s="11">
        <v>104000</v>
      </c>
      <c r="U80">
        <v>5.0807298565154001E-2</v>
      </c>
      <c r="V80" s="11">
        <v>0</v>
      </c>
      <c r="W80">
        <v>6.4662794924499001E-2</v>
      </c>
      <c r="X80" s="11">
        <v>0</v>
      </c>
      <c r="Y80">
        <v>5.0807298565154001E-2</v>
      </c>
      <c r="Z80" t="s">
        <v>63</v>
      </c>
      <c r="AA80" s="11">
        <v>104000</v>
      </c>
      <c r="AC80" s="12">
        <v>0.94750000000000001</v>
      </c>
      <c r="AD80">
        <v>0</v>
      </c>
      <c r="AE80" s="12">
        <v>1</v>
      </c>
      <c r="AF80" s="11">
        <v>104000</v>
      </c>
      <c r="AG80" s="11">
        <v>0</v>
      </c>
      <c r="AH80" s="12" t="s">
        <v>64</v>
      </c>
      <c r="AI80">
        <v>50.06551200610275</v>
      </c>
      <c r="AJ80" s="12">
        <v>1</v>
      </c>
      <c r="AK80">
        <v>50.06551200610275</v>
      </c>
      <c r="AL80">
        <v>4.8139914999999997E-4</v>
      </c>
      <c r="AM80">
        <v>4.8139914999999997E-4</v>
      </c>
    </row>
    <row r="81" spans="1:39" x14ac:dyDescent="0.2">
      <c r="A81">
        <v>80</v>
      </c>
      <c r="D81" t="s">
        <v>170</v>
      </c>
      <c r="E81">
        <v>3845</v>
      </c>
      <c r="F81" t="s">
        <v>158</v>
      </c>
      <c r="G81" t="s">
        <v>171</v>
      </c>
      <c r="H81" t="s">
        <v>160</v>
      </c>
      <c r="I81" t="s">
        <v>59</v>
      </c>
      <c r="J81">
        <v>1</v>
      </c>
      <c r="K81" t="s">
        <v>60</v>
      </c>
      <c r="L81">
        <v>1</v>
      </c>
      <c r="M81" t="s">
        <v>61</v>
      </c>
      <c r="N81">
        <v>2</v>
      </c>
      <c r="O81" t="s">
        <v>62</v>
      </c>
      <c r="P81">
        <v>1</v>
      </c>
      <c r="T81" s="11">
        <v>312000</v>
      </c>
      <c r="U81">
        <v>0.13570675550604899</v>
      </c>
      <c r="V81" s="11">
        <v>0</v>
      </c>
      <c r="W81">
        <v>0.147899557185561</v>
      </c>
      <c r="X81" s="11">
        <v>0</v>
      </c>
      <c r="Y81">
        <v>0.13570675550604899</v>
      </c>
      <c r="Z81" t="s">
        <v>63</v>
      </c>
      <c r="AA81" s="11">
        <v>312000</v>
      </c>
      <c r="AC81" s="12">
        <v>0.93500000000000005</v>
      </c>
      <c r="AD81">
        <v>0</v>
      </c>
      <c r="AE81" s="12">
        <v>1</v>
      </c>
      <c r="AF81" s="11">
        <v>312000</v>
      </c>
      <c r="AG81" s="11">
        <v>0</v>
      </c>
      <c r="AH81" s="12" t="s">
        <v>64</v>
      </c>
      <c r="AI81">
        <v>395.88374716224615</v>
      </c>
      <c r="AJ81" s="12">
        <v>1</v>
      </c>
      <c r="AK81">
        <v>395.88374716224615</v>
      </c>
      <c r="AL81">
        <v>1.2688581600000001E-3</v>
      </c>
      <c r="AM81">
        <v>1.2688581600000001E-3</v>
      </c>
    </row>
    <row r="82" spans="1:39" x14ac:dyDescent="0.2">
      <c r="A82">
        <v>81</v>
      </c>
      <c r="D82" t="s">
        <v>172</v>
      </c>
      <c r="E82">
        <v>1960</v>
      </c>
      <c r="F82" t="s">
        <v>56</v>
      </c>
      <c r="G82" t="s">
        <v>57</v>
      </c>
      <c r="H82" t="s">
        <v>58</v>
      </c>
      <c r="I82" t="s">
        <v>59</v>
      </c>
      <c r="J82">
        <v>1</v>
      </c>
      <c r="K82" t="s">
        <v>60</v>
      </c>
      <c r="L82">
        <v>1</v>
      </c>
      <c r="M82" t="s">
        <v>61</v>
      </c>
      <c r="N82">
        <v>2</v>
      </c>
      <c r="O82" t="s">
        <v>62</v>
      </c>
      <c r="P82">
        <v>1</v>
      </c>
      <c r="S82">
        <v>1968</v>
      </c>
      <c r="T82" s="11">
        <v>1608108.1070000001</v>
      </c>
      <c r="U82">
        <v>0.136386300515971</v>
      </c>
      <c r="V82" s="11">
        <v>0</v>
      </c>
      <c r="W82">
        <v>0.142128752590504</v>
      </c>
      <c r="X82" s="11">
        <v>0</v>
      </c>
      <c r="Y82">
        <v>0.136386300515971</v>
      </c>
      <c r="Z82" t="s">
        <v>63</v>
      </c>
      <c r="AA82" s="11">
        <v>1608108.1070000001</v>
      </c>
      <c r="AC82" s="12">
        <v>0.93500000000000005</v>
      </c>
      <c r="AD82">
        <v>0</v>
      </c>
      <c r="AE82" s="12">
        <v>1</v>
      </c>
      <c r="AF82" s="11">
        <v>1608108.1070000001</v>
      </c>
      <c r="AG82" s="11">
        <v>0</v>
      </c>
      <c r="AH82" s="12" t="s">
        <v>64</v>
      </c>
      <c r="AI82">
        <v>2050.6786103314562</v>
      </c>
      <c r="AJ82" s="12">
        <v>1</v>
      </c>
      <c r="AK82">
        <v>2050.6786103314562</v>
      </c>
      <c r="AL82">
        <v>1.2752118999999999E-3</v>
      </c>
      <c r="AM82">
        <v>1.2752118999999999E-3</v>
      </c>
    </row>
    <row r="83" spans="1:39" x14ac:dyDescent="0.2">
      <c r="A83">
        <v>82</v>
      </c>
      <c r="D83" t="s">
        <v>172</v>
      </c>
      <c r="E83">
        <v>1960</v>
      </c>
      <c r="F83" t="s">
        <v>56</v>
      </c>
      <c r="G83" t="s">
        <v>57</v>
      </c>
      <c r="H83" t="s">
        <v>58</v>
      </c>
      <c r="I83" t="s">
        <v>59</v>
      </c>
      <c r="J83">
        <v>1</v>
      </c>
      <c r="K83" t="s">
        <v>60</v>
      </c>
      <c r="L83">
        <v>1</v>
      </c>
      <c r="M83" t="s">
        <v>61</v>
      </c>
      <c r="N83">
        <v>2</v>
      </c>
      <c r="O83" t="s">
        <v>62</v>
      </c>
      <c r="P83">
        <v>1</v>
      </c>
      <c r="S83">
        <v>1968</v>
      </c>
      <c r="T83" s="11">
        <v>770270.26989999996</v>
      </c>
      <c r="U83">
        <v>0.136386300515971</v>
      </c>
      <c r="V83" s="11">
        <v>0</v>
      </c>
      <c r="W83">
        <v>0.142128752590504</v>
      </c>
      <c r="X83" s="11">
        <v>0</v>
      </c>
      <c r="Y83">
        <v>0.136386300515971</v>
      </c>
      <c r="Z83" t="s">
        <v>63</v>
      </c>
      <c r="AA83" s="11">
        <v>770270.26989999996</v>
      </c>
      <c r="AC83" s="12">
        <v>0.93500000000000005</v>
      </c>
      <c r="AD83">
        <v>0</v>
      </c>
      <c r="AE83" s="12">
        <v>1</v>
      </c>
      <c r="AF83" s="11">
        <v>770270.26989999996</v>
      </c>
      <c r="AG83" s="11">
        <v>0</v>
      </c>
      <c r="AH83" s="12" t="s">
        <v>64</v>
      </c>
      <c r="AI83">
        <v>982.25782196008026</v>
      </c>
      <c r="AJ83" s="12">
        <v>1</v>
      </c>
      <c r="AK83">
        <v>982.25782196008026</v>
      </c>
      <c r="AL83">
        <v>1.2752118999999999E-3</v>
      </c>
      <c r="AM83">
        <v>1.2752118999999999E-3</v>
      </c>
    </row>
    <row r="84" spans="1:39" x14ac:dyDescent="0.2">
      <c r="A84">
        <v>83</v>
      </c>
      <c r="D84" t="s">
        <v>172</v>
      </c>
      <c r="E84">
        <v>1960</v>
      </c>
      <c r="F84" t="s">
        <v>56</v>
      </c>
      <c r="G84" t="s">
        <v>57</v>
      </c>
      <c r="H84" t="s">
        <v>58</v>
      </c>
      <c r="I84" t="s">
        <v>59</v>
      </c>
      <c r="J84">
        <v>1</v>
      </c>
      <c r="K84" t="s">
        <v>60</v>
      </c>
      <c r="L84">
        <v>1</v>
      </c>
      <c r="M84" t="s">
        <v>61</v>
      </c>
      <c r="N84">
        <v>2</v>
      </c>
      <c r="O84" t="s">
        <v>62</v>
      </c>
      <c r="P84">
        <v>1</v>
      </c>
      <c r="S84">
        <v>1968</v>
      </c>
      <c r="T84" s="11">
        <v>1608108.1070000001</v>
      </c>
      <c r="U84">
        <v>0.136386300515971</v>
      </c>
      <c r="V84" s="11">
        <v>0</v>
      </c>
      <c r="W84">
        <v>0.142128752590504</v>
      </c>
      <c r="X84" s="11">
        <v>0</v>
      </c>
      <c r="Y84">
        <v>0.136386300515971</v>
      </c>
      <c r="Z84" t="s">
        <v>63</v>
      </c>
      <c r="AA84" s="11">
        <v>1608108.1070000001</v>
      </c>
      <c r="AC84" s="12">
        <v>0.93500000000000005</v>
      </c>
      <c r="AD84">
        <v>0</v>
      </c>
      <c r="AE84" s="12">
        <v>1</v>
      </c>
      <c r="AF84" s="11">
        <v>1608108.1070000001</v>
      </c>
      <c r="AG84" s="11">
        <v>0</v>
      </c>
      <c r="AH84" s="12" t="s">
        <v>64</v>
      </c>
      <c r="AI84">
        <v>2050.6786103314562</v>
      </c>
      <c r="AJ84" s="12">
        <v>1</v>
      </c>
      <c r="AK84">
        <v>2050.6786103314562</v>
      </c>
      <c r="AL84">
        <v>1.2752118999999999E-3</v>
      </c>
      <c r="AM84">
        <v>1.2752118999999999E-3</v>
      </c>
    </row>
    <row r="85" spans="1:39" x14ac:dyDescent="0.2">
      <c r="A85">
        <v>84</v>
      </c>
      <c r="D85" t="s">
        <v>172</v>
      </c>
      <c r="E85">
        <v>1960</v>
      </c>
      <c r="F85" t="s">
        <v>56</v>
      </c>
      <c r="G85" t="s">
        <v>57</v>
      </c>
      <c r="H85" t="s">
        <v>58</v>
      </c>
      <c r="I85" t="s">
        <v>59</v>
      </c>
      <c r="J85">
        <v>1</v>
      </c>
      <c r="K85" t="s">
        <v>60</v>
      </c>
      <c r="L85">
        <v>1</v>
      </c>
      <c r="M85" t="s">
        <v>61</v>
      </c>
      <c r="N85">
        <v>2</v>
      </c>
      <c r="O85" t="s">
        <v>62</v>
      </c>
      <c r="P85">
        <v>1</v>
      </c>
      <c r="S85">
        <v>1968</v>
      </c>
      <c r="T85" s="11">
        <v>770270.26989999996</v>
      </c>
      <c r="U85">
        <v>0.136386300515971</v>
      </c>
      <c r="V85" s="11">
        <v>0</v>
      </c>
      <c r="W85">
        <v>0.142128752590504</v>
      </c>
      <c r="X85" s="11">
        <v>0</v>
      </c>
      <c r="Y85">
        <v>0.136386300515971</v>
      </c>
      <c r="Z85" t="s">
        <v>63</v>
      </c>
      <c r="AA85" s="11">
        <v>770270.26989999996</v>
      </c>
      <c r="AC85" s="12">
        <v>0.93500000000000005</v>
      </c>
      <c r="AD85">
        <v>0</v>
      </c>
      <c r="AE85" s="12">
        <v>1</v>
      </c>
      <c r="AF85" s="11">
        <v>770270.26989999996</v>
      </c>
      <c r="AG85" s="11">
        <v>0</v>
      </c>
      <c r="AH85" s="12" t="s">
        <v>64</v>
      </c>
      <c r="AI85">
        <v>982.25782196008026</v>
      </c>
      <c r="AJ85" s="12">
        <v>1</v>
      </c>
      <c r="AK85">
        <v>982.25782196008026</v>
      </c>
      <c r="AL85">
        <v>1.2752118999999999E-3</v>
      </c>
      <c r="AM85">
        <v>1.2752118999999999E-3</v>
      </c>
    </row>
    <row r="86" spans="1:39" x14ac:dyDescent="0.2">
      <c r="A86">
        <v>85</v>
      </c>
      <c r="D86" t="s">
        <v>172</v>
      </c>
      <c r="E86">
        <v>1960</v>
      </c>
      <c r="F86" t="s">
        <v>56</v>
      </c>
      <c r="G86" t="s">
        <v>57</v>
      </c>
      <c r="H86" t="s">
        <v>58</v>
      </c>
      <c r="I86" t="s">
        <v>59</v>
      </c>
      <c r="J86">
        <v>1</v>
      </c>
      <c r="K86" t="s">
        <v>60</v>
      </c>
      <c r="L86">
        <v>1</v>
      </c>
      <c r="M86" t="s">
        <v>61</v>
      </c>
      <c r="N86">
        <v>2</v>
      </c>
      <c r="O86" t="s">
        <v>62</v>
      </c>
      <c r="P86">
        <v>1</v>
      </c>
      <c r="S86">
        <v>1968</v>
      </c>
      <c r="T86" s="11">
        <v>770270.26989999996</v>
      </c>
      <c r="U86">
        <v>0.136386300515971</v>
      </c>
      <c r="V86" s="11">
        <v>0</v>
      </c>
      <c r="W86">
        <v>0.142128752590504</v>
      </c>
      <c r="X86" s="11">
        <v>0</v>
      </c>
      <c r="Y86">
        <v>0.136386300515971</v>
      </c>
      <c r="Z86" t="s">
        <v>63</v>
      </c>
      <c r="AA86" s="11">
        <v>770270.26989999996</v>
      </c>
      <c r="AC86" s="12">
        <v>0.93500000000000005</v>
      </c>
      <c r="AD86">
        <v>0</v>
      </c>
      <c r="AE86" s="12">
        <v>1</v>
      </c>
      <c r="AF86" s="11">
        <v>770270.26989999996</v>
      </c>
      <c r="AG86" s="11">
        <v>0</v>
      </c>
      <c r="AH86" s="12" t="s">
        <v>64</v>
      </c>
      <c r="AI86">
        <v>982.25782196008026</v>
      </c>
      <c r="AJ86" s="12">
        <v>1</v>
      </c>
      <c r="AK86">
        <v>982.25782196008026</v>
      </c>
      <c r="AL86">
        <v>1.2752118999999999E-3</v>
      </c>
      <c r="AM86">
        <v>1.2752118999999999E-3</v>
      </c>
    </row>
    <row r="87" spans="1:39" x14ac:dyDescent="0.2">
      <c r="A87">
        <v>86</v>
      </c>
      <c r="D87" t="s">
        <v>172</v>
      </c>
      <c r="E87">
        <v>1960</v>
      </c>
      <c r="F87" t="s">
        <v>56</v>
      </c>
      <c r="G87" t="s">
        <v>57</v>
      </c>
      <c r="H87" t="s">
        <v>58</v>
      </c>
      <c r="I87" t="s">
        <v>59</v>
      </c>
      <c r="J87">
        <v>1</v>
      </c>
      <c r="K87" t="s">
        <v>60</v>
      </c>
      <c r="L87">
        <v>1</v>
      </c>
      <c r="M87" t="s">
        <v>61</v>
      </c>
      <c r="N87">
        <v>2</v>
      </c>
      <c r="O87" t="s">
        <v>62</v>
      </c>
      <c r="P87">
        <v>1</v>
      </c>
      <c r="S87">
        <v>1968</v>
      </c>
      <c r="T87" s="11">
        <v>1608108.1070000001</v>
      </c>
      <c r="U87">
        <v>0.136386300515971</v>
      </c>
      <c r="V87" s="11">
        <v>0</v>
      </c>
      <c r="W87">
        <v>0.142128752590504</v>
      </c>
      <c r="X87" s="11">
        <v>0</v>
      </c>
      <c r="Y87">
        <v>0.136386300515971</v>
      </c>
      <c r="Z87" t="s">
        <v>63</v>
      </c>
      <c r="AA87" s="11">
        <v>1608108.1070000001</v>
      </c>
      <c r="AC87" s="12">
        <v>0.93500000000000005</v>
      </c>
      <c r="AD87">
        <v>0</v>
      </c>
      <c r="AE87" s="12">
        <v>1</v>
      </c>
      <c r="AF87" s="11">
        <v>1608108.1070000001</v>
      </c>
      <c r="AG87" s="11">
        <v>0</v>
      </c>
      <c r="AH87" s="12" t="s">
        <v>64</v>
      </c>
      <c r="AI87">
        <v>2050.6786103314562</v>
      </c>
      <c r="AJ87" s="12">
        <v>1</v>
      </c>
      <c r="AK87">
        <v>2050.6786103314562</v>
      </c>
      <c r="AL87">
        <v>1.2752118999999999E-3</v>
      </c>
      <c r="AM87">
        <v>1.2752118999999999E-3</v>
      </c>
    </row>
    <row r="88" spans="1:39" x14ac:dyDescent="0.2">
      <c r="A88">
        <v>87</v>
      </c>
      <c r="D88" t="s">
        <v>172</v>
      </c>
      <c r="E88">
        <v>1960</v>
      </c>
      <c r="F88" t="s">
        <v>56</v>
      </c>
      <c r="G88" t="s">
        <v>57</v>
      </c>
      <c r="H88" t="s">
        <v>58</v>
      </c>
      <c r="I88" t="s">
        <v>59</v>
      </c>
      <c r="J88">
        <v>1</v>
      </c>
      <c r="K88" t="s">
        <v>60</v>
      </c>
      <c r="L88">
        <v>1</v>
      </c>
      <c r="M88" t="s">
        <v>61</v>
      </c>
      <c r="N88">
        <v>2</v>
      </c>
      <c r="O88" t="s">
        <v>62</v>
      </c>
      <c r="P88">
        <v>1</v>
      </c>
      <c r="S88">
        <v>1968</v>
      </c>
      <c r="T88" s="11">
        <v>770270.26989999996</v>
      </c>
      <c r="U88">
        <v>0.136386300515971</v>
      </c>
      <c r="V88" s="11">
        <v>0</v>
      </c>
      <c r="W88">
        <v>0.142128752590504</v>
      </c>
      <c r="X88" s="11">
        <v>0</v>
      </c>
      <c r="Y88">
        <v>0.136386300515971</v>
      </c>
      <c r="Z88" t="s">
        <v>63</v>
      </c>
      <c r="AA88" s="11">
        <v>770270.26989999996</v>
      </c>
      <c r="AC88" s="12">
        <v>0.93500000000000005</v>
      </c>
      <c r="AD88">
        <v>0</v>
      </c>
      <c r="AE88" s="12">
        <v>1</v>
      </c>
      <c r="AF88" s="11">
        <v>770270.26989999996</v>
      </c>
      <c r="AG88" s="11">
        <v>0</v>
      </c>
      <c r="AH88" s="12" t="s">
        <v>64</v>
      </c>
      <c r="AI88">
        <v>982.25782196008026</v>
      </c>
      <c r="AJ88" s="12">
        <v>1</v>
      </c>
      <c r="AK88">
        <v>982.25782196008026</v>
      </c>
      <c r="AL88">
        <v>1.2752118999999999E-3</v>
      </c>
      <c r="AM88">
        <v>1.2752118999999999E-3</v>
      </c>
    </row>
    <row r="89" spans="1:39" x14ac:dyDescent="0.2">
      <c r="A89">
        <v>88</v>
      </c>
      <c r="D89" t="s">
        <v>172</v>
      </c>
      <c r="E89">
        <v>1960</v>
      </c>
      <c r="F89" t="s">
        <v>56</v>
      </c>
      <c r="G89" t="s">
        <v>57</v>
      </c>
      <c r="H89" t="s">
        <v>58</v>
      </c>
      <c r="I89" t="s">
        <v>59</v>
      </c>
      <c r="J89">
        <v>1</v>
      </c>
      <c r="K89" t="s">
        <v>60</v>
      </c>
      <c r="L89">
        <v>1</v>
      </c>
      <c r="M89" t="s">
        <v>61</v>
      </c>
      <c r="N89">
        <v>2</v>
      </c>
      <c r="O89" t="s">
        <v>62</v>
      </c>
      <c r="P89">
        <v>1</v>
      </c>
      <c r="S89">
        <v>1968</v>
      </c>
      <c r="T89" s="11">
        <v>1608108.1070000001</v>
      </c>
      <c r="U89">
        <v>0.136386300515971</v>
      </c>
      <c r="V89" s="11">
        <v>0</v>
      </c>
      <c r="W89">
        <v>0.142128752590504</v>
      </c>
      <c r="X89" s="11">
        <v>0</v>
      </c>
      <c r="Y89">
        <v>0.136386300515971</v>
      </c>
      <c r="Z89" t="s">
        <v>63</v>
      </c>
      <c r="AA89" s="11">
        <v>1608108.1070000001</v>
      </c>
      <c r="AC89" s="12">
        <v>0.93500000000000005</v>
      </c>
      <c r="AD89">
        <v>0</v>
      </c>
      <c r="AE89" s="12">
        <v>1</v>
      </c>
      <c r="AF89" s="11">
        <v>1608108.1070000001</v>
      </c>
      <c r="AG89" s="11">
        <v>0</v>
      </c>
      <c r="AH89" s="12" t="s">
        <v>64</v>
      </c>
      <c r="AI89">
        <v>2050.6786103314562</v>
      </c>
      <c r="AJ89" s="12">
        <v>1</v>
      </c>
      <c r="AK89">
        <v>2050.6786103314562</v>
      </c>
      <c r="AL89">
        <v>1.2752118999999999E-3</v>
      </c>
      <c r="AM89">
        <v>1.2752118999999999E-3</v>
      </c>
    </row>
    <row r="90" spans="1:39" x14ac:dyDescent="0.2">
      <c r="A90">
        <v>89</v>
      </c>
      <c r="D90" t="s">
        <v>172</v>
      </c>
      <c r="E90">
        <v>1960</v>
      </c>
      <c r="F90" t="s">
        <v>56</v>
      </c>
      <c r="G90" t="s">
        <v>57</v>
      </c>
      <c r="H90" t="s">
        <v>58</v>
      </c>
      <c r="I90" t="s">
        <v>59</v>
      </c>
      <c r="J90">
        <v>1</v>
      </c>
      <c r="K90" t="s">
        <v>60</v>
      </c>
      <c r="L90">
        <v>1</v>
      </c>
      <c r="M90" t="s">
        <v>61</v>
      </c>
      <c r="N90">
        <v>2</v>
      </c>
      <c r="O90" t="s">
        <v>62</v>
      </c>
      <c r="P90">
        <v>1</v>
      </c>
      <c r="S90">
        <v>1968</v>
      </c>
      <c r="T90" s="11">
        <v>1608108.1070000001</v>
      </c>
      <c r="U90">
        <v>0.136386300515971</v>
      </c>
      <c r="V90" s="11">
        <v>0</v>
      </c>
      <c r="W90">
        <v>0.142128752590504</v>
      </c>
      <c r="X90" s="11">
        <v>0</v>
      </c>
      <c r="Y90">
        <v>0.136386300515971</v>
      </c>
      <c r="Z90" t="s">
        <v>63</v>
      </c>
      <c r="AA90" s="11">
        <v>1608108.1070000001</v>
      </c>
      <c r="AC90" s="12">
        <v>0.93500000000000005</v>
      </c>
      <c r="AD90">
        <v>0</v>
      </c>
      <c r="AE90" s="12">
        <v>1</v>
      </c>
      <c r="AF90" s="11">
        <v>1608108.1070000001</v>
      </c>
      <c r="AG90" s="11">
        <v>0</v>
      </c>
      <c r="AH90" s="12" t="s">
        <v>64</v>
      </c>
      <c r="AI90">
        <v>2050.6786103314562</v>
      </c>
      <c r="AJ90" s="12">
        <v>1</v>
      </c>
      <c r="AK90">
        <v>2050.6786103314562</v>
      </c>
      <c r="AL90">
        <v>1.2752118999999999E-3</v>
      </c>
      <c r="AM90">
        <v>1.2752118999999999E-3</v>
      </c>
    </row>
    <row r="91" spans="1:39" x14ac:dyDescent="0.2">
      <c r="A91">
        <v>90</v>
      </c>
      <c r="D91" t="s">
        <v>172</v>
      </c>
      <c r="E91">
        <v>1960</v>
      </c>
      <c r="F91" t="s">
        <v>56</v>
      </c>
      <c r="G91" t="s">
        <v>57</v>
      </c>
      <c r="H91" t="s">
        <v>58</v>
      </c>
      <c r="I91" t="s">
        <v>59</v>
      </c>
      <c r="J91">
        <v>1</v>
      </c>
      <c r="K91" t="s">
        <v>60</v>
      </c>
      <c r="L91">
        <v>1</v>
      </c>
      <c r="M91" t="s">
        <v>61</v>
      </c>
      <c r="N91">
        <v>2</v>
      </c>
      <c r="O91" t="s">
        <v>62</v>
      </c>
      <c r="P91">
        <v>1</v>
      </c>
      <c r="S91">
        <v>1968</v>
      </c>
      <c r="T91" s="11">
        <v>1608108.1070000001</v>
      </c>
      <c r="U91">
        <v>0.136386300515971</v>
      </c>
      <c r="V91" s="11">
        <v>0</v>
      </c>
      <c r="W91">
        <v>0.142128752590504</v>
      </c>
      <c r="X91" s="11">
        <v>0</v>
      </c>
      <c r="Y91">
        <v>0.136386300515971</v>
      </c>
      <c r="Z91" t="s">
        <v>63</v>
      </c>
      <c r="AA91" s="11">
        <v>1608108.1070000001</v>
      </c>
      <c r="AC91" s="12">
        <v>0.93500000000000005</v>
      </c>
      <c r="AD91">
        <v>0</v>
      </c>
      <c r="AE91" s="12">
        <v>1</v>
      </c>
      <c r="AF91" s="11">
        <v>1608108.1070000001</v>
      </c>
      <c r="AG91" s="11">
        <v>0</v>
      </c>
      <c r="AH91" s="12" t="s">
        <v>64</v>
      </c>
      <c r="AI91">
        <v>2050.6786103314562</v>
      </c>
      <c r="AJ91" s="12">
        <v>1</v>
      </c>
      <c r="AK91">
        <v>2050.6786103314562</v>
      </c>
      <c r="AL91">
        <v>1.2752118999999999E-3</v>
      </c>
      <c r="AM91">
        <v>1.2752118999999999E-3</v>
      </c>
    </row>
    <row r="92" spans="1:39" x14ac:dyDescent="0.2">
      <c r="A92">
        <v>91</v>
      </c>
      <c r="D92" t="s">
        <v>172</v>
      </c>
      <c r="E92">
        <v>1960</v>
      </c>
      <c r="F92" t="s">
        <v>56</v>
      </c>
      <c r="G92" t="s">
        <v>57</v>
      </c>
      <c r="H92" t="s">
        <v>58</v>
      </c>
      <c r="I92" t="s">
        <v>59</v>
      </c>
      <c r="J92">
        <v>1</v>
      </c>
      <c r="K92" t="s">
        <v>60</v>
      </c>
      <c r="L92">
        <v>1</v>
      </c>
      <c r="M92" t="s">
        <v>61</v>
      </c>
      <c r="N92">
        <v>2</v>
      </c>
      <c r="O92" t="s">
        <v>62</v>
      </c>
      <c r="P92">
        <v>1</v>
      </c>
      <c r="S92">
        <v>1968</v>
      </c>
      <c r="T92" s="11">
        <v>770270.26989999996</v>
      </c>
      <c r="U92">
        <v>0.136386300515971</v>
      </c>
      <c r="V92" s="11">
        <v>0</v>
      </c>
      <c r="W92">
        <v>0.142128752590504</v>
      </c>
      <c r="X92" s="11">
        <v>0</v>
      </c>
      <c r="Y92">
        <v>0.136386300515971</v>
      </c>
      <c r="Z92" t="s">
        <v>63</v>
      </c>
      <c r="AA92" s="11">
        <v>770270.26989999996</v>
      </c>
      <c r="AC92" s="12">
        <v>0.93500000000000005</v>
      </c>
      <c r="AD92">
        <v>0</v>
      </c>
      <c r="AE92" s="12">
        <v>1</v>
      </c>
      <c r="AF92" s="11">
        <v>770270.26989999996</v>
      </c>
      <c r="AG92" s="11">
        <v>0</v>
      </c>
      <c r="AH92" s="12" t="s">
        <v>64</v>
      </c>
      <c r="AI92">
        <v>982.25782196008026</v>
      </c>
      <c r="AJ92" s="12">
        <v>1</v>
      </c>
      <c r="AK92">
        <v>982.25782196008026</v>
      </c>
      <c r="AL92">
        <v>1.2752118999999999E-3</v>
      </c>
      <c r="AM92">
        <v>1.2752118999999999E-3</v>
      </c>
    </row>
    <row r="93" spans="1:39" x14ac:dyDescent="0.2">
      <c r="A93">
        <v>92</v>
      </c>
      <c r="D93" t="s">
        <v>172</v>
      </c>
      <c r="E93">
        <v>1960</v>
      </c>
      <c r="F93" t="s">
        <v>56</v>
      </c>
      <c r="G93" t="s">
        <v>57</v>
      </c>
      <c r="H93" t="s">
        <v>58</v>
      </c>
      <c r="I93" t="s">
        <v>59</v>
      </c>
      <c r="J93">
        <v>1</v>
      </c>
      <c r="K93" t="s">
        <v>60</v>
      </c>
      <c r="L93">
        <v>1</v>
      </c>
      <c r="M93" t="s">
        <v>61</v>
      </c>
      <c r="N93">
        <v>2</v>
      </c>
      <c r="O93" t="s">
        <v>62</v>
      </c>
      <c r="P93">
        <v>1</v>
      </c>
      <c r="S93">
        <v>1968</v>
      </c>
      <c r="T93" s="11">
        <v>19200</v>
      </c>
      <c r="U93">
        <v>0.136386300515971</v>
      </c>
      <c r="V93" s="11">
        <v>0</v>
      </c>
      <c r="W93">
        <v>0.142128752590504</v>
      </c>
      <c r="X93" s="11">
        <v>0</v>
      </c>
      <c r="Y93">
        <v>0.136386300515971</v>
      </c>
      <c r="Z93" t="s">
        <v>63</v>
      </c>
      <c r="AA93" s="11">
        <v>19200</v>
      </c>
      <c r="AC93" s="12">
        <v>0.93500000000000005</v>
      </c>
      <c r="AD93">
        <v>0</v>
      </c>
      <c r="AE93" s="12">
        <v>1</v>
      </c>
      <c r="AF93" s="11">
        <v>19200</v>
      </c>
      <c r="AG93" s="11">
        <v>0</v>
      </c>
      <c r="AH93" s="12" t="s">
        <v>64</v>
      </c>
      <c r="AI93">
        <v>24.48406866862711</v>
      </c>
      <c r="AJ93" s="12">
        <v>1</v>
      </c>
      <c r="AK93">
        <v>24.48406866862711</v>
      </c>
      <c r="AL93">
        <v>1.2752118999999999E-3</v>
      </c>
      <c r="AM93">
        <v>1.2752118999999999E-3</v>
      </c>
    </row>
    <row r="94" spans="1:39" x14ac:dyDescent="0.2">
      <c r="A94">
        <v>93</v>
      </c>
      <c r="D94" t="s">
        <v>172</v>
      </c>
      <c r="E94">
        <v>1960</v>
      </c>
      <c r="F94" t="s">
        <v>56</v>
      </c>
      <c r="G94" t="s">
        <v>57</v>
      </c>
      <c r="H94" t="s">
        <v>58</v>
      </c>
      <c r="I94" t="s">
        <v>59</v>
      </c>
      <c r="J94">
        <v>1</v>
      </c>
      <c r="K94" t="s">
        <v>60</v>
      </c>
      <c r="L94">
        <v>1</v>
      </c>
      <c r="M94" t="s">
        <v>61</v>
      </c>
      <c r="N94">
        <v>7</v>
      </c>
      <c r="O94" t="s">
        <v>173</v>
      </c>
      <c r="P94">
        <v>1</v>
      </c>
      <c r="S94">
        <v>1968</v>
      </c>
      <c r="T94" s="11">
        <v>18000</v>
      </c>
      <c r="U94">
        <v>0.10543108194515199</v>
      </c>
      <c r="V94" s="11">
        <v>0</v>
      </c>
      <c r="W94">
        <v>0.12251140621299</v>
      </c>
      <c r="X94" s="11">
        <v>0</v>
      </c>
      <c r="Y94">
        <v>0.10543108194515199</v>
      </c>
      <c r="Z94" t="s">
        <v>63</v>
      </c>
      <c r="AA94" s="11">
        <v>18000</v>
      </c>
      <c r="AC94" s="12">
        <v>0.93500000000000005</v>
      </c>
      <c r="AD94">
        <v>0</v>
      </c>
      <c r="AE94" s="12">
        <v>1</v>
      </c>
      <c r="AF94" s="11">
        <v>18000</v>
      </c>
      <c r="AG94" s="11">
        <v>0</v>
      </c>
      <c r="AH94" s="12" t="s">
        <v>143</v>
      </c>
      <c r="AI94">
        <v>17.74405109136908</v>
      </c>
      <c r="AJ94" s="12">
        <v>1</v>
      </c>
      <c r="AK94">
        <v>17.74405109136908</v>
      </c>
      <c r="AL94">
        <v>9.8578061000000007E-4</v>
      </c>
      <c r="AM94">
        <v>9.8578061000000007E-4</v>
      </c>
    </row>
    <row r="95" spans="1:39" x14ac:dyDescent="0.2">
      <c r="A95">
        <v>94</v>
      </c>
      <c r="D95" t="s">
        <v>174</v>
      </c>
      <c r="E95">
        <v>1880</v>
      </c>
      <c r="F95" t="s">
        <v>56</v>
      </c>
      <c r="G95" t="s">
        <v>175</v>
      </c>
      <c r="H95" t="s">
        <v>128</v>
      </c>
      <c r="I95" t="s">
        <v>59</v>
      </c>
      <c r="J95">
        <v>1</v>
      </c>
      <c r="K95" t="s">
        <v>60</v>
      </c>
      <c r="L95">
        <v>1</v>
      </c>
      <c r="M95" t="s">
        <v>61</v>
      </c>
      <c r="N95">
        <v>2</v>
      </c>
      <c r="O95" t="s">
        <v>62</v>
      </c>
      <c r="P95">
        <v>1</v>
      </c>
      <c r="S95">
        <v>2013</v>
      </c>
      <c r="T95" s="11">
        <v>7111180</v>
      </c>
      <c r="U95">
        <v>0.136386300515971</v>
      </c>
      <c r="V95" s="11">
        <v>0</v>
      </c>
      <c r="W95">
        <v>0.142128752590504</v>
      </c>
      <c r="X95" s="11">
        <v>0</v>
      </c>
      <c r="Y95">
        <v>0.136386300515971</v>
      </c>
      <c r="Z95" t="s">
        <v>63</v>
      </c>
      <c r="AA95" s="11">
        <v>7111180</v>
      </c>
      <c r="AC95" s="12">
        <v>0.93500000000000005</v>
      </c>
      <c r="AD95">
        <v>1</v>
      </c>
      <c r="AE95" s="12">
        <v>0.85</v>
      </c>
      <c r="AF95" s="11">
        <v>7111180</v>
      </c>
      <c r="AG95" s="11">
        <v>0</v>
      </c>
      <c r="AH95" s="12" t="s">
        <v>64</v>
      </c>
      <c r="AI95">
        <v>7708.0222145688849</v>
      </c>
      <c r="AJ95" s="12">
        <v>1</v>
      </c>
      <c r="AK95">
        <v>7708.0222145688849</v>
      </c>
      <c r="AL95">
        <v>1.08393012E-3</v>
      </c>
      <c r="AM95">
        <v>1.08393012E-3</v>
      </c>
    </row>
    <row r="96" spans="1:39" x14ac:dyDescent="0.2">
      <c r="A96">
        <v>95</v>
      </c>
      <c r="D96" t="s">
        <v>176</v>
      </c>
      <c r="E96">
        <v>1880</v>
      </c>
      <c r="F96" t="s">
        <v>56</v>
      </c>
      <c r="G96" t="s">
        <v>175</v>
      </c>
      <c r="H96" t="s">
        <v>128</v>
      </c>
      <c r="I96" t="s">
        <v>59</v>
      </c>
      <c r="J96">
        <v>1</v>
      </c>
      <c r="K96" t="s">
        <v>60</v>
      </c>
      <c r="L96">
        <v>1</v>
      </c>
      <c r="M96" t="s">
        <v>61</v>
      </c>
      <c r="N96">
        <v>2</v>
      </c>
      <c r="O96" t="s">
        <v>62</v>
      </c>
      <c r="P96">
        <v>1</v>
      </c>
      <c r="S96">
        <v>2013</v>
      </c>
      <c r="T96" s="11">
        <v>7111180</v>
      </c>
      <c r="U96">
        <v>0.136386300515971</v>
      </c>
      <c r="V96" s="11">
        <v>0</v>
      </c>
      <c r="W96">
        <v>0.142128752590504</v>
      </c>
      <c r="X96" s="11">
        <v>0</v>
      </c>
      <c r="Y96">
        <v>0.136386300515971</v>
      </c>
      <c r="Z96" t="s">
        <v>63</v>
      </c>
      <c r="AA96" s="11">
        <v>7111180</v>
      </c>
      <c r="AC96" s="12">
        <v>0.93500000000000005</v>
      </c>
      <c r="AD96">
        <v>1</v>
      </c>
      <c r="AE96" s="12">
        <v>0.85</v>
      </c>
      <c r="AF96" s="11">
        <v>7111180</v>
      </c>
      <c r="AG96" s="11">
        <v>0</v>
      </c>
      <c r="AH96" s="12" t="s">
        <v>64</v>
      </c>
      <c r="AI96">
        <v>7708.0222145688849</v>
      </c>
      <c r="AJ96" s="12">
        <v>1</v>
      </c>
      <c r="AK96">
        <v>7708.0222145688849</v>
      </c>
      <c r="AL96">
        <v>1.08393012E-3</v>
      </c>
      <c r="AM96">
        <v>1.08393012E-3</v>
      </c>
    </row>
    <row r="97" spans="1:39" x14ac:dyDescent="0.2">
      <c r="A97">
        <v>96</v>
      </c>
      <c r="D97" t="s">
        <v>177</v>
      </c>
      <c r="E97">
        <v>1803</v>
      </c>
      <c r="F97" t="s">
        <v>56</v>
      </c>
      <c r="G97" t="s">
        <v>155</v>
      </c>
      <c r="H97" t="s">
        <v>128</v>
      </c>
      <c r="I97" t="s">
        <v>59</v>
      </c>
      <c r="J97">
        <v>1</v>
      </c>
      <c r="K97" t="s">
        <v>60</v>
      </c>
      <c r="L97">
        <v>1</v>
      </c>
      <c r="M97" t="s">
        <v>61</v>
      </c>
      <c r="N97">
        <v>2</v>
      </c>
      <c r="O97" t="s">
        <v>62</v>
      </c>
      <c r="P97">
        <v>1</v>
      </c>
      <c r="T97" s="11">
        <v>1794562</v>
      </c>
      <c r="U97">
        <v>0.136386300515971</v>
      </c>
      <c r="V97" s="11">
        <v>0</v>
      </c>
      <c r="W97">
        <v>0.142128752590504</v>
      </c>
      <c r="X97" s="11">
        <v>0</v>
      </c>
      <c r="Y97">
        <v>0.136386300515971</v>
      </c>
      <c r="Z97" t="s">
        <v>63</v>
      </c>
      <c r="AA97" s="11">
        <v>1794562</v>
      </c>
      <c r="AC97" s="12">
        <v>0.93500000000000005</v>
      </c>
      <c r="AD97">
        <v>0</v>
      </c>
      <c r="AE97" s="12">
        <v>1</v>
      </c>
      <c r="AF97" s="11">
        <v>1794562</v>
      </c>
      <c r="AG97" s="11">
        <v>0</v>
      </c>
      <c r="AH97" s="12" t="s">
        <v>64</v>
      </c>
      <c r="AI97">
        <v>2288.4468353181674</v>
      </c>
      <c r="AJ97" s="12">
        <v>1</v>
      </c>
      <c r="AK97">
        <v>2288.4468353181674</v>
      </c>
      <c r="AL97">
        <v>1.2752118999999999E-3</v>
      </c>
      <c r="AM97">
        <v>1.2752118999999999E-3</v>
      </c>
    </row>
    <row r="98" spans="1:39" x14ac:dyDescent="0.2">
      <c r="A98">
        <v>97</v>
      </c>
      <c r="D98" t="s">
        <v>177</v>
      </c>
      <c r="E98">
        <v>1803</v>
      </c>
      <c r="F98" t="s">
        <v>56</v>
      </c>
      <c r="G98" t="s">
        <v>155</v>
      </c>
      <c r="H98" t="s">
        <v>128</v>
      </c>
      <c r="I98" t="s">
        <v>59</v>
      </c>
      <c r="J98">
        <v>1</v>
      </c>
      <c r="K98" t="s">
        <v>60</v>
      </c>
      <c r="L98">
        <v>1</v>
      </c>
      <c r="M98" t="s">
        <v>61</v>
      </c>
      <c r="N98">
        <v>2</v>
      </c>
      <c r="O98" t="s">
        <v>62</v>
      </c>
      <c r="P98">
        <v>1</v>
      </c>
      <c r="T98" s="11">
        <v>1794562</v>
      </c>
      <c r="U98">
        <v>0.136386300515971</v>
      </c>
      <c r="V98" s="11">
        <v>0</v>
      </c>
      <c r="W98">
        <v>0.142128752590504</v>
      </c>
      <c r="X98" s="11">
        <v>0</v>
      </c>
      <c r="Y98">
        <v>0.136386300515971</v>
      </c>
      <c r="Z98" t="s">
        <v>63</v>
      </c>
      <c r="AA98" s="11">
        <v>1794562</v>
      </c>
      <c r="AC98" s="12">
        <v>0.93500000000000005</v>
      </c>
      <c r="AD98">
        <v>0</v>
      </c>
      <c r="AE98" s="12">
        <v>1</v>
      </c>
      <c r="AF98" s="11">
        <v>1794562</v>
      </c>
      <c r="AG98" s="11">
        <v>0</v>
      </c>
      <c r="AH98" s="12" t="s">
        <v>64</v>
      </c>
      <c r="AI98">
        <v>2288.4468353181674</v>
      </c>
      <c r="AJ98" s="12">
        <v>1</v>
      </c>
      <c r="AK98">
        <v>2288.4468353181674</v>
      </c>
      <c r="AL98">
        <v>1.2752118999999999E-3</v>
      </c>
      <c r="AM98">
        <v>1.2752118999999999E-3</v>
      </c>
    </row>
    <row r="99" spans="1:39" x14ac:dyDescent="0.2">
      <c r="A99">
        <v>98</v>
      </c>
      <c r="D99" t="s">
        <v>177</v>
      </c>
      <c r="E99">
        <v>1803</v>
      </c>
      <c r="F99" t="s">
        <v>56</v>
      </c>
      <c r="G99" t="s">
        <v>155</v>
      </c>
      <c r="H99" t="s">
        <v>128</v>
      </c>
      <c r="I99" t="s">
        <v>59</v>
      </c>
      <c r="J99">
        <v>1</v>
      </c>
      <c r="K99" t="s">
        <v>60</v>
      </c>
      <c r="L99">
        <v>1</v>
      </c>
      <c r="M99" t="s">
        <v>61</v>
      </c>
      <c r="N99">
        <v>2</v>
      </c>
      <c r="O99" t="s">
        <v>62</v>
      </c>
      <c r="P99">
        <v>1</v>
      </c>
      <c r="T99" s="11">
        <v>1679869</v>
      </c>
      <c r="U99">
        <v>0.136386300515971</v>
      </c>
      <c r="V99" s="11">
        <v>0</v>
      </c>
      <c r="W99">
        <v>0.142128752590504</v>
      </c>
      <c r="X99" s="11">
        <v>0</v>
      </c>
      <c r="Y99">
        <v>0.136386300515971</v>
      </c>
      <c r="Z99" t="s">
        <v>63</v>
      </c>
      <c r="AA99" s="11">
        <v>1679869</v>
      </c>
      <c r="AC99" s="12">
        <v>0.93500000000000005</v>
      </c>
      <c r="AD99">
        <v>0</v>
      </c>
      <c r="AE99" s="12">
        <v>1</v>
      </c>
      <c r="AF99" s="11">
        <v>1679869</v>
      </c>
      <c r="AG99" s="11">
        <v>0</v>
      </c>
      <c r="AH99" s="12" t="s">
        <v>64</v>
      </c>
      <c r="AI99">
        <v>2142.1889557446857</v>
      </c>
      <c r="AJ99" s="12">
        <v>1</v>
      </c>
      <c r="AK99">
        <v>2142.1889557446857</v>
      </c>
      <c r="AL99">
        <v>1.2752118999999999E-3</v>
      </c>
      <c r="AM99">
        <v>1.2752118999999999E-3</v>
      </c>
    </row>
    <row r="100" spans="1:39" x14ac:dyDescent="0.2">
      <c r="A100">
        <v>99</v>
      </c>
      <c r="D100" t="s">
        <v>177</v>
      </c>
      <c r="E100">
        <v>1803</v>
      </c>
      <c r="F100" t="s">
        <v>56</v>
      </c>
      <c r="G100" t="s">
        <v>155</v>
      </c>
      <c r="H100" t="s">
        <v>128</v>
      </c>
      <c r="I100" t="s">
        <v>59</v>
      </c>
      <c r="J100">
        <v>1</v>
      </c>
      <c r="K100" t="s">
        <v>60</v>
      </c>
      <c r="L100">
        <v>1</v>
      </c>
      <c r="M100" t="s">
        <v>61</v>
      </c>
      <c r="N100">
        <v>2</v>
      </c>
      <c r="O100" t="s">
        <v>62</v>
      </c>
      <c r="P100">
        <v>1</v>
      </c>
      <c r="T100" s="11">
        <v>1679869</v>
      </c>
      <c r="U100">
        <v>0.136386300515971</v>
      </c>
      <c r="V100" s="11">
        <v>0</v>
      </c>
      <c r="W100">
        <v>0.142128752590504</v>
      </c>
      <c r="X100" s="11">
        <v>0</v>
      </c>
      <c r="Y100">
        <v>0.136386300515971</v>
      </c>
      <c r="Z100" t="s">
        <v>63</v>
      </c>
      <c r="AA100" s="11">
        <v>1679869</v>
      </c>
      <c r="AC100" s="12">
        <v>0.93500000000000005</v>
      </c>
      <c r="AD100">
        <v>0</v>
      </c>
      <c r="AE100" s="12">
        <v>1</v>
      </c>
      <c r="AF100" s="11">
        <v>1679869</v>
      </c>
      <c r="AG100" s="11">
        <v>0</v>
      </c>
      <c r="AH100" s="12" t="s">
        <v>64</v>
      </c>
      <c r="AI100">
        <v>2142.1889557446857</v>
      </c>
      <c r="AJ100" s="12">
        <v>1</v>
      </c>
      <c r="AK100">
        <v>2142.1889557446857</v>
      </c>
      <c r="AL100">
        <v>1.2752118999999999E-3</v>
      </c>
      <c r="AM100">
        <v>1.2752118999999999E-3</v>
      </c>
    </row>
    <row r="101" spans="1:39" x14ac:dyDescent="0.2">
      <c r="A101">
        <v>100</v>
      </c>
      <c r="D101" t="s">
        <v>177</v>
      </c>
      <c r="E101">
        <v>1803</v>
      </c>
      <c r="F101" t="s">
        <v>56</v>
      </c>
      <c r="G101" t="s">
        <v>155</v>
      </c>
      <c r="H101" t="s">
        <v>128</v>
      </c>
      <c r="I101" t="s">
        <v>59</v>
      </c>
      <c r="J101">
        <v>1</v>
      </c>
      <c r="K101" t="s">
        <v>60</v>
      </c>
      <c r="L101">
        <v>1</v>
      </c>
      <c r="M101" t="s">
        <v>61</v>
      </c>
      <c r="N101">
        <v>2</v>
      </c>
      <c r="O101" t="s">
        <v>62</v>
      </c>
      <c r="P101">
        <v>1</v>
      </c>
      <c r="T101" s="11">
        <v>1679869</v>
      </c>
      <c r="U101">
        <v>0.136386300515971</v>
      </c>
      <c r="V101" s="11">
        <v>0</v>
      </c>
      <c r="W101">
        <v>0.142128752590504</v>
      </c>
      <c r="X101" s="11">
        <v>0</v>
      </c>
      <c r="Y101">
        <v>0.136386300515971</v>
      </c>
      <c r="Z101" t="s">
        <v>63</v>
      </c>
      <c r="AA101" s="11">
        <v>1679869</v>
      </c>
      <c r="AC101" s="12">
        <v>0.93500000000000005</v>
      </c>
      <c r="AD101">
        <v>0</v>
      </c>
      <c r="AE101" s="12">
        <v>1</v>
      </c>
      <c r="AF101" s="11">
        <v>1679869</v>
      </c>
      <c r="AG101" s="11">
        <v>0</v>
      </c>
      <c r="AH101" s="12" t="s">
        <v>64</v>
      </c>
      <c r="AI101">
        <v>2142.1889557446857</v>
      </c>
      <c r="AJ101" s="12">
        <v>1</v>
      </c>
      <c r="AK101">
        <v>2142.1889557446857</v>
      </c>
      <c r="AL101">
        <v>1.2752118999999999E-3</v>
      </c>
      <c r="AM101">
        <v>1.2752118999999999E-3</v>
      </c>
    </row>
    <row r="102" spans="1:39" x14ac:dyDescent="0.2">
      <c r="A102">
        <v>101</v>
      </c>
      <c r="D102" t="s">
        <v>177</v>
      </c>
      <c r="E102">
        <v>1803</v>
      </c>
      <c r="F102" t="s">
        <v>56</v>
      </c>
      <c r="G102" t="s">
        <v>155</v>
      </c>
      <c r="H102" t="s">
        <v>128</v>
      </c>
      <c r="I102" t="s">
        <v>59</v>
      </c>
      <c r="J102">
        <v>1</v>
      </c>
      <c r="K102" t="s">
        <v>60</v>
      </c>
      <c r="L102">
        <v>1</v>
      </c>
      <c r="M102" t="s">
        <v>61</v>
      </c>
      <c r="N102">
        <v>2</v>
      </c>
      <c r="O102" t="s">
        <v>62</v>
      </c>
      <c r="P102">
        <v>1</v>
      </c>
      <c r="T102" s="11">
        <v>1794562</v>
      </c>
      <c r="U102">
        <v>0.136386300515971</v>
      </c>
      <c r="V102" s="11">
        <v>0</v>
      </c>
      <c r="W102">
        <v>0.142128752590504</v>
      </c>
      <c r="X102" s="11">
        <v>0</v>
      </c>
      <c r="Y102">
        <v>0.136386300515971</v>
      </c>
      <c r="Z102" t="s">
        <v>63</v>
      </c>
      <c r="AA102" s="11">
        <v>1794562</v>
      </c>
      <c r="AC102" s="12">
        <v>0.93500000000000005</v>
      </c>
      <c r="AD102">
        <v>0</v>
      </c>
      <c r="AE102" s="12">
        <v>1</v>
      </c>
      <c r="AF102" s="11">
        <v>1794562</v>
      </c>
      <c r="AG102" s="11">
        <v>0</v>
      </c>
      <c r="AH102" s="12" t="s">
        <v>64</v>
      </c>
      <c r="AI102">
        <v>2288.4468353181674</v>
      </c>
      <c r="AJ102" s="12">
        <v>1</v>
      </c>
      <c r="AK102">
        <v>2288.4468353181674</v>
      </c>
      <c r="AL102">
        <v>1.2752118999999999E-3</v>
      </c>
      <c r="AM102">
        <v>1.2752118999999999E-3</v>
      </c>
    </row>
    <row r="103" spans="1:39" x14ac:dyDescent="0.2">
      <c r="A103">
        <v>102</v>
      </c>
      <c r="D103" t="s">
        <v>177</v>
      </c>
      <c r="E103">
        <v>1803</v>
      </c>
      <c r="F103" t="s">
        <v>56</v>
      </c>
      <c r="G103" t="s">
        <v>155</v>
      </c>
      <c r="H103" t="s">
        <v>128</v>
      </c>
      <c r="I103" t="s">
        <v>59</v>
      </c>
      <c r="J103">
        <v>1</v>
      </c>
      <c r="K103" t="s">
        <v>60</v>
      </c>
      <c r="L103">
        <v>1</v>
      </c>
      <c r="M103" t="s">
        <v>61</v>
      </c>
      <c r="N103">
        <v>2</v>
      </c>
      <c r="O103" t="s">
        <v>62</v>
      </c>
      <c r="P103">
        <v>1</v>
      </c>
      <c r="T103" s="11">
        <v>1794562</v>
      </c>
      <c r="U103">
        <v>0.136386300515971</v>
      </c>
      <c r="V103" s="11">
        <v>0</v>
      </c>
      <c r="W103">
        <v>0.142128752590504</v>
      </c>
      <c r="X103" s="11">
        <v>0</v>
      </c>
      <c r="Y103">
        <v>0.136386300515971</v>
      </c>
      <c r="Z103" t="s">
        <v>63</v>
      </c>
      <c r="AA103" s="11">
        <v>1794562</v>
      </c>
      <c r="AC103" s="12">
        <v>0.93500000000000005</v>
      </c>
      <c r="AD103">
        <v>0</v>
      </c>
      <c r="AE103" s="12">
        <v>1</v>
      </c>
      <c r="AF103" s="11">
        <v>1794562</v>
      </c>
      <c r="AG103" s="11">
        <v>0</v>
      </c>
      <c r="AH103" s="12" t="s">
        <v>64</v>
      </c>
      <c r="AI103">
        <v>2288.4468353181674</v>
      </c>
      <c r="AJ103" s="12">
        <v>1</v>
      </c>
      <c r="AK103">
        <v>2288.4468353181674</v>
      </c>
      <c r="AL103">
        <v>1.2752118999999999E-3</v>
      </c>
      <c r="AM103">
        <v>1.2752118999999999E-3</v>
      </c>
    </row>
    <row r="104" spans="1:39" x14ac:dyDescent="0.2">
      <c r="A104">
        <v>103</v>
      </c>
      <c r="D104" t="s">
        <v>177</v>
      </c>
      <c r="E104">
        <v>1803</v>
      </c>
      <c r="F104" t="s">
        <v>56</v>
      </c>
      <c r="G104" t="s">
        <v>155</v>
      </c>
      <c r="H104" t="s">
        <v>128</v>
      </c>
      <c r="I104" t="s">
        <v>59</v>
      </c>
      <c r="J104">
        <v>1</v>
      </c>
      <c r="K104" t="s">
        <v>60</v>
      </c>
      <c r="L104">
        <v>1</v>
      </c>
      <c r="M104" t="s">
        <v>61</v>
      </c>
      <c r="N104">
        <v>2</v>
      </c>
      <c r="O104" t="s">
        <v>62</v>
      </c>
      <c r="P104">
        <v>1</v>
      </c>
      <c r="T104" s="11">
        <v>158977</v>
      </c>
      <c r="U104">
        <v>0.136386300515971</v>
      </c>
      <c r="V104" s="11">
        <v>0</v>
      </c>
      <c r="W104">
        <v>0.142128752590504</v>
      </c>
      <c r="X104" s="11">
        <v>0</v>
      </c>
      <c r="Y104">
        <v>0.136386300515971</v>
      </c>
      <c r="Z104" t="s">
        <v>63</v>
      </c>
      <c r="AA104" s="11">
        <v>158977</v>
      </c>
      <c r="AC104" s="12">
        <v>0.93500000000000005</v>
      </c>
      <c r="AD104">
        <v>0</v>
      </c>
      <c r="AE104" s="12">
        <v>1</v>
      </c>
      <c r="AF104" s="11">
        <v>158977</v>
      </c>
      <c r="AG104" s="11">
        <v>0</v>
      </c>
      <c r="AH104" s="12" t="s">
        <v>64</v>
      </c>
      <c r="AI104">
        <v>202.72936378814231</v>
      </c>
      <c r="AJ104" s="12">
        <v>1</v>
      </c>
      <c r="AK104">
        <v>202.72936378814231</v>
      </c>
      <c r="AL104">
        <v>1.2752118999999999E-3</v>
      </c>
      <c r="AM104">
        <v>1.2752118999999999E-3</v>
      </c>
    </row>
    <row r="105" spans="1:39" x14ac:dyDescent="0.2">
      <c r="A105">
        <v>104</v>
      </c>
      <c r="D105" t="s">
        <v>177</v>
      </c>
      <c r="E105">
        <v>1803</v>
      </c>
      <c r="F105" t="s">
        <v>56</v>
      </c>
      <c r="G105" t="s">
        <v>155</v>
      </c>
      <c r="H105" t="s">
        <v>128</v>
      </c>
      <c r="I105" t="s">
        <v>59</v>
      </c>
      <c r="J105">
        <v>1</v>
      </c>
      <c r="K105" t="s">
        <v>60</v>
      </c>
      <c r="L105">
        <v>1</v>
      </c>
      <c r="M105" t="s">
        <v>61</v>
      </c>
      <c r="N105">
        <v>2</v>
      </c>
      <c r="O105" t="s">
        <v>62</v>
      </c>
      <c r="P105">
        <v>1</v>
      </c>
      <c r="T105" s="11">
        <v>1679869</v>
      </c>
      <c r="U105">
        <v>0.136386300515971</v>
      </c>
      <c r="V105" s="11">
        <v>0</v>
      </c>
      <c r="W105">
        <v>0.142128752590504</v>
      </c>
      <c r="X105" s="11">
        <v>0</v>
      </c>
      <c r="Y105">
        <v>0.136386300515971</v>
      </c>
      <c r="Z105" t="s">
        <v>63</v>
      </c>
      <c r="AA105" s="11">
        <v>1679869</v>
      </c>
      <c r="AC105" s="12">
        <v>0.93500000000000005</v>
      </c>
      <c r="AD105">
        <v>0</v>
      </c>
      <c r="AE105" s="12">
        <v>1</v>
      </c>
      <c r="AF105" s="11">
        <v>1679869</v>
      </c>
      <c r="AG105" s="11">
        <v>0</v>
      </c>
      <c r="AH105" s="12" t="s">
        <v>64</v>
      </c>
      <c r="AI105">
        <v>2142.1889557446857</v>
      </c>
      <c r="AJ105" s="12">
        <v>1</v>
      </c>
      <c r="AK105">
        <v>2142.1889557446857</v>
      </c>
      <c r="AL105">
        <v>1.2752118999999999E-3</v>
      </c>
      <c r="AM105">
        <v>1.2752118999999999E-3</v>
      </c>
    </row>
    <row r="106" spans="1:39" x14ac:dyDescent="0.2">
      <c r="A106">
        <v>105</v>
      </c>
      <c r="D106" t="s">
        <v>177</v>
      </c>
      <c r="E106">
        <v>1803</v>
      </c>
      <c r="F106" t="s">
        <v>56</v>
      </c>
      <c r="G106" t="s">
        <v>155</v>
      </c>
      <c r="H106" t="s">
        <v>128</v>
      </c>
      <c r="I106" t="s">
        <v>59</v>
      </c>
      <c r="J106">
        <v>1</v>
      </c>
      <c r="K106" t="s">
        <v>60</v>
      </c>
      <c r="L106">
        <v>1</v>
      </c>
      <c r="M106" t="s">
        <v>61</v>
      </c>
      <c r="N106">
        <v>2</v>
      </c>
      <c r="O106" t="s">
        <v>62</v>
      </c>
      <c r="P106">
        <v>1</v>
      </c>
      <c r="T106" s="11">
        <v>1679869</v>
      </c>
      <c r="U106">
        <v>0.136386300515971</v>
      </c>
      <c r="V106" s="11">
        <v>0</v>
      </c>
      <c r="W106">
        <v>0.142128752590504</v>
      </c>
      <c r="X106" s="11">
        <v>0</v>
      </c>
      <c r="Y106">
        <v>0.136386300515971</v>
      </c>
      <c r="Z106" t="s">
        <v>63</v>
      </c>
      <c r="AA106" s="11">
        <v>1679869</v>
      </c>
      <c r="AC106" s="12">
        <v>0.93500000000000005</v>
      </c>
      <c r="AD106">
        <v>0</v>
      </c>
      <c r="AE106" s="12">
        <v>1</v>
      </c>
      <c r="AF106" s="11">
        <v>1679869</v>
      </c>
      <c r="AG106" s="11">
        <v>0</v>
      </c>
      <c r="AH106" s="12" t="s">
        <v>64</v>
      </c>
      <c r="AI106">
        <v>2142.1889557446857</v>
      </c>
      <c r="AJ106" s="12">
        <v>1</v>
      </c>
      <c r="AK106">
        <v>2142.1889557446857</v>
      </c>
      <c r="AL106">
        <v>1.2752118999999999E-3</v>
      </c>
      <c r="AM106">
        <v>1.2752118999999999E-3</v>
      </c>
    </row>
    <row r="107" spans="1:39" x14ac:dyDescent="0.2">
      <c r="A107">
        <v>106</v>
      </c>
      <c r="D107" t="s">
        <v>177</v>
      </c>
      <c r="E107">
        <v>1803</v>
      </c>
      <c r="F107" t="s">
        <v>56</v>
      </c>
      <c r="G107" t="s">
        <v>155</v>
      </c>
      <c r="H107" t="s">
        <v>128</v>
      </c>
      <c r="I107" t="s">
        <v>59</v>
      </c>
      <c r="J107">
        <v>1</v>
      </c>
      <c r="K107" t="s">
        <v>60</v>
      </c>
      <c r="L107">
        <v>1</v>
      </c>
      <c r="M107" t="s">
        <v>61</v>
      </c>
      <c r="N107">
        <v>2</v>
      </c>
      <c r="O107" t="s">
        <v>62</v>
      </c>
      <c r="P107">
        <v>1</v>
      </c>
      <c r="T107" s="11">
        <v>1679869</v>
      </c>
      <c r="U107">
        <v>0.136386300515971</v>
      </c>
      <c r="V107" s="11">
        <v>0</v>
      </c>
      <c r="W107">
        <v>0.142128752590504</v>
      </c>
      <c r="X107" s="11">
        <v>0</v>
      </c>
      <c r="Y107">
        <v>0.136386300515971</v>
      </c>
      <c r="Z107" t="s">
        <v>63</v>
      </c>
      <c r="AA107" s="11">
        <v>1679869</v>
      </c>
      <c r="AC107" s="12">
        <v>0.93500000000000005</v>
      </c>
      <c r="AD107">
        <v>0</v>
      </c>
      <c r="AE107" s="12">
        <v>1</v>
      </c>
      <c r="AF107" s="11">
        <v>1679869</v>
      </c>
      <c r="AG107" s="11">
        <v>0</v>
      </c>
      <c r="AH107" s="12" t="s">
        <v>64</v>
      </c>
      <c r="AI107">
        <v>2142.1889557446857</v>
      </c>
      <c r="AJ107" s="12">
        <v>1</v>
      </c>
      <c r="AK107">
        <v>2142.1889557446857</v>
      </c>
      <c r="AL107">
        <v>1.2752118999999999E-3</v>
      </c>
      <c r="AM107">
        <v>1.2752118999999999E-3</v>
      </c>
    </row>
    <row r="108" spans="1:39" x14ac:dyDescent="0.2">
      <c r="A108">
        <v>107</v>
      </c>
      <c r="D108" t="s">
        <v>177</v>
      </c>
      <c r="E108">
        <v>1803</v>
      </c>
      <c r="F108" t="s">
        <v>56</v>
      </c>
      <c r="G108" t="s">
        <v>155</v>
      </c>
      <c r="H108" t="s">
        <v>128</v>
      </c>
      <c r="I108" t="s">
        <v>59</v>
      </c>
      <c r="J108">
        <v>1</v>
      </c>
      <c r="K108" t="s">
        <v>60</v>
      </c>
      <c r="L108">
        <v>1</v>
      </c>
      <c r="M108" t="s">
        <v>61</v>
      </c>
      <c r="N108">
        <v>2</v>
      </c>
      <c r="O108" t="s">
        <v>62</v>
      </c>
      <c r="P108">
        <v>1</v>
      </c>
      <c r="T108" s="11">
        <v>1679869</v>
      </c>
      <c r="U108">
        <v>0.136386300515971</v>
      </c>
      <c r="V108" s="11">
        <v>0</v>
      </c>
      <c r="W108">
        <v>0.142128752590504</v>
      </c>
      <c r="X108" s="11">
        <v>0</v>
      </c>
      <c r="Y108">
        <v>0.136386300515971</v>
      </c>
      <c r="Z108" t="s">
        <v>63</v>
      </c>
      <c r="AA108" s="11">
        <v>1679869</v>
      </c>
      <c r="AC108" s="12">
        <v>0.93500000000000005</v>
      </c>
      <c r="AD108">
        <v>0</v>
      </c>
      <c r="AE108" s="12">
        <v>1</v>
      </c>
      <c r="AF108" s="11">
        <v>1679869</v>
      </c>
      <c r="AG108" s="11">
        <v>0</v>
      </c>
      <c r="AH108" s="12" t="s">
        <v>64</v>
      </c>
      <c r="AI108">
        <v>2142.1889557446857</v>
      </c>
      <c r="AJ108" s="12">
        <v>1</v>
      </c>
      <c r="AK108">
        <v>2142.1889557446857</v>
      </c>
      <c r="AL108">
        <v>1.2752118999999999E-3</v>
      </c>
      <c r="AM108">
        <v>1.2752118999999999E-3</v>
      </c>
    </row>
    <row r="109" spans="1:39" x14ac:dyDescent="0.2">
      <c r="A109">
        <v>108</v>
      </c>
      <c r="D109" t="s">
        <v>177</v>
      </c>
      <c r="E109">
        <v>1803</v>
      </c>
      <c r="F109" t="s">
        <v>56</v>
      </c>
      <c r="G109" t="s">
        <v>155</v>
      </c>
      <c r="H109" t="s">
        <v>128</v>
      </c>
      <c r="I109" t="s">
        <v>59</v>
      </c>
      <c r="J109">
        <v>1</v>
      </c>
      <c r="K109" t="s">
        <v>60</v>
      </c>
      <c r="L109">
        <v>1</v>
      </c>
      <c r="M109" t="s">
        <v>61</v>
      </c>
      <c r="N109">
        <v>2</v>
      </c>
      <c r="O109" t="s">
        <v>62</v>
      </c>
      <c r="P109">
        <v>1</v>
      </c>
      <c r="T109" s="11">
        <v>1679869</v>
      </c>
      <c r="U109">
        <v>0.136386300515971</v>
      </c>
      <c r="V109" s="11">
        <v>0</v>
      </c>
      <c r="W109">
        <v>0.142128752590504</v>
      </c>
      <c r="X109" s="11">
        <v>0</v>
      </c>
      <c r="Y109">
        <v>0.136386300515971</v>
      </c>
      <c r="Z109" t="s">
        <v>63</v>
      </c>
      <c r="AA109" s="11">
        <v>1679869</v>
      </c>
      <c r="AC109" s="12">
        <v>0.93500000000000005</v>
      </c>
      <c r="AD109">
        <v>0</v>
      </c>
      <c r="AE109" s="12">
        <v>1</v>
      </c>
      <c r="AF109" s="11">
        <v>1679869</v>
      </c>
      <c r="AG109" s="11">
        <v>0</v>
      </c>
      <c r="AH109" s="12" t="s">
        <v>64</v>
      </c>
      <c r="AI109">
        <v>2142.1889557446857</v>
      </c>
      <c r="AJ109" s="12">
        <v>1</v>
      </c>
      <c r="AK109">
        <v>2142.1889557446857</v>
      </c>
      <c r="AL109">
        <v>1.2752118999999999E-3</v>
      </c>
      <c r="AM109">
        <v>1.2752118999999999E-3</v>
      </c>
    </row>
    <row r="110" spans="1:39" x14ac:dyDescent="0.2">
      <c r="A110">
        <v>109</v>
      </c>
      <c r="D110" t="s">
        <v>177</v>
      </c>
      <c r="E110">
        <v>1803</v>
      </c>
      <c r="F110" t="s">
        <v>56</v>
      </c>
      <c r="G110" t="s">
        <v>155</v>
      </c>
      <c r="H110" t="s">
        <v>128</v>
      </c>
      <c r="I110" t="s">
        <v>59</v>
      </c>
      <c r="J110">
        <v>1</v>
      </c>
      <c r="K110" t="s">
        <v>60</v>
      </c>
      <c r="L110">
        <v>1</v>
      </c>
      <c r="M110" t="s">
        <v>61</v>
      </c>
      <c r="N110">
        <v>2</v>
      </c>
      <c r="O110" t="s">
        <v>62</v>
      </c>
      <c r="P110">
        <v>1</v>
      </c>
      <c r="T110" s="11">
        <v>1679869</v>
      </c>
      <c r="U110">
        <v>0.136386300515971</v>
      </c>
      <c r="V110" s="11">
        <v>0</v>
      </c>
      <c r="W110">
        <v>0.142128752590504</v>
      </c>
      <c r="X110" s="11">
        <v>0</v>
      </c>
      <c r="Y110">
        <v>0.136386300515971</v>
      </c>
      <c r="Z110" t="s">
        <v>63</v>
      </c>
      <c r="AA110" s="11">
        <v>1679869</v>
      </c>
      <c r="AC110" s="12">
        <v>0.93500000000000005</v>
      </c>
      <c r="AD110">
        <v>0</v>
      </c>
      <c r="AE110" s="12">
        <v>1</v>
      </c>
      <c r="AF110" s="11">
        <v>1679869</v>
      </c>
      <c r="AG110" s="11">
        <v>0</v>
      </c>
      <c r="AH110" s="12" t="s">
        <v>64</v>
      </c>
      <c r="AI110">
        <v>2142.1889557446857</v>
      </c>
      <c r="AJ110" s="12">
        <v>1</v>
      </c>
      <c r="AK110">
        <v>2142.1889557446857</v>
      </c>
      <c r="AL110">
        <v>1.2752118999999999E-3</v>
      </c>
      <c r="AM110">
        <v>1.2752118999999999E-3</v>
      </c>
    </row>
    <row r="111" spans="1:39" x14ac:dyDescent="0.2">
      <c r="A111">
        <v>110</v>
      </c>
      <c r="D111" t="s">
        <v>177</v>
      </c>
      <c r="E111">
        <v>1803</v>
      </c>
      <c r="F111" t="s">
        <v>56</v>
      </c>
      <c r="G111" t="s">
        <v>155</v>
      </c>
      <c r="H111" t="s">
        <v>128</v>
      </c>
      <c r="I111" t="s">
        <v>59</v>
      </c>
      <c r="J111">
        <v>1</v>
      </c>
      <c r="K111" t="s">
        <v>60</v>
      </c>
      <c r="L111">
        <v>1</v>
      </c>
      <c r="M111" t="s">
        <v>61</v>
      </c>
      <c r="N111">
        <v>2</v>
      </c>
      <c r="O111" t="s">
        <v>62</v>
      </c>
      <c r="P111">
        <v>1</v>
      </c>
      <c r="T111" s="11">
        <v>1679869</v>
      </c>
      <c r="U111">
        <v>0.136386300515971</v>
      </c>
      <c r="V111" s="11">
        <v>0</v>
      </c>
      <c r="W111">
        <v>0.142128752590504</v>
      </c>
      <c r="X111" s="11">
        <v>0</v>
      </c>
      <c r="Y111">
        <v>0.136386300515971</v>
      </c>
      <c r="Z111" t="s">
        <v>63</v>
      </c>
      <c r="AA111" s="11">
        <v>1679869</v>
      </c>
      <c r="AC111" s="12">
        <v>0.93500000000000005</v>
      </c>
      <c r="AD111">
        <v>0</v>
      </c>
      <c r="AE111" s="12">
        <v>1</v>
      </c>
      <c r="AF111" s="11">
        <v>1679869</v>
      </c>
      <c r="AG111" s="11">
        <v>0</v>
      </c>
      <c r="AH111" s="12" t="s">
        <v>64</v>
      </c>
      <c r="AI111">
        <v>2142.1889557446857</v>
      </c>
      <c r="AJ111" s="12">
        <v>1</v>
      </c>
      <c r="AK111">
        <v>2142.1889557446857</v>
      </c>
      <c r="AL111">
        <v>1.2752118999999999E-3</v>
      </c>
      <c r="AM111">
        <v>1.2752118999999999E-3</v>
      </c>
    </row>
    <row r="112" spans="1:39" x14ac:dyDescent="0.2">
      <c r="A112">
        <v>111</v>
      </c>
      <c r="D112" t="s">
        <v>177</v>
      </c>
      <c r="E112">
        <v>1803</v>
      </c>
      <c r="F112" t="s">
        <v>56</v>
      </c>
      <c r="G112" t="s">
        <v>155</v>
      </c>
      <c r="H112" t="s">
        <v>128</v>
      </c>
      <c r="I112" t="s">
        <v>59</v>
      </c>
      <c r="J112">
        <v>1</v>
      </c>
      <c r="K112" t="s">
        <v>60</v>
      </c>
      <c r="L112">
        <v>1</v>
      </c>
      <c r="M112" t="s">
        <v>61</v>
      </c>
      <c r="N112">
        <v>2</v>
      </c>
      <c r="O112" t="s">
        <v>62</v>
      </c>
      <c r="P112">
        <v>1</v>
      </c>
      <c r="T112" s="11">
        <v>1679869</v>
      </c>
      <c r="U112">
        <v>0.136386300515971</v>
      </c>
      <c r="V112" s="11">
        <v>0</v>
      </c>
      <c r="W112">
        <v>0.142128752590504</v>
      </c>
      <c r="X112" s="11">
        <v>0</v>
      </c>
      <c r="Y112">
        <v>0.136386300515971</v>
      </c>
      <c r="Z112" t="s">
        <v>63</v>
      </c>
      <c r="AA112" s="11">
        <v>1679869</v>
      </c>
      <c r="AC112" s="12">
        <v>0.93500000000000005</v>
      </c>
      <c r="AD112">
        <v>0</v>
      </c>
      <c r="AE112" s="12">
        <v>1</v>
      </c>
      <c r="AF112" s="11">
        <v>1679869</v>
      </c>
      <c r="AG112" s="11">
        <v>0</v>
      </c>
      <c r="AH112" s="12" t="s">
        <v>64</v>
      </c>
      <c r="AI112">
        <v>2142.1889557446857</v>
      </c>
      <c r="AJ112" s="12">
        <v>1</v>
      </c>
      <c r="AK112">
        <v>2142.1889557446857</v>
      </c>
      <c r="AL112">
        <v>1.2752118999999999E-3</v>
      </c>
      <c r="AM112">
        <v>1.2752118999999999E-3</v>
      </c>
    </row>
    <row r="113" spans="1:39" x14ac:dyDescent="0.2">
      <c r="A113">
        <v>112</v>
      </c>
      <c r="D113" t="s">
        <v>177</v>
      </c>
      <c r="E113">
        <v>1803</v>
      </c>
      <c r="F113" t="s">
        <v>56</v>
      </c>
      <c r="G113" t="s">
        <v>155</v>
      </c>
      <c r="H113" t="s">
        <v>128</v>
      </c>
      <c r="I113" t="s">
        <v>59</v>
      </c>
      <c r="J113">
        <v>1</v>
      </c>
      <c r="K113" t="s">
        <v>60</v>
      </c>
      <c r="L113">
        <v>1</v>
      </c>
      <c r="M113" t="s">
        <v>61</v>
      </c>
      <c r="N113">
        <v>2</v>
      </c>
      <c r="O113" t="s">
        <v>62</v>
      </c>
      <c r="P113">
        <v>1</v>
      </c>
      <c r="T113" s="11">
        <v>1679869</v>
      </c>
      <c r="U113">
        <v>0.136386300515971</v>
      </c>
      <c r="V113" s="11">
        <v>0</v>
      </c>
      <c r="W113">
        <v>0.142128752590504</v>
      </c>
      <c r="X113" s="11">
        <v>0</v>
      </c>
      <c r="Y113">
        <v>0.136386300515971</v>
      </c>
      <c r="Z113" t="s">
        <v>63</v>
      </c>
      <c r="AA113" s="11">
        <v>1679869</v>
      </c>
      <c r="AC113" s="12">
        <v>0.93500000000000005</v>
      </c>
      <c r="AD113">
        <v>0</v>
      </c>
      <c r="AE113" s="12">
        <v>1</v>
      </c>
      <c r="AF113" s="11">
        <v>1679869</v>
      </c>
      <c r="AG113" s="11">
        <v>0</v>
      </c>
      <c r="AH113" s="12" t="s">
        <v>64</v>
      </c>
      <c r="AI113">
        <v>2142.1889557446857</v>
      </c>
      <c r="AJ113" s="12">
        <v>1</v>
      </c>
      <c r="AK113">
        <v>2142.1889557446857</v>
      </c>
      <c r="AL113">
        <v>1.2752118999999999E-3</v>
      </c>
      <c r="AM113">
        <v>1.2752118999999999E-3</v>
      </c>
    </row>
    <row r="114" spans="1:39" x14ac:dyDescent="0.2">
      <c r="A114">
        <v>113</v>
      </c>
      <c r="D114" t="s">
        <v>177</v>
      </c>
      <c r="E114">
        <v>1803</v>
      </c>
      <c r="F114" t="s">
        <v>56</v>
      </c>
      <c r="G114" t="s">
        <v>155</v>
      </c>
      <c r="H114" t="s">
        <v>128</v>
      </c>
      <c r="I114" t="s">
        <v>59</v>
      </c>
      <c r="J114">
        <v>1</v>
      </c>
      <c r="K114" t="s">
        <v>60</v>
      </c>
      <c r="L114">
        <v>1</v>
      </c>
      <c r="M114" t="s">
        <v>61</v>
      </c>
      <c r="N114">
        <v>2</v>
      </c>
      <c r="O114" t="s">
        <v>62</v>
      </c>
      <c r="P114">
        <v>1</v>
      </c>
      <c r="T114" s="11">
        <v>1679869</v>
      </c>
      <c r="U114">
        <v>0.136386300515971</v>
      </c>
      <c r="V114" s="11">
        <v>0</v>
      </c>
      <c r="W114">
        <v>0.142128752590504</v>
      </c>
      <c r="X114" s="11">
        <v>0</v>
      </c>
      <c r="Y114">
        <v>0.136386300515971</v>
      </c>
      <c r="Z114" t="s">
        <v>63</v>
      </c>
      <c r="AA114" s="11">
        <v>1679869</v>
      </c>
      <c r="AC114" s="12">
        <v>0.93500000000000005</v>
      </c>
      <c r="AD114">
        <v>0</v>
      </c>
      <c r="AE114" s="12">
        <v>1</v>
      </c>
      <c r="AF114" s="11">
        <v>1679869</v>
      </c>
      <c r="AG114" s="11">
        <v>0</v>
      </c>
      <c r="AH114" s="12" t="s">
        <v>64</v>
      </c>
      <c r="AI114">
        <v>2142.1889557446857</v>
      </c>
      <c r="AJ114" s="12">
        <v>1</v>
      </c>
      <c r="AK114">
        <v>2142.1889557446857</v>
      </c>
      <c r="AL114">
        <v>1.2752118999999999E-3</v>
      </c>
      <c r="AM114">
        <v>1.2752118999999999E-3</v>
      </c>
    </row>
    <row r="115" spans="1:39" x14ac:dyDescent="0.2">
      <c r="A115">
        <v>114</v>
      </c>
      <c r="D115" t="s">
        <v>177</v>
      </c>
      <c r="E115">
        <v>1803</v>
      </c>
      <c r="F115" t="s">
        <v>56</v>
      </c>
      <c r="G115" t="s">
        <v>155</v>
      </c>
      <c r="H115" t="s">
        <v>128</v>
      </c>
      <c r="I115" t="s">
        <v>59</v>
      </c>
      <c r="J115">
        <v>1</v>
      </c>
      <c r="K115" t="s">
        <v>60</v>
      </c>
      <c r="L115">
        <v>1</v>
      </c>
      <c r="M115" t="s">
        <v>61</v>
      </c>
      <c r="N115">
        <v>2</v>
      </c>
      <c r="O115" t="s">
        <v>62</v>
      </c>
      <c r="P115">
        <v>1</v>
      </c>
      <c r="T115" s="11">
        <v>1679869</v>
      </c>
      <c r="U115">
        <v>0.136386300515971</v>
      </c>
      <c r="V115" s="11">
        <v>0</v>
      </c>
      <c r="W115">
        <v>0.142128752590504</v>
      </c>
      <c r="X115" s="11">
        <v>0</v>
      </c>
      <c r="Y115">
        <v>0.136386300515971</v>
      </c>
      <c r="Z115" t="s">
        <v>63</v>
      </c>
      <c r="AA115" s="11">
        <v>1679869</v>
      </c>
      <c r="AC115" s="12">
        <v>0.93500000000000005</v>
      </c>
      <c r="AD115">
        <v>0</v>
      </c>
      <c r="AE115" s="12">
        <v>1</v>
      </c>
      <c r="AF115" s="11">
        <v>1679869</v>
      </c>
      <c r="AG115" s="11">
        <v>0</v>
      </c>
      <c r="AH115" s="12" t="s">
        <v>64</v>
      </c>
      <c r="AI115">
        <v>2142.1889557446857</v>
      </c>
      <c r="AJ115" s="12">
        <v>1</v>
      </c>
      <c r="AK115">
        <v>2142.1889557446857</v>
      </c>
      <c r="AL115">
        <v>1.2752118999999999E-3</v>
      </c>
      <c r="AM115">
        <v>1.2752118999999999E-3</v>
      </c>
    </row>
    <row r="116" spans="1:39" x14ac:dyDescent="0.2">
      <c r="A116">
        <v>115</v>
      </c>
      <c r="D116" t="s">
        <v>177</v>
      </c>
      <c r="E116">
        <v>1803</v>
      </c>
      <c r="F116" t="s">
        <v>56</v>
      </c>
      <c r="G116" t="s">
        <v>155</v>
      </c>
      <c r="H116" t="s">
        <v>128</v>
      </c>
      <c r="I116" t="s">
        <v>59</v>
      </c>
      <c r="J116">
        <v>1</v>
      </c>
      <c r="K116" t="s">
        <v>60</v>
      </c>
      <c r="L116">
        <v>1</v>
      </c>
      <c r="M116" t="s">
        <v>61</v>
      </c>
      <c r="N116">
        <v>2</v>
      </c>
      <c r="O116" t="s">
        <v>62</v>
      </c>
      <c r="P116">
        <v>1</v>
      </c>
      <c r="T116" s="11">
        <v>1679869</v>
      </c>
      <c r="U116">
        <v>0.136386300515971</v>
      </c>
      <c r="V116" s="11">
        <v>0</v>
      </c>
      <c r="W116">
        <v>0.142128752590504</v>
      </c>
      <c r="X116" s="11">
        <v>0</v>
      </c>
      <c r="Y116">
        <v>0.136386300515971</v>
      </c>
      <c r="Z116" t="s">
        <v>63</v>
      </c>
      <c r="AA116" s="11">
        <v>1679869</v>
      </c>
      <c r="AC116" s="12">
        <v>0.93500000000000005</v>
      </c>
      <c r="AD116">
        <v>0</v>
      </c>
      <c r="AE116" s="12">
        <v>1</v>
      </c>
      <c r="AF116" s="11">
        <v>1679869</v>
      </c>
      <c r="AG116" s="11">
        <v>0</v>
      </c>
      <c r="AH116" s="12" t="s">
        <v>64</v>
      </c>
      <c r="AI116">
        <v>2142.1889557446857</v>
      </c>
      <c r="AJ116" s="12">
        <v>1</v>
      </c>
      <c r="AK116">
        <v>2142.1889557446857</v>
      </c>
      <c r="AL116">
        <v>1.2752118999999999E-3</v>
      </c>
      <c r="AM116">
        <v>1.2752118999999999E-3</v>
      </c>
    </row>
    <row r="117" spans="1:39" x14ac:dyDescent="0.2">
      <c r="A117">
        <v>116</v>
      </c>
      <c r="D117" t="s">
        <v>177</v>
      </c>
      <c r="E117">
        <v>1803</v>
      </c>
      <c r="F117" t="s">
        <v>56</v>
      </c>
      <c r="G117" t="s">
        <v>155</v>
      </c>
      <c r="H117" t="s">
        <v>128</v>
      </c>
      <c r="I117" t="s">
        <v>59</v>
      </c>
      <c r="J117">
        <v>1</v>
      </c>
      <c r="K117" t="s">
        <v>60</v>
      </c>
      <c r="L117">
        <v>1</v>
      </c>
      <c r="M117" t="s">
        <v>61</v>
      </c>
      <c r="N117">
        <v>2</v>
      </c>
      <c r="O117" t="s">
        <v>62</v>
      </c>
      <c r="P117">
        <v>1</v>
      </c>
      <c r="T117" s="11">
        <v>1679869</v>
      </c>
      <c r="U117">
        <v>0.136386300515971</v>
      </c>
      <c r="V117" s="11">
        <v>0</v>
      </c>
      <c r="W117">
        <v>0.142128752590504</v>
      </c>
      <c r="X117" s="11">
        <v>0</v>
      </c>
      <c r="Y117">
        <v>0.136386300515971</v>
      </c>
      <c r="Z117" t="s">
        <v>63</v>
      </c>
      <c r="AA117" s="11">
        <v>1679869</v>
      </c>
      <c r="AC117" s="12">
        <v>0.93500000000000005</v>
      </c>
      <c r="AD117">
        <v>0</v>
      </c>
      <c r="AE117" s="12">
        <v>1</v>
      </c>
      <c r="AF117" s="11">
        <v>1679869</v>
      </c>
      <c r="AG117" s="11">
        <v>0</v>
      </c>
      <c r="AH117" s="12" t="s">
        <v>64</v>
      </c>
      <c r="AI117">
        <v>2142.1889557446857</v>
      </c>
      <c r="AJ117" s="12">
        <v>1</v>
      </c>
      <c r="AK117">
        <v>2142.1889557446857</v>
      </c>
      <c r="AL117">
        <v>1.2752118999999999E-3</v>
      </c>
      <c r="AM117">
        <v>1.2752118999999999E-3</v>
      </c>
    </row>
    <row r="118" spans="1:39" x14ac:dyDescent="0.2">
      <c r="A118">
        <v>117</v>
      </c>
      <c r="D118" t="s">
        <v>177</v>
      </c>
      <c r="E118">
        <v>1803</v>
      </c>
      <c r="F118" t="s">
        <v>56</v>
      </c>
      <c r="G118" t="s">
        <v>155</v>
      </c>
      <c r="H118" t="s">
        <v>128</v>
      </c>
      <c r="I118" t="s">
        <v>59</v>
      </c>
      <c r="J118">
        <v>1</v>
      </c>
      <c r="K118" t="s">
        <v>60</v>
      </c>
      <c r="L118">
        <v>1</v>
      </c>
      <c r="M118" t="s">
        <v>61</v>
      </c>
      <c r="N118">
        <v>2</v>
      </c>
      <c r="O118" t="s">
        <v>62</v>
      </c>
      <c r="P118">
        <v>1</v>
      </c>
      <c r="T118" s="11">
        <v>1679869</v>
      </c>
      <c r="U118">
        <v>0.136386300515971</v>
      </c>
      <c r="V118" s="11">
        <v>0</v>
      </c>
      <c r="W118">
        <v>0.142128752590504</v>
      </c>
      <c r="X118" s="11">
        <v>0</v>
      </c>
      <c r="Y118">
        <v>0.136386300515971</v>
      </c>
      <c r="Z118" t="s">
        <v>63</v>
      </c>
      <c r="AA118" s="11">
        <v>1679869</v>
      </c>
      <c r="AC118" s="12">
        <v>0.93500000000000005</v>
      </c>
      <c r="AD118">
        <v>0</v>
      </c>
      <c r="AE118" s="12">
        <v>1</v>
      </c>
      <c r="AF118" s="11">
        <v>1679869</v>
      </c>
      <c r="AG118" s="11">
        <v>0</v>
      </c>
      <c r="AH118" s="12" t="s">
        <v>64</v>
      </c>
      <c r="AI118">
        <v>2142.1889557446857</v>
      </c>
      <c r="AJ118" s="12">
        <v>1</v>
      </c>
      <c r="AK118">
        <v>2142.1889557446857</v>
      </c>
      <c r="AL118">
        <v>1.2752118999999999E-3</v>
      </c>
      <c r="AM118">
        <v>1.2752118999999999E-3</v>
      </c>
    </row>
    <row r="119" spans="1:39" x14ac:dyDescent="0.2">
      <c r="A119">
        <v>118</v>
      </c>
      <c r="D119" t="s">
        <v>177</v>
      </c>
      <c r="E119">
        <v>1803</v>
      </c>
      <c r="F119" t="s">
        <v>56</v>
      </c>
      <c r="G119" t="s">
        <v>155</v>
      </c>
      <c r="H119" t="s">
        <v>128</v>
      </c>
      <c r="I119" t="s">
        <v>59</v>
      </c>
      <c r="J119">
        <v>1</v>
      </c>
      <c r="K119" t="s">
        <v>60</v>
      </c>
      <c r="L119">
        <v>1</v>
      </c>
      <c r="M119" t="s">
        <v>61</v>
      </c>
      <c r="N119">
        <v>2</v>
      </c>
      <c r="O119" t="s">
        <v>62</v>
      </c>
      <c r="P119">
        <v>1</v>
      </c>
      <c r="T119" s="11">
        <v>1679869</v>
      </c>
      <c r="U119">
        <v>0.136386300515971</v>
      </c>
      <c r="V119" s="11">
        <v>0</v>
      </c>
      <c r="W119">
        <v>0.142128752590504</v>
      </c>
      <c r="X119" s="11">
        <v>0</v>
      </c>
      <c r="Y119">
        <v>0.136386300515971</v>
      </c>
      <c r="Z119" t="s">
        <v>63</v>
      </c>
      <c r="AA119" s="11">
        <v>1679869</v>
      </c>
      <c r="AC119" s="12">
        <v>0.93500000000000005</v>
      </c>
      <c r="AD119">
        <v>0</v>
      </c>
      <c r="AE119" s="12">
        <v>1</v>
      </c>
      <c r="AF119" s="11">
        <v>1679869</v>
      </c>
      <c r="AG119" s="11">
        <v>0</v>
      </c>
      <c r="AH119" s="12" t="s">
        <v>64</v>
      </c>
      <c r="AI119">
        <v>2142.1889557446857</v>
      </c>
      <c r="AJ119" s="12">
        <v>1</v>
      </c>
      <c r="AK119">
        <v>2142.1889557446857</v>
      </c>
      <c r="AL119">
        <v>1.2752118999999999E-3</v>
      </c>
      <c r="AM119">
        <v>1.2752118999999999E-3</v>
      </c>
    </row>
    <row r="120" spans="1:39" x14ac:dyDescent="0.2">
      <c r="A120">
        <v>119</v>
      </c>
      <c r="D120" t="s">
        <v>177</v>
      </c>
      <c r="E120">
        <v>1803</v>
      </c>
      <c r="F120" t="s">
        <v>56</v>
      </c>
      <c r="G120" t="s">
        <v>155</v>
      </c>
      <c r="H120" t="s">
        <v>128</v>
      </c>
      <c r="I120" t="s">
        <v>59</v>
      </c>
      <c r="J120">
        <v>1</v>
      </c>
      <c r="K120" t="s">
        <v>60</v>
      </c>
      <c r="L120">
        <v>1</v>
      </c>
      <c r="M120" t="s">
        <v>61</v>
      </c>
      <c r="N120">
        <v>2</v>
      </c>
      <c r="O120" t="s">
        <v>62</v>
      </c>
      <c r="P120">
        <v>1</v>
      </c>
      <c r="T120" s="11">
        <v>1679869</v>
      </c>
      <c r="U120">
        <v>0.136386300515971</v>
      </c>
      <c r="V120" s="11">
        <v>0</v>
      </c>
      <c r="W120">
        <v>0.142128752590504</v>
      </c>
      <c r="X120" s="11">
        <v>0</v>
      </c>
      <c r="Y120">
        <v>0.136386300515971</v>
      </c>
      <c r="Z120" t="s">
        <v>63</v>
      </c>
      <c r="AA120" s="11">
        <v>1679869</v>
      </c>
      <c r="AC120" s="12">
        <v>0.93500000000000005</v>
      </c>
      <c r="AD120">
        <v>0</v>
      </c>
      <c r="AE120" s="12">
        <v>1</v>
      </c>
      <c r="AF120" s="11">
        <v>1679869</v>
      </c>
      <c r="AG120" s="11">
        <v>0</v>
      </c>
      <c r="AH120" s="12" t="s">
        <v>64</v>
      </c>
      <c r="AI120">
        <v>2142.1889557446857</v>
      </c>
      <c r="AJ120" s="12">
        <v>1</v>
      </c>
      <c r="AK120">
        <v>2142.1889557446857</v>
      </c>
      <c r="AL120">
        <v>1.2752118999999999E-3</v>
      </c>
      <c r="AM120">
        <v>1.2752118999999999E-3</v>
      </c>
    </row>
    <row r="121" spans="1:39" x14ac:dyDescent="0.2">
      <c r="A121">
        <v>120</v>
      </c>
      <c r="D121" t="s">
        <v>177</v>
      </c>
      <c r="E121">
        <v>1803</v>
      </c>
      <c r="F121" t="s">
        <v>56</v>
      </c>
      <c r="G121" t="s">
        <v>155</v>
      </c>
      <c r="H121" t="s">
        <v>128</v>
      </c>
      <c r="I121" t="s">
        <v>59</v>
      </c>
      <c r="J121">
        <v>1</v>
      </c>
      <c r="K121" t="s">
        <v>60</v>
      </c>
      <c r="L121">
        <v>1</v>
      </c>
      <c r="M121" t="s">
        <v>61</v>
      </c>
      <c r="N121">
        <v>2</v>
      </c>
      <c r="O121" t="s">
        <v>62</v>
      </c>
      <c r="P121">
        <v>1</v>
      </c>
      <c r="T121" s="11">
        <v>1679869</v>
      </c>
      <c r="U121">
        <v>0.136386300515971</v>
      </c>
      <c r="V121" s="11">
        <v>0</v>
      </c>
      <c r="W121">
        <v>0.142128752590504</v>
      </c>
      <c r="X121" s="11">
        <v>0</v>
      </c>
      <c r="Y121">
        <v>0.136386300515971</v>
      </c>
      <c r="Z121" t="s">
        <v>63</v>
      </c>
      <c r="AA121" s="11">
        <v>1679869</v>
      </c>
      <c r="AC121" s="12">
        <v>0.93500000000000005</v>
      </c>
      <c r="AD121">
        <v>0</v>
      </c>
      <c r="AE121" s="12">
        <v>1</v>
      </c>
      <c r="AF121" s="11">
        <v>1679869</v>
      </c>
      <c r="AG121" s="11">
        <v>0</v>
      </c>
      <c r="AH121" s="12" t="s">
        <v>64</v>
      </c>
      <c r="AI121">
        <v>2142.1889557446857</v>
      </c>
      <c r="AJ121" s="12">
        <v>1</v>
      </c>
      <c r="AK121">
        <v>2142.1889557446857</v>
      </c>
      <c r="AL121">
        <v>1.2752118999999999E-3</v>
      </c>
      <c r="AM121">
        <v>1.2752118999999999E-3</v>
      </c>
    </row>
    <row r="122" spans="1:39" x14ac:dyDescent="0.2">
      <c r="A122">
        <v>121</v>
      </c>
      <c r="D122" t="s">
        <v>177</v>
      </c>
      <c r="E122">
        <v>1803</v>
      </c>
      <c r="F122" t="s">
        <v>56</v>
      </c>
      <c r="G122" t="s">
        <v>155</v>
      </c>
      <c r="H122" t="s">
        <v>128</v>
      </c>
      <c r="I122" t="s">
        <v>59</v>
      </c>
      <c r="J122">
        <v>1</v>
      </c>
      <c r="K122" t="s">
        <v>60</v>
      </c>
      <c r="L122">
        <v>1</v>
      </c>
      <c r="M122" t="s">
        <v>61</v>
      </c>
      <c r="N122">
        <v>2</v>
      </c>
      <c r="O122" t="s">
        <v>62</v>
      </c>
      <c r="P122">
        <v>1</v>
      </c>
      <c r="T122" s="11">
        <v>1794562</v>
      </c>
      <c r="U122">
        <v>0.136386300515971</v>
      </c>
      <c r="V122" s="11">
        <v>0</v>
      </c>
      <c r="W122">
        <v>0.142128752590504</v>
      </c>
      <c r="X122" s="11">
        <v>0</v>
      </c>
      <c r="Y122">
        <v>0.136386300515971</v>
      </c>
      <c r="Z122" t="s">
        <v>63</v>
      </c>
      <c r="AA122" s="11">
        <v>1794562</v>
      </c>
      <c r="AC122" s="12">
        <v>0.93500000000000005</v>
      </c>
      <c r="AD122">
        <v>0</v>
      </c>
      <c r="AE122" s="12">
        <v>1</v>
      </c>
      <c r="AF122" s="11">
        <v>1794562</v>
      </c>
      <c r="AG122" s="11">
        <v>0</v>
      </c>
      <c r="AH122" s="12" t="s">
        <v>64</v>
      </c>
      <c r="AI122">
        <v>2288.4468353181674</v>
      </c>
      <c r="AJ122" s="12">
        <v>1</v>
      </c>
      <c r="AK122">
        <v>2288.4468353181674</v>
      </c>
      <c r="AL122">
        <v>1.2752118999999999E-3</v>
      </c>
      <c r="AM122">
        <v>1.2752118999999999E-3</v>
      </c>
    </row>
    <row r="123" spans="1:39" x14ac:dyDescent="0.2">
      <c r="A123">
        <v>122</v>
      </c>
      <c r="D123" t="s">
        <v>177</v>
      </c>
      <c r="E123">
        <v>1803</v>
      </c>
      <c r="F123" t="s">
        <v>56</v>
      </c>
      <c r="G123" t="s">
        <v>155</v>
      </c>
      <c r="H123" t="s">
        <v>128</v>
      </c>
      <c r="I123" t="s">
        <v>59</v>
      </c>
      <c r="J123">
        <v>1</v>
      </c>
      <c r="K123" t="s">
        <v>60</v>
      </c>
      <c r="L123">
        <v>1</v>
      </c>
      <c r="M123" t="s">
        <v>61</v>
      </c>
      <c r="N123">
        <v>2</v>
      </c>
      <c r="O123" t="s">
        <v>62</v>
      </c>
      <c r="P123">
        <v>1</v>
      </c>
      <c r="T123" s="11">
        <v>1679869</v>
      </c>
      <c r="U123">
        <v>0.136386300515971</v>
      </c>
      <c r="V123" s="11">
        <v>0</v>
      </c>
      <c r="W123">
        <v>0.142128752590504</v>
      </c>
      <c r="X123" s="11">
        <v>0</v>
      </c>
      <c r="Y123">
        <v>0.136386300515971</v>
      </c>
      <c r="Z123" t="s">
        <v>63</v>
      </c>
      <c r="AA123" s="11">
        <v>1679869</v>
      </c>
      <c r="AC123" s="12">
        <v>0.93500000000000005</v>
      </c>
      <c r="AD123">
        <v>0</v>
      </c>
      <c r="AE123" s="12">
        <v>1</v>
      </c>
      <c r="AF123" s="11">
        <v>1679869</v>
      </c>
      <c r="AG123" s="11">
        <v>0</v>
      </c>
      <c r="AH123" s="12" t="s">
        <v>64</v>
      </c>
      <c r="AI123">
        <v>2142.1889557446857</v>
      </c>
      <c r="AJ123" s="12">
        <v>1</v>
      </c>
      <c r="AK123">
        <v>2142.1889557446857</v>
      </c>
      <c r="AL123">
        <v>1.2752118999999999E-3</v>
      </c>
      <c r="AM123">
        <v>1.2752118999999999E-3</v>
      </c>
    </row>
    <row r="124" spans="1:39" x14ac:dyDescent="0.2">
      <c r="A124">
        <v>123</v>
      </c>
      <c r="D124" t="s">
        <v>177</v>
      </c>
      <c r="E124">
        <v>1803</v>
      </c>
      <c r="F124" t="s">
        <v>56</v>
      </c>
      <c r="G124" t="s">
        <v>155</v>
      </c>
      <c r="H124" t="s">
        <v>128</v>
      </c>
      <c r="I124" t="s">
        <v>59</v>
      </c>
      <c r="J124">
        <v>1</v>
      </c>
      <c r="K124" t="s">
        <v>60</v>
      </c>
      <c r="L124">
        <v>1</v>
      </c>
      <c r="M124" t="s">
        <v>61</v>
      </c>
      <c r="N124">
        <v>2</v>
      </c>
      <c r="O124" t="s">
        <v>62</v>
      </c>
      <c r="P124">
        <v>1</v>
      </c>
      <c r="T124" s="11">
        <v>1679869</v>
      </c>
      <c r="U124">
        <v>0.136386300515971</v>
      </c>
      <c r="V124" s="11">
        <v>0</v>
      </c>
      <c r="W124">
        <v>0.142128752590504</v>
      </c>
      <c r="X124" s="11">
        <v>0</v>
      </c>
      <c r="Y124">
        <v>0.136386300515971</v>
      </c>
      <c r="Z124" t="s">
        <v>63</v>
      </c>
      <c r="AA124" s="11">
        <v>1679869</v>
      </c>
      <c r="AC124" s="12">
        <v>0.93500000000000005</v>
      </c>
      <c r="AD124">
        <v>0</v>
      </c>
      <c r="AE124" s="12">
        <v>1</v>
      </c>
      <c r="AF124" s="11">
        <v>1679869</v>
      </c>
      <c r="AG124" s="11">
        <v>0</v>
      </c>
      <c r="AH124" s="12" t="s">
        <v>64</v>
      </c>
      <c r="AI124">
        <v>2142.1889557446857</v>
      </c>
      <c r="AJ124" s="12">
        <v>1</v>
      </c>
      <c r="AK124">
        <v>2142.1889557446857</v>
      </c>
      <c r="AL124">
        <v>1.2752118999999999E-3</v>
      </c>
      <c r="AM124">
        <v>1.2752118999999999E-3</v>
      </c>
    </row>
    <row r="125" spans="1:39" x14ac:dyDescent="0.2">
      <c r="A125">
        <v>124</v>
      </c>
      <c r="D125" t="s">
        <v>177</v>
      </c>
      <c r="E125">
        <v>1803</v>
      </c>
      <c r="F125" t="s">
        <v>56</v>
      </c>
      <c r="G125" t="s">
        <v>155</v>
      </c>
      <c r="H125" t="s">
        <v>128</v>
      </c>
      <c r="I125" t="s">
        <v>59</v>
      </c>
      <c r="J125">
        <v>1</v>
      </c>
      <c r="K125" t="s">
        <v>60</v>
      </c>
      <c r="L125">
        <v>1</v>
      </c>
      <c r="M125" t="s">
        <v>61</v>
      </c>
      <c r="N125">
        <v>2</v>
      </c>
      <c r="O125" t="s">
        <v>62</v>
      </c>
      <c r="P125">
        <v>1</v>
      </c>
      <c r="T125" s="11">
        <v>1794562</v>
      </c>
      <c r="U125">
        <v>0.136386300515971</v>
      </c>
      <c r="V125" s="11">
        <v>0</v>
      </c>
      <c r="W125">
        <v>0.142128752590504</v>
      </c>
      <c r="X125" s="11">
        <v>0</v>
      </c>
      <c r="Y125">
        <v>0.136386300515971</v>
      </c>
      <c r="Z125" t="s">
        <v>63</v>
      </c>
      <c r="AA125" s="11">
        <v>1794562</v>
      </c>
      <c r="AC125" s="12">
        <v>0.93500000000000005</v>
      </c>
      <c r="AD125">
        <v>0</v>
      </c>
      <c r="AE125" s="12">
        <v>1</v>
      </c>
      <c r="AF125" s="11">
        <v>1794562</v>
      </c>
      <c r="AG125" s="11">
        <v>0</v>
      </c>
      <c r="AH125" s="12" t="s">
        <v>64</v>
      </c>
      <c r="AI125">
        <v>2288.4468353181674</v>
      </c>
      <c r="AJ125" s="12">
        <v>1</v>
      </c>
      <c r="AK125">
        <v>2288.4468353181674</v>
      </c>
      <c r="AL125">
        <v>1.2752118999999999E-3</v>
      </c>
      <c r="AM125">
        <v>1.2752118999999999E-3</v>
      </c>
    </row>
    <row r="126" spans="1:39" x14ac:dyDescent="0.2">
      <c r="A126">
        <v>125</v>
      </c>
      <c r="D126" t="s">
        <v>177</v>
      </c>
      <c r="E126">
        <v>1803</v>
      </c>
      <c r="F126" t="s">
        <v>56</v>
      </c>
      <c r="G126" t="s">
        <v>155</v>
      </c>
      <c r="H126" t="s">
        <v>128</v>
      </c>
      <c r="I126" t="s">
        <v>59</v>
      </c>
      <c r="J126">
        <v>1</v>
      </c>
      <c r="K126" t="s">
        <v>60</v>
      </c>
      <c r="L126">
        <v>1</v>
      </c>
      <c r="M126" t="s">
        <v>61</v>
      </c>
      <c r="N126">
        <v>2</v>
      </c>
      <c r="O126" t="s">
        <v>62</v>
      </c>
      <c r="P126">
        <v>1</v>
      </c>
      <c r="T126" s="11">
        <v>827273</v>
      </c>
      <c r="U126">
        <v>0.136386300515971</v>
      </c>
      <c r="V126" s="11">
        <v>0</v>
      </c>
      <c r="W126">
        <v>0.142128752590504</v>
      </c>
      <c r="X126" s="11">
        <v>0</v>
      </c>
      <c r="Y126">
        <v>0.136386300515971</v>
      </c>
      <c r="Z126" t="s">
        <v>63</v>
      </c>
      <c r="AA126" s="11">
        <v>827273</v>
      </c>
      <c r="AC126" s="12">
        <v>0.93500000000000005</v>
      </c>
      <c r="AD126">
        <v>0</v>
      </c>
      <c r="AE126" s="12">
        <v>1</v>
      </c>
      <c r="AF126" s="11">
        <v>827273</v>
      </c>
      <c r="AG126" s="11">
        <v>0</v>
      </c>
      <c r="AH126" s="12" t="s">
        <v>64</v>
      </c>
      <c r="AI126">
        <v>1054.9483822761019</v>
      </c>
      <c r="AJ126" s="12">
        <v>1</v>
      </c>
      <c r="AK126">
        <v>1054.9483822761019</v>
      </c>
      <c r="AL126">
        <v>1.2752118999999999E-3</v>
      </c>
      <c r="AM126">
        <v>1.2752118999999999E-3</v>
      </c>
    </row>
    <row r="127" spans="1:39" x14ac:dyDescent="0.2">
      <c r="A127">
        <v>126</v>
      </c>
      <c r="D127" t="s">
        <v>177</v>
      </c>
      <c r="E127">
        <v>1803</v>
      </c>
      <c r="F127" t="s">
        <v>56</v>
      </c>
      <c r="G127" t="s">
        <v>155</v>
      </c>
      <c r="H127" t="s">
        <v>128</v>
      </c>
      <c r="I127" t="s">
        <v>59</v>
      </c>
      <c r="J127">
        <v>1</v>
      </c>
      <c r="K127" t="s">
        <v>60</v>
      </c>
      <c r="L127">
        <v>1</v>
      </c>
      <c r="M127" t="s">
        <v>61</v>
      </c>
      <c r="N127">
        <v>2</v>
      </c>
      <c r="O127" t="s">
        <v>62</v>
      </c>
      <c r="P127">
        <v>1</v>
      </c>
      <c r="T127" s="11">
        <v>1679869</v>
      </c>
      <c r="U127">
        <v>0.136386300515971</v>
      </c>
      <c r="V127" s="11">
        <v>0</v>
      </c>
      <c r="W127">
        <v>0.142128752590504</v>
      </c>
      <c r="X127" s="11">
        <v>0</v>
      </c>
      <c r="Y127">
        <v>0.136386300515971</v>
      </c>
      <c r="Z127" t="s">
        <v>63</v>
      </c>
      <c r="AA127" s="11">
        <v>1679869</v>
      </c>
      <c r="AC127" s="12">
        <v>0.93500000000000005</v>
      </c>
      <c r="AD127">
        <v>0</v>
      </c>
      <c r="AE127" s="12">
        <v>1</v>
      </c>
      <c r="AF127" s="11">
        <v>1679869</v>
      </c>
      <c r="AG127" s="11">
        <v>0</v>
      </c>
      <c r="AH127" s="12" t="s">
        <v>64</v>
      </c>
      <c r="AI127">
        <v>2142.1889557446857</v>
      </c>
      <c r="AJ127" s="12">
        <v>1</v>
      </c>
      <c r="AK127">
        <v>2142.1889557446857</v>
      </c>
      <c r="AL127">
        <v>1.2752118999999999E-3</v>
      </c>
      <c r="AM127">
        <v>1.2752118999999999E-3</v>
      </c>
    </row>
    <row r="128" spans="1:39" x14ac:dyDescent="0.2">
      <c r="A128">
        <v>127</v>
      </c>
      <c r="D128" t="s">
        <v>177</v>
      </c>
      <c r="E128">
        <v>1803</v>
      </c>
      <c r="F128" t="s">
        <v>56</v>
      </c>
      <c r="G128" t="s">
        <v>155</v>
      </c>
      <c r="H128" t="s">
        <v>128</v>
      </c>
      <c r="I128" t="s">
        <v>59</v>
      </c>
      <c r="J128">
        <v>1</v>
      </c>
      <c r="K128" t="s">
        <v>60</v>
      </c>
      <c r="L128">
        <v>1</v>
      </c>
      <c r="M128" t="s">
        <v>61</v>
      </c>
      <c r="N128">
        <v>2</v>
      </c>
      <c r="O128" t="s">
        <v>62</v>
      </c>
      <c r="P128">
        <v>1</v>
      </c>
      <c r="T128" s="11">
        <v>1679869</v>
      </c>
      <c r="U128">
        <v>0.136386300515971</v>
      </c>
      <c r="V128" s="11">
        <v>0</v>
      </c>
      <c r="W128">
        <v>0.142128752590504</v>
      </c>
      <c r="X128" s="11">
        <v>0</v>
      </c>
      <c r="Y128">
        <v>0.136386300515971</v>
      </c>
      <c r="Z128" t="s">
        <v>63</v>
      </c>
      <c r="AA128" s="11">
        <v>1679869</v>
      </c>
      <c r="AC128" s="12">
        <v>0.93500000000000005</v>
      </c>
      <c r="AD128">
        <v>0</v>
      </c>
      <c r="AE128" s="12">
        <v>1</v>
      </c>
      <c r="AF128" s="11">
        <v>1679869</v>
      </c>
      <c r="AG128" s="11">
        <v>0</v>
      </c>
      <c r="AH128" s="12" t="s">
        <v>64</v>
      </c>
      <c r="AI128">
        <v>2142.1889557446857</v>
      </c>
      <c r="AJ128" s="12">
        <v>1</v>
      </c>
      <c r="AK128">
        <v>2142.1889557446857</v>
      </c>
      <c r="AL128">
        <v>1.2752118999999999E-3</v>
      </c>
      <c r="AM128">
        <v>1.2752118999999999E-3</v>
      </c>
    </row>
    <row r="129" spans="1:39" x14ac:dyDescent="0.2">
      <c r="A129">
        <v>128</v>
      </c>
      <c r="D129" t="s">
        <v>177</v>
      </c>
      <c r="E129">
        <v>1803</v>
      </c>
      <c r="F129" t="s">
        <v>56</v>
      </c>
      <c r="G129" t="s">
        <v>155</v>
      </c>
      <c r="H129" t="s">
        <v>128</v>
      </c>
      <c r="I129" t="s">
        <v>59</v>
      </c>
      <c r="J129">
        <v>1</v>
      </c>
      <c r="K129" t="s">
        <v>60</v>
      </c>
      <c r="L129">
        <v>1</v>
      </c>
      <c r="M129" t="s">
        <v>61</v>
      </c>
      <c r="N129">
        <v>2</v>
      </c>
      <c r="O129" t="s">
        <v>62</v>
      </c>
      <c r="P129">
        <v>1</v>
      </c>
      <c r="T129" s="11">
        <v>2970274</v>
      </c>
      <c r="U129">
        <v>0.136386300515971</v>
      </c>
      <c r="V129" s="11">
        <v>0</v>
      </c>
      <c r="W129">
        <v>0.142128752590504</v>
      </c>
      <c r="X129" s="11">
        <v>0</v>
      </c>
      <c r="Y129">
        <v>0.136386300515971</v>
      </c>
      <c r="Z129" t="s">
        <v>63</v>
      </c>
      <c r="AA129" s="11">
        <v>2970274</v>
      </c>
      <c r="AC129" s="12">
        <v>0.93500000000000005</v>
      </c>
      <c r="AD129">
        <v>0</v>
      </c>
      <c r="AE129" s="12">
        <v>1</v>
      </c>
      <c r="AF129" s="11">
        <v>2970274</v>
      </c>
      <c r="AG129" s="11">
        <v>0</v>
      </c>
      <c r="AH129" s="12" t="s">
        <v>64</v>
      </c>
      <c r="AI129">
        <v>3787.7287802415485</v>
      </c>
      <c r="AJ129" s="12">
        <v>1</v>
      </c>
      <c r="AK129">
        <v>3787.7287802415485</v>
      </c>
      <c r="AL129">
        <v>1.2752118999999999E-3</v>
      </c>
      <c r="AM129">
        <v>1.2752118999999999E-3</v>
      </c>
    </row>
    <row r="130" spans="1:39" x14ac:dyDescent="0.2">
      <c r="A130">
        <v>129</v>
      </c>
      <c r="D130" t="s">
        <v>177</v>
      </c>
      <c r="E130">
        <v>1803</v>
      </c>
      <c r="F130" t="s">
        <v>56</v>
      </c>
      <c r="G130" t="s">
        <v>155</v>
      </c>
      <c r="H130" t="s">
        <v>128</v>
      </c>
      <c r="I130" t="s">
        <v>59</v>
      </c>
      <c r="J130">
        <v>1</v>
      </c>
      <c r="K130" t="s">
        <v>60</v>
      </c>
      <c r="L130">
        <v>1</v>
      </c>
      <c r="M130" t="s">
        <v>61</v>
      </c>
      <c r="N130">
        <v>2</v>
      </c>
      <c r="O130" t="s">
        <v>62</v>
      </c>
      <c r="P130">
        <v>1</v>
      </c>
      <c r="T130" s="11">
        <v>1679869</v>
      </c>
      <c r="U130">
        <v>0.136386300515971</v>
      </c>
      <c r="V130" s="11">
        <v>0</v>
      </c>
      <c r="W130">
        <v>0.142128752590504</v>
      </c>
      <c r="X130" s="11">
        <v>0</v>
      </c>
      <c r="Y130">
        <v>0.136386300515971</v>
      </c>
      <c r="Z130" t="s">
        <v>63</v>
      </c>
      <c r="AA130" s="11">
        <v>1679869</v>
      </c>
      <c r="AC130" s="12">
        <v>0.93500000000000005</v>
      </c>
      <c r="AD130">
        <v>0</v>
      </c>
      <c r="AE130" s="12">
        <v>1</v>
      </c>
      <c r="AF130" s="11">
        <v>1679869</v>
      </c>
      <c r="AG130" s="11">
        <v>0</v>
      </c>
      <c r="AH130" s="12" t="s">
        <v>64</v>
      </c>
      <c r="AI130">
        <v>2142.1889557446857</v>
      </c>
      <c r="AJ130" s="12">
        <v>1</v>
      </c>
      <c r="AK130">
        <v>2142.1889557446857</v>
      </c>
      <c r="AL130">
        <v>1.2752118999999999E-3</v>
      </c>
      <c r="AM130">
        <v>1.2752118999999999E-3</v>
      </c>
    </row>
    <row r="131" spans="1:39" x14ac:dyDescent="0.2">
      <c r="A131">
        <v>130</v>
      </c>
      <c r="D131" t="s">
        <v>177</v>
      </c>
      <c r="E131">
        <v>1803</v>
      </c>
      <c r="F131" t="s">
        <v>56</v>
      </c>
      <c r="G131" t="s">
        <v>155</v>
      </c>
      <c r="H131" t="s">
        <v>128</v>
      </c>
      <c r="I131" t="s">
        <v>59</v>
      </c>
      <c r="J131">
        <v>1</v>
      </c>
      <c r="K131" t="s">
        <v>60</v>
      </c>
      <c r="L131">
        <v>1</v>
      </c>
      <c r="M131" t="s">
        <v>61</v>
      </c>
      <c r="N131">
        <v>2</v>
      </c>
      <c r="O131" t="s">
        <v>62</v>
      </c>
      <c r="P131">
        <v>1</v>
      </c>
      <c r="T131" s="11">
        <v>2970274</v>
      </c>
      <c r="U131">
        <v>0.136386300515971</v>
      </c>
      <c r="V131" s="11">
        <v>0</v>
      </c>
      <c r="W131">
        <v>0.142128752590504</v>
      </c>
      <c r="X131" s="11">
        <v>0</v>
      </c>
      <c r="Y131">
        <v>0.136386300515971</v>
      </c>
      <c r="Z131" t="s">
        <v>63</v>
      </c>
      <c r="AA131" s="11">
        <v>2970274</v>
      </c>
      <c r="AC131" s="12">
        <v>0.93500000000000005</v>
      </c>
      <c r="AD131">
        <v>0</v>
      </c>
      <c r="AE131" s="12">
        <v>1</v>
      </c>
      <c r="AF131" s="11">
        <v>2970274</v>
      </c>
      <c r="AG131" s="11">
        <v>0</v>
      </c>
      <c r="AH131" s="12" t="s">
        <v>64</v>
      </c>
      <c r="AI131">
        <v>3787.7287802415485</v>
      </c>
      <c r="AJ131" s="12">
        <v>1</v>
      </c>
      <c r="AK131">
        <v>3787.7287802415485</v>
      </c>
      <c r="AL131">
        <v>1.2752118999999999E-3</v>
      </c>
      <c r="AM131">
        <v>1.2752118999999999E-3</v>
      </c>
    </row>
    <row r="132" spans="1:39" x14ac:dyDescent="0.2">
      <c r="A132">
        <v>131</v>
      </c>
      <c r="D132" t="s">
        <v>177</v>
      </c>
      <c r="E132">
        <v>1803</v>
      </c>
      <c r="F132" t="s">
        <v>56</v>
      </c>
      <c r="G132" t="s">
        <v>155</v>
      </c>
      <c r="H132" t="s">
        <v>128</v>
      </c>
      <c r="I132" t="s">
        <v>59</v>
      </c>
      <c r="J132">
        <v>1</v>
      </c>
      <c r="K132" t="s">
        <v>60</v>
      </c>
      <c r="L132">
        <v>1</v>
      </c>
      <c r="M132" t="s">
        <v>61</v>
      </c>
      <c r="N132">
        <v>2</v>
      </c>
      <c r="O132" t="s">
        <v>62</v>
      </c>
      <c r="P132">
        <v>1</v>
      </c>
      <c r="T132" s="11">
        <v>1679869</v>
      </c>
      <c r="U132">
        <v>0.136386300515971</v>
      </c>
      <c r="V132" s="11">
        <v>0</v>
      </c>
      <c r="W132">
        <v>0.142128752590504</v>
      </c>
      <c r="X132" s="11">
        <v>0</v>
      </c>
      <c r="Y132">
        <v>0.136386300515971</v>
      </c>
      <c r="Z132" t="s">
        <v>63</v>
      </c>
      <c r="AA132" s="11">
        <v>1679869</v>
      </c>
      <c r="AC132" s="12">
        <v>0.93500000000000005</v>
      </c>
      <c r="AD132">
        <v>0</v>
      </c>
      <c r="AE132" s="12">
        <v>1</v>
      </c>
      <c r="AF132" s="11">
        <v>1679869</v>
      </c>
      <c r="AG132" s="11">
        <v>0</v>
      </c>
      <c r="AH132" s="12" t="s">
        <v>64</v>
      </c>
      <c r="AI132">
        <v>2142.1889557446857</v>
      </c>
      <c r="AJ132" s="12">
        <v>1</v>
      </c>
      <c r="AK132">
        <v>2142.1889557446857</v>
      </c>
      <c r="AL132">
        <v>1.2752118999999999E-3</v>
      </c>
      <c r="AM132">
        <v>1.2752118999999999E-3</v>
      </c>
    </row>
    <row r="133" spans="1:39" x14ac:dyDescent="0.2">
      <c r="A133">
        <v>132</v>
      </c>
      <c r="D133" t="s">
        <v>177</v>
      </c>
      <c r="E133">
        <v>1803</v>
      </c>
      <c r="F133" t="s">
        <v>56</v>
      </c>
      <c r="G133" t="s">
        <v>155</v>
      </c>
      <c r="H133" t="s">
        <v>128</v>
      </c>
      <c r="I133" t="s">
        <v>59</v>
      </c>
      <c r="J133">
        <v>1</v>
      </c>
      <c r="K133" t="s">
        <v>60</v>
      </c>
      <c r="L133">
        <v>1</v>
      </c>
      <c r="M133" t="s">
        <v>61</v>
      </c>
      <c r="N133">
        <v>2</v>
      </c>
      <c r="O133" t="s">
        <v>62</v>
      </c>
      <c r="P133">
        <v>1</v>
      </c>
      <c r="T133" s="11">
        <v>1679869</v>
      </c>
      <c r="U133">
        <v>0.136386300515971</v>
      </c>
      <c r="V133" s="11">
        <v>0</v>
      </c>
      <c r="W133">
        <v>0.142128752590504</v>
      </c>
      <c r="X133" s="11">
        <v>0</v>
      </c>
      <c r="Y133">
        <v>0.136386300515971</v>
      </c>
      <c r="Z133" t="s">
        <v>63</v>
      </c>
      <c r="AA133" s="11">
        <v>1679869</v>
      </c>
      <c r="AC133" s="12">
        <v>0.93500000000000005</v>
      </c>
      <c r="AD133">
        <v>0</v>
      </c>
      <c r="AE133" s="12">
        <v>1</v>
      </c>
      <c r="AF133" s="11">
        <v>1679869</v>
      </c>
      <c r="AG133" s="11">
        <v>0</v>
      </c>
      <c r="AH133" s="12" t="s">
        <v>64</v>
      </c>
      <c r="AI133">
        <v>2142.1889557446857</v>
      </c>
      <c r="AJ133" s="12">
        <v>1</v>
      </c>
      <c r="AK133">
        <v>2142.1889557446857</v>
      </c>
      <c r="AL133">
        <v>1.2752118999999999E-3</v>
      </c>
      <c r="AM133">
        <v>1.2752118999999999E-3</v>
      </c>
    </row>
    <row r="134" spans="1:39" x14ac:dyDescent="0.2">
      <c r="A134">
        <v>133</v>
      </c>
      <c r="D134" t="s">
        <v>177</v>
      </c>
      <c r="E134">
        <v>1803</v>
      </c>
      <c r="F134" t="s">
        <v>56</v>
      </c>
      <c r="G134" t="s">
        <v>155</v>
      </c>
      <c r="H134" t="s">
        <v>128</v>
      </c>
      <c r="I134" t="s">
        <v>59</v>
      </c>
      <c r="J134">
        <v>1</v>
      </c>
      <c r="K134" t="s">
        <v>60</v>
      </c>
      <c r="L134">
        <v>1</v>
      </c>
      <c r="M134" t="s">
        <v>61</v>
      </c>
      <c r="N134">
        <v>2</v>
      </c>
      <c r="O134" t="s">
        <v>62</v>
      </c>
      <c r="P134">
        <v>1</v>
      </c>
      <c r="T134" s="11">
        <v>215619</v>
      </c>
      <c r="U134">
        <v>0.136386300515971</v>
      </c>
      <c r="V134" s="11">
        <v>0</v>
      </c>
      <c r="W134">
        <v>0.142128752590504</v>
      </c>
      <c r="X134" s="11">
        <v>0</v>
      </c>
      <c r="Y134">
        <v>0.136386300515971</v>
      </c>
      <c r="Z134" t="s">
        <v>63</v>
      </c>
      <c r="AA134" s="11">
        <v>215619</v>
      </c>
      <c r="AC134" s="12">
        <v>0.93500000000000005</v>
      </c>
      <c r="AD134">
        <v>0</v>
      </c>
      <c r="AE134" s="12">
        <v>1</v>
      </c>
      <c r="AF134" s="11">
        <v>215619</v>
      </c>
      <c r="AG134" s="11">
        <v>0</v>
      </c>
      <c r="AH134" s="12" t="s">
        <v>64</v>
      </c>
      <c r="AI134">
        <v>274.95991678441197</v>
      </c>
      <c r="AJ134" s="12">
        <v>1</v>
      </c>
      <c r="AK134">
        <v>274.95991678441197</v>
      </c>
      <c r="AL134">
        <v>1.2752118999999999E-3</v>
      </c>
      <c r="AM134">
        <v>1.2752118999999999E-3</v>
      </c>
    </row>
    <row r="135" spans="1:39" x14ac:dyDescent="0.2">
      <c r="A135">
        <v>134</v>
      </c>
      <c r="D135" t="s">
        <v>177</v>
      </c>
      <c r="E135">
        <v>1803</v>
      </c>
      <c r="F135" t="s">
        <v>56</v>
      </c>
      <c r="G135" t="s">
        <v>155</v>
      </c>
      <c r="H135" t="s">
        <v>128</v>
      </c>
      <c r="I135" t="s">
        <v>59</v>
      </c>
      <c r="J135">
        <v>1</v>
      </c>
      <c r="K135" t="s">
        <v>60</v>
      </c>
      <c r="L135">
        <v>1</v>
      </c>
      <c r="M135" t="s">
        <v>61</v>
      </c>
      <c r="N135">
        <v>2</v>
      </c>
      <c r="O135" t="s">
        <v>62</v>
      </c>
      <c r="P135">
        <v>1</v>
      </c>
      <c r="T135" s="11">
        <v>139986</v>
      </c>
      <c r="U135">
        <v>0.136386300515971</v>
      </c>
      <c r="V135" s="11">
        <v>0</v>
      </c>
      <c r="W135">
        <v>0.142128752590504</v>
      </c>
      <c r="X135" s="11">
        <v>0</v>
      </c>
      <c r="Y135">
        <v>0.136386300515971</v>
      </c>
      <c r="Z135" t="s">
        <v>63</v>
      </c>
      <c r="AA135" s="11">
        <v>139986</v>
      </c>
      <c r="AC135" s="12">
        <v>0.93500000000000005</v>
      </c>
      <c r="AD135">
        <v>0</v>
      </c>
      <c r="AE135" s="12">
        <v>1</v>
      </c>
      <c r="AF135" s="11">
        <v>139986</v>
      </c>
      <c r="AG135" s="11">
        <v>0</v>
      </c>
      <c r="AH135" s="12" t="s">
        <v>64</v>
      </c>
      <c r="AI135">
        <v>178.5118144086685</v>
      </c>
      <c r="AJ135" s="12">
        <v>1</v>
      </c>
      <c r="AK135">
        <v>178.5118144086685</v>
      </c>
      <c r="AL135">
        <v>1.2752118999999999E-3</v>
      </c>
      <c r="AM135">
        <v>1.2752118999999999E-3</v>
      </c>
    </row>
    <row r="136" spans="1:39" x14ac:dyDescent="0.2">
      <c r="A136">
        <v>135</v>
      </c>
      <c r="D136" t="s">
        <v>177</v>
      </c>
      <c r="E136">
        <v>1803</v>
      </c>
      <c r="F136" t="s">
        <v>56</v>
      </c>
      <c r="G136" t="s">
        <v>155</v>
      </c>
      <c r="H136" t="s">
        <v>128</v>
      </c>
      <c r="I136" t="s">
        <v>59</v>
      </c>
      <c r="J136">
        <v>1</v>
      </c>
      <c r="K136" t="s">
        <v>60</v>
      </c>
      <c r="L136">
        <v>1</v>
      </c>
      <c r="M136" t="s">
        <v>61</v>
      </c>
      <c r="N136">
        <v>2</v>
      </c>
      <c r="O136" t="s">
        <v>62</v>
      </c>
      <c r="P136">
        <v>1</v>
      </c>
      <c r="T136" s="11">
        <v>27300</v>
      </c>
      <c r="U136">
        <v>0.136386300515971</v>
      </c>
      <c r="V136" s="11">
        <v>0</v>
      </c>
      <c r="W136">
        <v>0.142128752590504</v>
      </c>
      <c r="X136" s="11">
        <v>0</v>
      </c>
      <c r="Y136">
        <v>0.136386300515971</v>
      </c>
      <c r="Z136" t="s">
        <v>63</v>
      </c>
      <c r="AA136" s="11">
        <v>27300</v>
      </c>
      <c r="AC136" s="12">
        <v>0.93500000000000005</v>
      </c>
      <c r="AD136">
        <v>0</v>
      </c>
      <c r="AE136" s="12">
        <v>1</v>
      </c>
      <c r="AF136" s="11">
        <v>27300</v>
      </c>
      <c r="AG136" s="11">
        <v>0</v>
      </c>
      <c r="AH136" s="12" t="s">
        <v>64</v>
      </c>
      <c r="AI136">
        <v>34.813285138204172</v>
      </c>
      <c r="AJ136" s="12">
        <v>1</v>
      </c>
      <c r="AK136">
        <v>34.813285138204172</v>
      </c>
      <c r="AL136">
        <v>1.2752118999999999E-3</v>
      </c>
      <c r="AM136">
        <v>1.2752118999999999E-3</v>
      </c>
    </row>
    <row r="137" spans="1:39" x14ac:dyDescent="0.2">
      <c r="A137">
        <v>136</v>
      </c>
      <c r="D137" t="s">
        <v>177</v>
      </c>
      <c r="E137">
        <v>1803</v>
      </c>
      <c r="F137" t="s">
        <v>56</v>
      </c>
      <c r="G137" t="s">
        <v>155</v>
      </c>
      <c r="H137" t="s">
        <v>128</v>
      </c>
      <c r="I137" t="s">
        <v>59</v>
      </c>
      <c r="J137">
        <v>1</v>
      </c>
      <c r="K137" t="s">
        <v>60</v>
      </c>
      <c r="L137">
        <v>1</v>
      </c>
      <c r="M137" t="s">
        <v>61</v>
      </c>
      <c r="N137">
        <v>2</v>
      </c>
      <c r="O137" t="s">
        <v>62</v>
      </c>
      <c r="P137">
        <v>1</v>
      </c>
      <c r="T137" s="11">
        <v>52000</v>
      </c>
      <c r="U137">
        <v>0.136386300515971</v>
      </c>
      <c r="V137" s="11">
        <v>0</v>
      </c>
      <c r="W137">
        <v>0.142128752590504</v>
      </c>
      <c r="X137" s="11">
        <v>0</v>
      </c>
      <c r="Y137">
        <v>0.136386300515971</v>
      </c>
      <c r="Z137" t="s">
        <v>63</v>
      </c>
      <c r="AA137" s="11">
        <v>52000</v>
      </c>
      <c r="AC137" s="12">
        <v>0.93500000000000005</v>
      </c>
      <c r="AD137">
        <v>0</v>
      </c>
      <c r="AE137" s="12">
        <v>1</v>
      </c>
      <c r="AF137" s="11">
        <v>52000</v>
      </c>
      <c r="AG137" s="11">
        <v>0</v>
      </c>
      <c r="AH137" s="12" t="s">
        <v>64</v>
      </c>
      <c r="AI137">
        <v>66.311019310865106</v>
      </c>
      <c r="AJ137" s="12">
        <v>1</v>
      </c>
      <c r="AK137">
        <v>66.311019310865106</v>
      </c>
      <c r="AL137">
        <v>1.2752118999999999E-3</v>
      </c>
      <c r="AM137">
        <v>1.2752118999999999E-3</v>
      </c>
    </row>
    <row r="138" spans="1:39" x14ac:dyDescent="0.2">
      <c r="A138">
        <v>137</v>
      </c>
      <c r="D138" t="s">
        <v>177</v>
      </c>
      <c r="E138">
        <v>1803</v>
      </c>
      <c r="F138" t="s">
        <v>56</v>
      </c>
      <c r="G138" t="s">
        <v>155</v>
      </c>
      <c r="H138" t="s">
        <v>128</v>
      </c>
      <c r="I138" t="s">
        <v>59</v>
      </c>
      <c r="J138">
        <v>0</v>
      </c>
      <c r="K138" t="s">
        <v>141</v>
      </c>
      <c r="L138">
        <v>0</v>
      </c>
      <c r="M138" t="s">
        <v>141</v>
      </c>
      <c r="N138">
        <v>2</v>
      </c>
      <c r="O138" t="s">
        <v>62</v>
      </c>
      <c r="P138">
        <v>1</v>
      </c>
      <c r="T138" s="11">
        <v>6240</v>
      </c>
      <c r="U138">
        <v>8.7202233276287996E-2</v>
      </c>
      <c r="V138" s="11">
        <v>0</v>
      </c>
      <c r="W138">
        <v>9.5814402982119004E-2</v>
      </c>
      <c r="X138" s="11">
        <v>0</v>
      </c>
      <c r="Y138">
        <v>8.7202233276287996E-2</v>
      </c>
      <c r="Z138" t="s">
        <v>63</v>
      </c>
      <c r="AA138" s="11">
        <v>6240</v>
      </c>
      <c r="AC138" s="12">
        <v>0.94099999999999995</v>
      </c>
      <c r="AD138">
        <v>0</v>
      </c>
      <c r="AE138" s="12">
        <v>1</v>
      </c>
      <c r="AF138" s="11">
        <v>6240</v>
      </c>
      <c r="AG138" s="11">
        <v>0</v>
      </c>
      <c r="AH138" s="12" t="s">
        <v>64</v>
      </c>
      <c r="AI138">
        <v>5.1203756144103796</v>
      </c>
      <c r="AJ138" s="12">
        <v>1</v>
      </c>
      <c r="AK138">
        <v>5.1203756144103796</v>
      </c>
      <c r="AL138">
        <v>8.2057300999999997E-4</v>
      </c>
      <c r="AM138">
        <v>8.2057300999999997E-4</v>
      </c>
    </row>
    <row r="139" spans="1:39" x14ac:dyDescent="0.2">
      <c r="A139">
        <v>138</v>
      </c>
      <c r="D139" t="s">
        <v>178</v>
      </c>
      <c r="E139">
        <v>1801</v>
      </c>
      <c r="F139" t="s">
        <v>56</v>
      </c>
      <c r="G139" t="s">
        <v>179</v>
      </c>
      <c r="H139" t="s">
        <v>128</v>
      </c>
      <c r="I139" t="s">
        <v>59</v>
      </c>
      <c r="J139">
        <v>2</v>
      </c>
      <c r="K139" t="s">
        <v>129</v>
      </c>
      <c r="L139">
        <v>2</v>
      </c>
      <c r="M139" t="s">
        <v>130</v>
      </c>
      <c r="N139">
        <v>2</v>
      </c>
      <c r="O139" t="s">
        <v>62</v>
      </c>
      <c r="P139">
        <v>1</v>
      </c>
      <c r="S139">
        <v>1975</v>
      </c>
      <c r="T139" s="11">
        <v>4365000</v>
      </c>
      <c r="U139">
        <v>0.101469305305583</v>
      </c>
      <c r="V139" s="11">
        <v>0</v>
      </c>
      <c r="W139">
        <v>0.118447947666697</v>
      </c>
      <c r="X139" s="11">
        <v>0</v>
      </c>
      <c r="Y139">
        <v>0.101469305305583</v>
      </c>
      <c r="Z139" t="s">
        <v>63</v>
      </c>
      <c r="AA139" s="11">
        <v>4365000</v>
      </c>
      <c r="AC139" s="12">
        <v>0.93500000000000005</v>
      </c>
      <c r="AD139">
        <v>2</v>
      </c>
      <c r="AE139" s="12">
        <v>1</v>
      </c>
      <c r="AF139" s="11">
        <v>4365000</v>
      </c>
      <c r="AG139" s="11">
        <v>0</v>
      </c>
      <c r="AH139" s="12" t="s">
        <v>64</v>
      </c>
      <c r="AI139">
        <v>4141.2413901104328</v>
      </c>
      <c r="AJ139" s="12">
        <v>1</v>
      </c>
      <c r="AK139">
        <v>4141.2413901104328</v>
      </c>
      <c r="AL139">
        <v>9.4873799999999997E-4</v>
      </c>
      <c r="AM139">
        <v>9.4873799999999997E-4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Z144"/>
  <sheetViews>
    <sheetView showGridLines="0" topLeftCell="A10" zoomScaleNormal="100" workbookViewId="0">
      <selection activeCell="I20" sqref="I20"/>
    </sheetView>
  </sheetViews>
  <sheetFormatPr defaultRowHeight="11.25" x14ac:dyDescent="0.2"/>
  <cols>
    <col min="1" max="3" width="9.33203125" customWidth="1"/>
    <col min="4" max="4" width="1.83203125" customWidth="1"/>
    <col min="5" max="7" width="9.33203125" customWidth="1"/>
    <col min="8" max="8" width="1.83203125" customWidth="1"/>
    <col min="9" max="9" width="9.33203125" customWidth="1"/>
    <col min="10" max="10" width="4.83203125" customWidth="1"/>
    <col min="11" max="11" width="12" customWidth="1"/>
    <col min="12" max="12" width="14.83203125" bestFit="1" customWidth="1"/>
    <col min="14" max="14" width="13.33203125" customWidth="1"/>
    <col min="15" max="15" width="13.1640625" customWidth="1"/>
    <col min="16" max="16" width="12.83203125" customWidth="1"/>
    <col min="17" max="17" width="1.83203125" customWidth="1"/>
    <col min="18" max="18" width="12.83203125" customWidth="1"/>
    <col min="19" max="19" width="1.83203125" customWidth="1"/>
    <col min="20" max="20" width="12.83203125" customWidth="1"/>
    <col min="21" max="21" width="1.83203125" customWidth="1"/>
    <col min="22" max="22" width="12.83203125" customWidth="1"/>
    <col min="23" max="23" width="1.83203125" customWidth="1"/>
    <col min="24" max="24" width="12.83203125" customWidth="1"/>
    <col min="25" max="25" width="1.83203125" customWidth="1"/>
    <col min="26" max="26" width="12.83203125" customWidth="1"/>
    <col min="27" max="27" width="1.83203125" customWidth="1"/>
  </cols>
  <sheetData>
    <row r="1" spans="11:26" ht="11.25" customHeight="1" x14ac:dyDescent="0.2">
      <c r="K1" s="115" t="s">
        <v>812</v>
      </c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7"/>
    </row>
    <row r="2" spans="11:26" ht="11.25" customHeight="1" x14ac:dyDescent="0.2">
      <c r="K2" s="118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20"/>
    </row>
    <row r="4" spans="11:26" x14ac:dyDescent="0.2">
      <c r="O4" s="58" t="s">
        <v>217</v>
      </c>
      <c r="P4" s="95"/>
      <c r="Q4" s="106"/>
      <c r="R4" s="95"/>
      <c r="S4" s="106"/>
      <c r="T4" s="95"/>
      <c r="U4" s="106"/>
      <c r="V4" s="95"/>
      <c r="W4" s="106"/>
      <c r="X4" s="95"/>
      <c r="Y4" s="106"/>
      <c r="Z4" s="95"/>
    </row>
    <row r="5" spans="11:26" ht="22.5" x14ac:dyDescent="0.2">
      <c r="K5" s="94" t="s">
        <v>301</v>
      </c>
      <c r="L5" s="101">
        <v>1</v>
      </c>
      <c r="O5" s="58" t="s">
        <v>218</v>
      </c>
      <c r="P5" s="95"/>
      <c r="Q5" s="106"/>
      <c r="R5" s="95"/>
      <c r="S5" s="106"/>
      <c r="T5" s="95"/>
      <c r="U5" s="106"/>
      <c r="V5" s="95"/>
      <c r="W5" s="106"/>
      <c r="X5" s="95"/>
      <c r="Y5" s="106"/>
      <c r="Z5" s="95"/>
    </row>
    <row r="6" spans="11:26" x14ac:dyDescent="0.2">
      <c r="P6" s="96"/>
      <c r="R6" s="96"/>
      <c r="T6" s="96"/>
      <c r="V6" s="96"/>
      <c r="X6" s="96"/>
      <c r="Z6" s="96"/>
    </row>
    <row r="7" spans="11:26" x14ac:dyDescent="0.2">
      <c r="O7" s="58" t="s">
        <v>293</v>
      </c>
      <c r="P7" s="97"/>
      <c r="Q7" s="106"/>
      <c r="R7" s="97"/>
      <c r="S7" s="106"/>
      <c r="T7" s="97"/>
      <c r="U7" s="106"/>
      <c r="V7" s="97"/>
      <c r="W7" s="106"/>
      <c r="X7" s="97"/>
      <c r="Y7" s="106"/>
      <c r="Z7" s="97"/>
    </row>
    <row r="8" spans="11:26" x14ac:dyDescent="0.2">
      <c r="O8" s="94" t="s">
        <v>49</v>
      </c>
      <c r="P8" s="95"/>
      <c r="Q8" s="106"/>
      <c r="R8" s="95"/>
      <c r="S8" s="106"/>
      <c r="T8" s="95"/>
      <c r="U8" s="106"/>
      <c r="V8" s="95"/>
      <c r="W8" s="106"/>
      <c r="X8" s="95"/>
      <c r="Y8" s="106"/>
      <c r="Z8" s="95"/>
    </row>
    <row r="9" spans="11:26" x14ac:dyDescent="0.2">
      <c r="P9" s="96"/>
      <c r="R9" s="96"/>
      <c r="T9" s="96"/>
      <c r="V9" s="96"/>
      <c r="X9" s="96"/>
      <c r="Z9" s="96"/>
    </row>
    <row r="10" spans="11:26" x14ac:dyDescent="0.2">
      <c r="O10" s="94" t="s">
        <v>295</v>
      </c>
      <c r="P10" s="98">
        <f>ROUNDUP(SUM(P$20:P$144),0)</f>
        <v>0</v>
      </c>
      <c r="R10" s="98">
        <f>ROUNDUP(SUM(R$20:R$144),0)</f>
        <v>0</v>
      </c>
      <c r="T10" s="98">
        <f>ROUNDUP(SUM(T$20:T$144),0)</f>
        <v>0</v>
      </c>
      <c r="V10" s="98">
        <f>ROUNDUP(SUM(V$20:V$144),0)</f>
        <v>0</v>
      </c>
      <c r="X10" s="98">
        <f>ROUNDUP(SUM(X$20:X$144),0)</f>
        <v>0</v>
      </c>
      <c r="Z10" s="98">
        <f>ROUNDUP(SUM(Z$20:Z$144),0)</f>
        <v>0</v>
      </c>
    </row>
    <row r="11" spans="11:26" x14ac:dyDescent="0.2">
      <c r="O11" s="94" t="s">
        <v>296</v>
      </c>
      <c r="P11" s="98">
        <f>P10*0.8</f>
        <v>0</v>
      </c>
      <c r="R11" s="98">
        <f>R10*0.8</f>
        <v>0</v>
      </c>
      <c r="T11" s="98">
        <f>T10*0.8</f>
        <v>0</v>
      </c>
      <c r="V11" s="98">
        <f>V10*0.8</f>
        <v>0</v>
      </c>
      <c r="X11" s="98">
        <f>X10*0.8</f>
        <v>0</v>
      </c>
      <c r="Z11" s="98">
        <f>Z10*0.8</f>
        <v>0</v>
      </c>
    </row>
    <row r="12" spans="11:26" x14ac:dyDescent="0.2">
      <c r="P12" s="96"/>
      <c r="R12" s="96"/>
      <c r="T12" s="96"/>
      <c r="V12" s="96"/>
      <c r="X12" s="96"/>
      <c r="Z12" s="96"/>
    </row>
    <row r="13" spans="11:26" x14ac:dyDescent="0.2">
      <c r="O13" s="94" t="s">
        <v>297</v>
      </c>
      <c r="P13" s="99">
        <f>IF(P4=0,0,P10/P4)</f>
        <v>0</v>
      </c>
      <c r="R13" s="99">
        <f>IF(R4=0,0,R10/R4)</f>
        <v>0</v>
      </c>
      <c r="T13" s="99">
        <f>IF(T4=0,0,T10/T4)</f>
        <v>0</v>
      </c>
      <c r="V13" s="99">
        <f>IF(V4=0,0,V10/V4)</f>
        <v>0</v>
      </c>
      <c r="X13" s="99">
        <f>IF(X4=0,0,X10/X4)</f>
        <v>0</v>
      </c>
      <c r="Z13" s="99">
        <f>IF(Z4=0,0,Z10/Z4)</f>
        <v>0</v>
      </c>
    </row>
    <row r="14" spans="11:26" x14ac:dyDescent="0.2">
      <c r="O14" s="94" t="s">
        <v>298</v>
      </c>
      <c r="P14" s="99">
        <f>IF(P4=0,0,P11/P4)</f>
        <v>0</v>
      </c>
      <c r="R14" s="99">
        <f>IF(R4=0,0,R11/R4)</f>
        <v>0</v>
      </c>
      <c r="T14" s="99">
        <f>IF(T4=0,0,T11/T4)</f>
        <v>0</v>
      </c>
      <c r="V14" s="99">
        <f>IF(V4=0,0,V11/V4)</f>
        <v>0</v>
      </c>
      <c r="X14" s="99">
        <f>IF(X4=0,0,X11/X4)</f>
        <v>0</v>
      </c>
      <c r="Z14" s="99">
        <f>IF(Z4=0,0,Z11/Z4)</f>
        <v>0</v>
      </c>
    </row>
    <row r="15" spans="11:26" x14ac:dyDescent="0.2">
      <c r="P15" s="96"/>
      <c r="R15" s="96"/>
      <c r="T15" s="96"/>
      <c r="V15" s="96"/>
      <c r="X15" s="96"/>
      <c r="Z15" s="96"/>
    </row>
    <row r="16" spans="11:26" x14ac:dyDescent="0.2">
      <c r="O16" s="94" t="s">
        <v>544</v>
      </c>
      <c r="P16" s="95"/>
      <c r="Q16" s="106"/>
      <c r="R16" s="95"/>
      <c r="S16" s="106"/>
      <c r="T16" s="95"/>
      <c r="U16" s="106"/>
      <c r="V16" s="95"/>
      <c r="W16" s="106"/>
      <c r="X16" s="95"/>
      <c r="Y16" s="106"/>
      <c r="Z16" s="95"/>
    </row>
    <row r="17" spans="1:26" x14ac:dyDescent="0.2">
      <c r="O17" s="94" t="s">
        <v>299</v>
      </c>
      <c r="P17" s="99">
        <f>IF(OR(P7=0,P11=0),0,P16/P11)</f>
        <v>0</v>
      </c>
      <c r="R17" s="99">
        <f t="shared" ref="R17" si="0">IF(OR(R7=0,R11=0),0,R16/R11)</f>
        <v>0</v>
      </c>
      <c r="T17" s="99">
        <f t="shared" ref="T17" si="1">IF(OR(T7=0,T11=0),0,T16/T11)</f>
        <v>0</v>
      </c>
      <c r="V17" s="99">
        <f t="shared" ref="V17" si="2">IF(OR(V7=0,V11=0),0,V16/V11)</f>
        <v>0</v>
      </c>
      <c r="X17" s="99">
        <f t="shared" ref="X17" si="3">IF(OR(X7=0,X11=0),0,X16/X11)</f>
        <v>0</v>
      </c>
      <c r="Z17" s="99">
        <f t="shared" ref="Z17" si="4">IF(OR(Z7=0,Z11=0),0,Z16/Z11)</f>
        <v>0</v>
      </c>
    </row>
    <row r="18" spans="1:26" x14ac:dyDescent="0.2">
      <c r="A18" s="102" t="s">
        <v>542</v>
      </c>
      <c r="B18" s="103"/>
      <c r="C18" s="104"/>
      <c r="E18" s="102" t="s">
        <v>293</v>
      </c>
      <c r="F18" s="103"/>
      <c r="G18" s="104"/>
    </row>
    <row r="19" spans="1:26" s="93" customFormat="1" ht="22.5" customHeight="1" x14ac:dyDescent="0.2">
      <c r="A19" s="58" t="s">
        <v>539</v>
      </c>
      <c r="B19" s="58" t="s">
        <v>540</v>
      </c>
      <c r="C19" s="58" t="s">
        <v>541</v>
      </c>
      <c r="E19" s="58" t="s">
        <v>539</v>
      </c>
      <c r="F19" s="58" t="s">
        <v>540</v>
      </c>
      <c r="G19" s="58" t="s">
        <v>541</v>
      </c>
      <c r="I19" s="58" t="s">
        <v>543</v>
      </c>
      <c r="K19" s="58" t="s">
        <v>292</v>
      </c>
      <c r="L19" s="58" t="s">
        <v>294</v>
      </c>
      <c r="M19" s="58" t="s">
        <v>293</v>
      </c>
      <c r="N19" s="58" t="s">
        <v>49</v>
      </c>
      <c r="P19" s="58" t="s">
        <v>300</v>
      </c>
      <c r="R19" s="58" t="s">
        <v>300</v>
      </c>
      <c r="T19" s="58" t="s">
        <v>300</v>
      </c>
      <c r="V19" s="58" t="s">
        <v>300</v>
      </c>
      <c r="X19" s="58" t="s">
        <v>300</v>
      </c>
      <c r="Z19" s="58" t="s">
        <v>300</v>
      </c>
    </row>
    <row r="20" spans="1:26" x14ac:dyDescent="0.2">
      <c r="A20" s="95"/>
      <c r="B20" s="95"/>
      <c r="C20" s="95"/>
      <c r="E20" s="97"/>
      <c r="F20" s="97"/>
      <c r="G20" s="97"/>
      <c r="I20" s="105" t="str">
        <f>IF(SUM($A20:$C20)=0,"",SUMPRODUCT($A20:$C20,$E20:$G20)/SUM($A20:$C20))</f>
        <v/>
      </c>
      <c r="K20" s="95"/>
      <c r="L20" s="95"/>
      <c r="M20" s="97"/>
      <c r="N20" s="95"/>
      <c r="O20" s="96"/>
      <c r="P20" s="100" t="str">
        <f>IF($L20="","",layerCost(IF($N20="",P$8,$N20),P$4,P$5,$L20)*MAX($K20,1)*IF($M20="",P$7,$M20)/100)</f>
        <v/>
      </c>
      <c r="Q20" s="96"/>
      <c r="R20" s="100" t="str">
        <f>IF($L20="","",layerCost(IF($N20="",R$8,$N20),R$4,R$5,$L20)*MAX($K20,1)*IF($M20="",R$7,$M20)/100)</f>
        <v/>
      </c>
      <c r="S20" s="96"/>
      <c r="T20" s="100" t="str">
        <f>IF($L20="","",layerCost(IF($N20="",T$8,$N20),T$4,T$5,$L20)*MAX($K20,1)*IF($M20="",T$7,$M20)/100)</f>
        <v/>
      </c>
      <c r="U20" s="96"/>
      <c r="V20" s="100" t="str">
        <f>IF($L20="","",layerCost(IF($N20="",V$8,$N20),V$4,V$5,$L20)*MAX($K20,1)*IF($M20="",V$7,$M20)/100)</f>
        <v/>
      </c>
      <c r="W20" s="96"/>
      <c r="X20" s="100" t="str">
        <f>IF($L20="","",layerCost(IF($N20="",X$8,$N20),X$4,X$5,$L20)*MAX($K20,1)*IF($M20="",X$7,$M20)/100)</f>
        <v/>
      </c>
      <c r="Y20" s="96"/>
      <c r="Z20" s="100" t="str">
        <f>IF($L20="","",layerCost(IF($N20="",Z$8,$N20),Z$4,Z$5,$L20)*MAX($K20,1)*IF($M20="",Z$7,$M20)/100)</f>
        <v/>
      </c>
    </row>
    <row r="21" spans="1:26" x14ac:dyDescent="0.2">
      <c r="A21" s="95"/>
      <c r="B21" s="95"/>
      <c r="C21" s="95"/>
      <c r="E21" s="97"/>
      <c r="F21" s="97"/>
      <c r="G21" s="97"/>
      <c r="I21" s="105" t="str">
        <f t="shared" ref="I21:I84" si="5">IF(SUM($A21:$C21)=0,"",SUMPRODUCT($A21:$C21,$E21:$G21)/SUM($A21:$C21))</f>
        <v/>
      </c>
      <c r="K21" s="95"/>
      <c r="L21" s="95"/>
      <c r="M21" s="97"/>
      <c r="N21" s="95"/>
      <c r="O21" s="96"/>
      <c r="P21" s="100" t="str">
        <f t="shared" ref="P21:V84" si="6">IF($L21="","",layerCost(IF($N21="",P$8,$N21),P$4,P$5,$L21)*MAX($K21,1)*IF($M21="",P$7,$M21)/100)</f>
        <v/>
      </c>
      <c r="Q21" s="96"/>
      <c r="R21" s="100" t="str">
        <f t="shared" si="6"/>
        <v/>
      </c>
      <c r="S21" s="96"/>
      <c r="T21" s="100" t="str">
        <f t="shared" si="6"/>
        <v/>
      </c>
      <c r="U21" s="96"/>
      <c r="V21" s="100" t="str">
        <f t="shared" si="6"/>
        <v/>
      </c>
      <c r="W21" s="96"/>
      <c r="X21" s="100" t="str">
        <f t="shared" ref="X21:X84" si="7">IF($L21="","",layerCost(IF($N21="",X$8,$N21),X$4,X$5,$L21)*MAX($K21,1)*IF($M21="",X$7,$M21)/100)</f>
        <v/>
      </c>
      <c r="Y21" s="96"/>
      <c r="Z21" s="100" t="str">
        <f t="shared" ref="Z21:Z84" si="8">IF($L21="","",layerCost(IF($N21="",Z$8,$N21),Z$4,Z$5,$L21)*MAX($K21,1)*IF($M21="",Z$7,$M21)/100)</f>
        <v/>
      </c>
    </row>
    <row r="22" spans="1:26" x14ac:dyDescent="0.2">
      <c r="A22" s="95"/>
      <c r="B22" s="95"/>
      <c r="C22" s="95"/>
      <c r="E22" s="97"/>
      <c r="F22" s="97"/>
      <c r="G22" s="97"/>
      <c r="I22" s="105" t="str">
        <f t="shared" si="5"/>
        <v/>
      </c>
      <c r="K22" s="95"/>
      <c r="L22" s="95"/>
      <c r="M22" s="97"/>
      <c r="N22" s="95"/>
      <c r="O22" s="96"/>
      <c r="P22" s="100" t="str">
        <f t="shared" si="6"/>
        <v/>
      </c>
      <c r="Q22" s="96"/>
      <c r="R22" s="100" t="str">
        <f t="shared" si="6"/>
        <v/>
      </c>
      <c r="S22" s="96"/>
      <c r="T22" s="100" t="str">
        <f t="shared" si="6"/>
        <v/>
      </c>
      <c r="U22" s="96"/>
      <c r="V22" s="100" t="str">
        <f t="shared" si="6"/>
        <v/>
      </c>
      <c r="W22" s="96"/>
      <c r="X22" s="100" t="str">
        <f t="shared" si="7"/>
        <v/>
      </c>
      <c r="Y22" s="96"/>
      <c r="Z22" s="100" t="str">
        <f t="shared" si="8"/>
        <v/>
      </c>
    </row>
    <row r="23" spans="1:26" x14ac:dyDescent="0.2">
      <c r="A23" s="95"/>
      <c r="B23" s="95"/>
      <c r="C23" s="95"/>
      <c r="E23" s="97"/>
      <c r="F23" s="97"/>
      <c r="G23" s="97"/>
      <c r="I23" s="105" t="str">
        <f t="shared" si="5"/>
        <v/>
      </c>
      <c r="K23" s="95"/>
      <c r="L23" s="95"/>
      <c r="M23" s="97"/>
      <c r="N23" s="95"/>
      <c r="O23" s="96"/>
      <c r="P23" s="100" t="str">
        <f t="shared" si="6"/>
        <v/>
      </c>
      <c r="Q23" s="96"/>
      <c r="R23" s="100" t="str">
        <f t="shared" si="6"/>
        <v/>
      </c>
      <c r="S23" s="96"/>
      <c r="T23" s="100" t="str">
        <f t="shared" si="6"/>
        <v/>
      </c>
      <c r="U23" s="96"/>
      <c r="V23" s="100" t="str">
        <f t="shared" si="6"/>
        <v/>
      </c>
      <c r="W23" s="96"/>
      <c r="X23" s="100" t="str">
        <f t="shared" si="7"/>
        <v/>
      </c>
      <c r="Y23" s="96"/>
      <c r="Z23" s="100" t="str">
        <f t="shared" si="8"/>
        <v/>
      </c>
    </row>
    <row r="24" spans="1:26" x14ac:dyDescent="0.2">
      <c r="A24" s="95"/>
      <c r="B24" s="95"/>
      <c r="C24" s="95"/>
      <c r="E24" s="97"/>
      <c r="F24" s="97"/>
      <c r="G24" s="97"/>
      <c r="I24" s="105" t="str">
        <f t="shared" si="5"/>
        <v/>
      </c>
      <c r="K24" s="95"/>
      <c r="L24" s="95"/>
      <c r="M24" s="97"/>
      <c r="N24" s="95"/>
      <c r="O24" s="96"/>
      <c r="P24" s="100" t="str">
        <f t="shared" si="6"/>
        <v/>
      </c>
      <c r="Q24" s="96"/>
      <c r="R24" s="100" t="str">
        <f t="shared" si="6"/>
        <v/>
      </c>
      <c r="S24" s="96"/>
      <c r="T24" s="100" t="str">
        <f t="shared" si="6"/>
        <v/>
      </c>
      <c r="U24" s="96"/>
      <c r="V24" s="100" t="str">
        <f t="shared" si="6"/>
        <v/>
      </c>
      <c r="W24" s="96"/>
      <c r="X24" s="100" t="str">
        <f t="shared" si="7"/>
        <v/>
      </c>
      <c r="Y24" s="96"/>
      <c r="Z24" s="100" t="str">
        <f t="shared" si="8"/>
        <v/>
      </c>
    </row>
    <row r="25" spans="1:26" x14ac:dyDescent="0.2">
      <c r="A25" s="95"/>
      <c r="B25" s="95"/>
      <c r="C25" s="95"/>
      <c r="E25" s="97"/>
      <c r="F25" s="97"/>
      <c r="G25" s="97"/>
      <c r="I25" s="105" t="str">
        <f t="shared" si="5"/>
        <v/>
      </c>
      <c r="K25" s="95"/>
      <c r="L25" s="95"/>
      <c r="M25" s="97"/>
      <c r="N25" s="95"/>
      <c r="O25" s="96"/>
      <c r="P25" s="100" t="str">
        <f t="shared" si="6"/>
        <v/>
      </c>
      <c r="Q25" s="96"/>
      <c r="R25" s="100" t="str">
        <f t="shared" si="6"/>
        <v/>
      </c>
      <c r="S25" s="96"/>
      <c r="T25" s="100" t="str">
        <f t="shared" si="6"/>
        <v/>
      </c>
      <c r="U25" s="96"/>
      <c r="V25" s="100" t="str">
        <f t="shared" si="6"/>
        <v/>
      </c>
      <c r="W25" s="96"/>
      <c r="X25" s="100" t="str">
        <f t="shared" si="7"/>
        <v/>
      </c>
      <c r="Y25" s="96"/>
      <c r="Z25" s="100" t="str">
        <f t="shared" si="8"/>
        <v/>
      </c>
    </row>
    <row r="26" spans="1:26" x14ac:dyDescent="0.2">
      <c r="A26" s="95"/>
      <c r="B26" s="95"/>
      <c r="C26" s="95"/>
      <c r="E26" s="97"/>
      <c r="F26" s="97"/>
      <c r="G26" s="97"/>
      <c r="I26" s="105" t="str">
        <f t="shared" si="5"/>
        <v/>
      </c>
      <c r="K26" s="95"/>
      <c r="L26" s="95"/>
      <c r="M26" s="97"/>
      <c r="N26" s="95"/>
      <c r="O26" s="96"/>
      <c r="P26" s="100" t="str">
        <f t="shared" si="6"/>
        <v/>
      </c>
      <c r="Q26" s="96"/>
      <c r="R26" s="100" t="str">
        <f t="shared" si="6"/>
        <v/>
      </c>
      <c r="S26" s="96"/>
      <c r="T26" s="100" t="str">
        <f t="shared" si="6"/>
        <v/>
      </c>
      <c r="U26" s="96"/>
      <c r="V26" s="100" t="str">
        <f t="shared" si="6"/>
        <v/>
      </c>
      <c r="W26" s="96"/>
      <c r="X26" s="100" t="str">
        <f t="shared" si="7"/>
        <v/>
      </c>
      <c r="Y26" s="96"/>
      <c r="Z26" s="100" t="str">
        <f t="shared" si="8"/>
        <v/>
      </c>
    </row>
    <row r="27" spans="1:26" x14ac:dyDescent="0.2">
      <c r="A27" s="95"/>
      <c r="B27" s="95"/>
      <c r="C27" s="95"/>
      <c r="E27" s="97"/>
      <c r="F27" s="97"/>
      <c r="G27" s="97"/>
      <c r="I27" s="105" t="str">
        <f t="shared" si="5"/>
        <v/>
      </c>
      <c r="K27" s="95"/>
      <c r="L27" s="95"/>
      <c r="M27" s="97"/>
      <c r="N27" s="95"/>
      <c r="O27" s="96"/>
      <c r="P27" s="100" t="str">
        <f t="shared" si="6"/>
        <v/>
      </c>
      <c r="Q27" s="96"/>
      <c r="R27" s="100" t="str">
        <f t="shared" si="6"/>
        <v/>
      </c>
      <c r="S27" s="96"/>
      <c r="T27" s="100" t="str">
        <f t="shared" si="6"/>
        <v/>
      </c>
      <c r="U27" s="96"/>
      <c r="V27" s="100" t="str">
        <f t="shared" si="6"/>
        <v/>
      </c>
      <c r="W27" s="96"/>
      <c r="X27" s="100" t="str">
        <f t="shared" si="7"/>
        <v/>
      </c>
      <c r="Y27" s="96"/>
      <c r="Z27" s="100" t="str">
        <f t="shared" si="8"/>
        <v/>
      </c>
    </row>
    <row r="28" spans="1:26" x14ac:dyDescent="0.2">
      <c r="A28" s="95"/>
      <c r="B28" s="95"/>
      <c r="C28" s="95"/>
      <c r="E28" s="97"/>
      <c r="F28" s="97"/>
      <c r="G28" s="97"/>
      <c r="I28" s="105" t="str">
        <f t="shared" si="5"/>
        <v/>
      </c>
      <c r="K28" s="95"/>
      <c r="L28" s="95"/>
      <c r="M28" s="97"/>
      <c r="N28" s="95"/>
      <c r="O28" s="96"/>
      <c r="P28" s="100" t="str">
        <f t="shared" si="6"/>
        <v/>
      </c>
      <c r="Q28" s="96"/>
      <c r="R28" s="100" t="str">
        <f t="shared" si="6"/>
        <v/>
      </c>
      <c r="S28" s="96"/>
      <c r="T28" s="100" t="str">
        <f t="shared" si="6"/>
        <v/>
      </c>
      <c r="U28" s="96"/>
      <c r="V28" s="100" t="str">
        <f t="shared" si="6"/>
        <v/>
      </c>
      <c r="W28" s="96"/>
      <c r="X28" s="100" t="str">
        <f t="shared" si="7"/>
        <v/>
      </c>
      <c r="Y28" s="96"/>
      <c r="Z28" s="100" t="str">
        <f t="shared" si="8"/>
        <v/>
      </c>
    </row>
    <row r="29" spans="1:26" x14ac:dyDescent="0.2">
      <c r="A29" s="95"/>
      <c r="B29" s="95"/>
      <c r="C29" s="95"/>
      <c r="E29" s="97"/>
      <c r="F29" s="97"/>
      <c r="G29" s="97"/>
      <c r="I29" s="105" t="str">
        <f t="shared" si="5"/>
        <v/>
      </c>
      <c r="K29" s="95"/>
      <c r="L29" s="95"/>
      <c r="M29" s="97"/>
      <c r="N29" s="95"/>
      <c r="O29" s="96"/>
      <c r="P29" s="100" t="str">
        <f t="shared" si="6"/>
        <v/>
      </c>
      <c r="Q29" s="96"/>
      <c r="R29" s="100" t="str">
        <f t="shared" si="6"/>
        <v/>
      </c>
      <c r="S29" s="96"/>
      <c r="T29" s="100" t="str">
        <f t="shared" si="6"/>
        <v/>
      </c>
      <c r="U29" s="96"/>
      <c r="V29" s="100" t="str">
        <f t="shared" si="6"/>
        <v/>
      </c>
      <c r="W29" s="96"/>
      <c r="X29" s="100" t="str">
        <f t="shared" si="7"/>
        <v/>
      </c>
      <c r="Y29" s="96"/>
      <c r="Z29" s="100" t="str">
        <f t="shared" si="8"/>
        <v/>
      </c>
    </row>
    <row r="30" spans="1:26" x14ac:dyDescent="0.2">
      <c r="A30" s="95"/>
      <c r="B30" s="95"/>
      <c r="C30" s="95"/>
      <c r="E30" s="97"/>
      <c r="F30" s="97"/>
      <c r="G30" s="97"/>
      <c r="I30" s="105" t="str">
        <f t="shared" si="5"/>
        <v/>
      </c>
      <c r="K30" s="95"/>
      <c r="L30" s="95"/>
      <c r="M30" s="97"/>
      <c r="N30" s="95"/>
      <c r="O30" s="96"/>
      <c r="P30" s="100" t="str">
        <f t="shared" si="6"/>
        <v/>
      </c>
      <c r="Q30" s="96"/>
      <c r="R30" s="100" t="str">
        <f t="shared" si="6"/>
        <v/>
      </c>
      <c r="S30" s="96"/>
      <c r="T30" s="100" t="str">
        <f t="shared" si="6"/>
        <v/>
      </c>
      <c r="U30" s="96"/>
      <c r="V30" s="100" t="str">
        <f t="shared" si="6"/>
        <v/>
      </c>
      <c r="W30" s="96"/>
      <c r="X30" s="100" t="str">
        <f t="shared" si="7"/>
        <v/>
      </c>
      <c r="Y30" s="96"/>
      <c r="Z30" s="100" t="str">
        <f t="shared" si="8"/>
        <v/>
      </c>
    </row>
    <row r="31" spans="1:26" x14ac:dyDescent="0.2">
      <c r="A31" s="95"/>
      <c r="B31" s="95"/>
      <c r="C31" s="95"/>
      <c r="E31" s="97"/>
      <c r="F31" s="97"/>
      <c r="G31" s="97"/>
      <c r="I31" s="105" t="str">
        <f t="shared" si="5"/>
        <v/>
      </c>
      <c r="K31" s="95"/>
      <c r="L31" s="95"/>
      <c r="M31" s="97"/>
      <c r="N31" s="95"/>
      <c r="O31" s="96"/>
      <c r="P31" s="100" t="str">
        <f t="shared" si="6"/>
        <v/>
      </c>
      <c r="Q31" s="96"/>
      <c r="R31" s="100" t="str">
        <f t="shared" si="6"/>
        <v/>
      </c>
      <c r="S31" s="96"/>
      <c r="T31" s="100" t="str">
        <f t="shared" si="6"/>
        <v/>
      </c>
      <c r="U31" s="96"/>
      <c r="V31" s="100" t="str">
        <f t="shared" si="6"/>
        <v/>
      </c>
      <c r="W31" s="96"/>
      <c r="X31" s="100" t="str">
        <f t="shared" si="7"/>
        <v/>
      </c>
      <c r="Y31" s="96"/>
      <c r="Z31" s="100" t="str">
        <f t="shared" si="8"/>
        <v/>
      </c>
    </row>
    <row r="32" spans="1:26" x14ac:dyDescent="0.2">
      <c r="A32" s="95"/>
      <c r="B32" s="95"/>
      <c r="C32" s="95"/>
      <c r="E32" s="97"/>
      <c r="F32" s="97"/>
      <c r="G32" s="97"/>
      <c r="I32" s="105" t="str">
        <f t="shared" si="5"/>
        <v/>
      </c>
      <c r="K32" s="95"/>
      <c r="L32" s="95"/>
      <c r="M32" s="97"/>
      <c r="N32" s="95"/>
      <c r="O32" s="96"/>
      <c r="P32" s="100" t="str">
        <f t="shared" si="6"/>
        <v/>
      </c>
      <c r="Q32" s="96"/>
      <c r="R32" s="100" t="str">
        <f t="shared" si="6"/>
        <v/>
      </c>
      <c r="S32" s="96"/>
      <c r="T32" s="100" t="str">
        <f t="shared" si="6"/>
        <v/>
      </c>
      <c r="U32" s="96"/>
      <c r="V32" s="100" t="str">
        <f t="shared" si="6"/>
        <v/>
      </c>
      <c r="W32" s="96"/>
      <c r="X32" s="100" t="str">
        <f t="shared" si="7"/>
        <v/>
      </c>
      <c r="Y32" s="96"/>
      <c r="Z32" s="100" t="str">
        <f t="shared" si="8"/>
        <v/>
      </c>
    </row>
    <row r="33" spans="1:26" x14ac:dyDescent="0.2">
      <c r="A33" s="95"/>
      <c r="B33" s="95"/>
      <c r="C33" s="95"/>
      <c r="E33" s="97"/>
      <c r="F33" s="97"/>
      <c r="G33" s="97"/>
      <c r="I33" s="105" t="str">
        <f t="shared" si="5"/>
        <v/>
      </c>
      <c r="K33" s="95"/>
      <c r="L33" s="95"/>
      <c r="M33" s="97"/>
      <c r="N33" s="95"/>
      <c r="O33" s="96"/>
      <c r="P33" s="100" t="str">
        <f t="shared" si="6"/>
        <v/>
      </c>
      <c r="Q33" s="96"/>
      <c r="R33" s="100" t="str">
        <f t="shared" si="6"/>
        <v/>
      </c>
      <c r="S33" s="96"/>
      <c r="T33" s="100" t="str">
        <f t="shared" si="6"/>
        <v/>
      </c>
      <c r="U33" s="96"/>
      <c r="V33" s="100" t="str">
        <f t="shared" si="6"/>
        <v/>
      </c>
      <c r="W33" s="96"/>
      <c r="X33" s="100" t="str">
        <f t="shared" si="7"/>
        <v/>
      </c>
      <c r="Y33" s="96"/>
      <c r="Z33" s="100" t="str">
        <f t="shared" si="8"/>
        <v/>
      </c>
    </row>
    <row r="34" spans="1:26" x14ac:dyDescent="0.2">
      <c r="A34" s="95"/>
      <c r="B34" s="95"/>
      <c r="C34" s="95"/>
      <c r="E34" s="97"/>
      <c r="F34" s="97"/>
      <c r="G34" s="97"/>
      <c r="I34" s="105" t="str">
        <f t="shared" si="5"/>
        <v/>
      </c>
      <c r="K34" s="95"/>
      <c r="L34" s="95"/>
      <c r="M34" s="97"/>
      <c r="N34" s="95"/>
      <c r="O34" s="96"/>
      <c r="P34" s="100" t="str">
        <f t="shared" si="6"/>
        <v/>
      </c>
      <c r="Q34" s="96"/>
      <c r="R34" s="100" t="str">
        <f t="shared" si="6"/>
        <v/>
      </c>
      <c r="S34" s="96"/>
      <c r="T34" s="100" t="str">
        <f t="shared" si="6"/>
        <v/>
      </c>
      <c r="U34" s="96"/>
      <c r="V34" s="100" t="str">
        <f t="shared" si="6"/>
        <v/>
      </c>
      <c r="W34" s="96"/>
      <c r="X34" s="100" t="str">
        <f t="shared" si="7"/>
        <v/>
      </c>
      <c r="Y34" s="96"/>
      <c r="Z34" s="100" t="str">
        <f t="shared" si="8"/>
        <v/>
      </c>
    </row>
    <row r="35" spans="1:26" x14ac:dyDescent="0.2">
      <c r="A35" s="95"/>
      <c r="B35" s="95"/>
      <c r="C35" s="95"/>
      <c r="E35" s="97"/>
      <c r="F35" s="97"/>
      <c r="G35" s="97"/>
      <c r="I35" s="105" t="str">
        <f t="shared" si="5"/>
        <v/>
      </c>
      <c r="K35" s="95"/>
      <c r="L35" s="95"/>
      <c r="M35" s="97"/>
      <c r="N35" s="95"/>
      <c r="O35" s="96"/>
      <c r="P35" s="100" t="str">
        <f t="shared" si="6"/>
        <v/>
      </c>
      <c r="Q35" s="96"/>
      <c r="R35" s="100" t="str">
        <f t="shared" si="6"/>
        <v/>
      </c>
      <c r="S35" s="96"/>
      <c r="T35" s="100" t="str">
        <f t="shared" si="6"/>
        <v/>
      </c>
      <c r="U35" s="96"/>
      <c r="V35" s="100" t="str">
        <f t="shared" si="6"/>
        <v/>
      </c>
      <c r="W35" s="96"/>
      <c r="X35" s="100" t="str">
        <f t="shared" si="7"/>
        <v/>
      </c>
      <c r="Y35" s="96"/>
      <c r="Z35" s="100" t="str">
        <f t="shared" si="8"/>
        <v/>
      </c>
    </row>
    <row r="36" spans="1:26" x14ac:dyDescent="0.2">
      <c r="A36" s="95"/>
      <c r="B36" s="95"/>
      <c r="C36" s="95"/>
      <c r="E36" s="97"/>
      <c r="F36" s="97"/>
      <c r="G36" s="97"/>
      <c r="I36" s="105" t="str">
        <f t="shared" si="5"/>
        <v/>
      </c>
      <c r="K36" s="95"/>
      <c r="L36" s="95"/>
      <c r="M36" s="97"/>
      <c r="N36" s="95"/>
      <c r="O36" s="96"/>
      <c r="P36" s="100" t="str">
        <f t="shared" si="6"/>
        <v/>
      </c>
      <c r="Q36" s="96"/>
      <c r="R36" s="100" t="str">
        <f t="shared" si="6"/>
        <v/>
      </c>
      <c r="S36" s="96"/>
      <c r="T36" s="100" t="str">
        <f t="shared" si="6"/>
        <v/>
      </c>
      <c r="U36" s="96"/>
      <c r="V36" s="100" t="str">
        <f t="shared" si="6"/>
        <v/>
      </c>
      <c r="W36" s="96"/>
      <c r="X36" s="100" t="str">
        <f t="shared" si="7"/>
        <v/>
      </c>
      <c r="Y36" s="96"/>
      <c r="Z36" s="100" t="str">
        <f t="shared" si="8"/>
        <v/>
      </c>
    </row>
    <row r="37" spans="1:26" x14ac:dyDescent="0.2">
      <c r="A37" s="95"/>
      <c r="B37" s="95"/>
      <c r="C37" s="95"/>
      <c r="E37" s="97"/>
      <c r="F37" s="97"/>
      <c r="G37" s="97"/>
      <c r="I37" s="105" t="str">
        <f t="shared" si="5"/>
        <v/>
      </c>
      <c r="K37" s="95"/>
      <c r="L37" s="95"/>
      <c r="M37" s="97"/>
      <c r="N37" s="95"/>
      <c r="O37" s="96"/>
      <c r="P37" s="100" t="str">
        <f t="shared" si="6"/>
        <v/>
      </c>
      <c r="Q37" s="96"/>
      <c r="R37" s="100" t="str">
        <f t="shared" si="6"/>
        <v/>
      </c>
      <c r="S37" s="96"/>
      <c r="T37" s="100" t="str">
        <f t="shared" si="6"/>
        <v/>
      </c>
      <c r="U37" s="96"/>
      <c r="V37" s="100" t="str">
        <f t="shared" si="6"/>
        <v/>
      </c>
      <c r="W37" s="96"/>
      <c r="X37" s="100" t="str">
        <f t="shared" si="7"/>
        <v/>
      </c>
      <c r="Y37" s="96"/>
      <c r="Z37" s="100" t="str">
        <f t="shared" si="8"/>
        <v/>
      </c>
    </row>
    <row r="38" spans="1:26" x14ac:dyDescent="0.2">
      <c r="A38" s="95"/>
      <c r="B38" s="95"/>
      <c r="C38" s="95"/>
      <c r="E38" s="97"/>
      <c r="F38" s="97"/>
      <c r="G38" s="97"/>
      <c r="I38" s="105" t="str">
        <f t="shared" si="5"/>
        <v/>
      </c>
      <c r="K38" s="95"/>
      <c r="L38" s="95"/>
      <c r="M38" s="97"/>
      <c r="N38" s="95"/>
      <c r="O38" s="96"/>
      <c r="P38" s="100" t="str">
        <f t="shared" si="6"/>
        <v/>
      </c>
      <c r="Q38" s="96"/>
      <c r="R38" s="100" t="str">
        <f t="shared" si="6"/>
        <v/>
      </c>
      <c r="S38" s="96"/>
      <c r="T38" s="100" t="str">
        <f t="shared" si="6"/>
        <v/>
      </c>
      <c r="U38" s="96"/>
      <c r="V38" s="100" t="str">
        <f t="shared" si="6"/>
        <v/>
      </c>
      <c r="W38" s="96"/>
      <c r="X38" s="100" t="str">
        <f t="shared" si="7"/>
        <v/>
      </c>
      <c r="Y38" s="96"/>
      <c r="Z38" s="100" t="str">
        <f t="shared" si="8"/>
        <v/>
      </c>
    </row>
    <row r="39" spans="1:26" x14ac:dyDescent="0.2">
      <c r="A39" s="95"/>
      <c r="B39" s="95"/>
      <c r="C39" s="95"/>
      <c r="E39" s="97"/>
      <c r="F39" s="97"/>
      <c r="G39" s="97"/>
      <c r="I39" s="105" t="str">
        <f t="shared" si="5"/>
        <v/>
      </c>
      <c r="K39" s="95"/>
      <c r="L39" s="95"/>
      <c r="M39" s="97"/>
      <c r="N39" s="95"/>
      <c r="O39" s="96"/>
      <c r="P39" s="100" t="str">
        <f t="shared" si="6"/>
        <v/>
      </c>
      <c r="Q39" s="96"/>
      <c r="R39" s="100" t="str">
        <f t="shared" si="6"/>
        <v/>
      </c>
      <c r="S39" s="96"/>
      <c r="T39" s="100" t="str">
        <f t="shared" si="6"/>
        <v/>
      </c>
      <c r="U39" s="96"/>
      <c r="V39" s="100" t="str">
        <f t="shared" si="6"/>
        <v/>
      </c>
      <c r="W39" s="96"/>
      <c r="X39" s="100" t="str">
        <f t="shared" si="7"/>
        <v/>
      </c>
      <c r="Y39" s="96"/>
      <c r="Z39" s="100" t="str">
        <f t="shared" si="8"/>
        <v/>
      </c>
    </row>
    <row r="40" spans="1:26" x14ac:dyDescent="0.2">
      <c r="A40" s="95"/>
      <c r="B40" s="95"/>
      <c r="C40" s="95"/>
      <c r="E40" s="97"/>
      <c r="F40" s="97"/>
      <c r="G40" s="97"/>
      <c r="I40" s="105" t="str">
        <f t="shared" si="5"/>
        <v/>
      </c>
      <c r="K40" s="95"/>
      <c r="L40" s="95"/>
      <c r="M40" s="97"/>
      <c r="N40" s="95"/>
      <c r="O40" s="96"/>
      <c r="P40" s="100" t="str">
        <f t="shared" si="6"/>
        <v/>
      </c>
      <c r="Q40" s="96"/>
      <c r="R40" s="100" t="str">
        <f t="shared" si="6"/>
        <v/>
      </c>
      <c r="S40" s="96"/>
      <c r="T40" s="100" t="str">
        <f t="shared" si="6"/>
        <v/>
      </c>
      <c r="U40" s="96"/>
      <c r="V40" s="100" t="str">
        <f t="shared" si="6"/>
        <v/>
      </c>
      <c r="W40" s="96"/>
      <c r="X40" s="100" t="str">
        <f t="shared" si="7"/>
        <v/>
      </c>
      <c r="Y40" s="96"/>
      <c r="Z40" s="100" t="str">
        <f t="shared" si="8"/>
        <v/>
      </c>
    </row>
    <row r="41" spans="1:26" x14ac:dyDescent="0.2">
      <c r="A41" s="95"/>
      <c r="B41" s="95"/>
      <c r="C41" s="95"/>
      <c r="E41" s="97"/>
      <c r="F41" s="97"/>
      <c r="G41" s="97"/>
      <c r="I41" s="105" t="str">
        <f t="shared" si="5"/>
        <v/>
      </c>
      <c r="K41" s="95"/>
      <c r="L41" s="95"/>
      <c r="M41" s="97"/>
      <c r="N41" s="95"/>
      <c r="O41" s="96"/>
      <c r="P41" s="100" t="str">
        <f t="shared" si="6"/>
        <v/>
      </c>
      <c r="Q41" s="96"/>
      <c r="R41" s="100" t="str">
        <f t="shared" si="6"/>
        <v/>
      </c>
      <c r="S41" s="96"/>
      <c r="T41" s="100" t="str">
        <f t="shared" si="6"/>
        <v/>
      </c>
      <c r="U41" s="96"/>
      <c r="V41" s="100" t="str">
        <f t="shared" si="6"/>
        <v/>
      </c>
      <c r="W41" s="96"/>
      <c r="X41" s="100" t="str">
        <f t="shared" si="7"/>
        <v/>
      </c>
      <c r="Y41" s="96"/>
      <c r="Z41" s="100" t="str">
        <f t="shared" si="8"/>
        <v/>
      </c>
    </row>
    <row r="42" spans="1:26" x14ac:dyDescent="0.2">
      <c r="A42" s="95"/>
      <c r="B42" s="95"/>
      <c r="C42" s="95"/>
      <c r="E42" s="97"/>
      <c r="F42" s="97"/>
      <c r="G42" s="97"/>
      <c r="I42" s="105" t="str">
        <f t="shared" si="5"/>
        <v/>
      </c>
      <c r="K42" s="95"/>
      <c r="L42" s="95"/>
      <c r="M42" s="97"/>
      <c r="N42" s="95"/>
      <c r="O42" s="96"/>
      <c r="P42" s="100" t="str">
        <f t="shared" si="6"/>
        <v/>
      </c>
      <c r="Q42" s="96"/>
      <c r="R42" s="100" t="str">
        <f t="shared" si="6"/>
        <v/>
      </c>
      <c r="S42" s="96"/>
      <c r="T42" s="100" t="str">
        <f t="shared" si="6"/>
        <v/>
      </c>
      <c r="U42" s="96"/>
      <c r="V42" s="100" t="str">
        <f t="shared" si="6"/>
        <v/>
      </c>
      <c r="W42" s="96"/>
      <c r="X42" s="100" t="str">
        <f t="shared" si="7"/>
        <v/>
      </c>
      <c r="Y42" s="96"/>
      <c r="Z42" s="100" t="str">
        <f t="shared" si="8"/>
        <v/>
      </c>
    </row>
    <row r="43" spans="1:26" x14ac:dyDescent="0.2">
      <c r="A43" s="95"/>
      <c r="B43" s="95"/>
      <c r="C43" s="95"/>
      <c r="E43" s="97"/>
      <c r="F43" s="97"/>
      <c r="G43" s="97"/>
      <c r="I43" s="105" t="str">
        <f t="shared" si="5"/>
        <v/>
      </c>
      <c r="K43" s="95"/>
      <c r="L43" s="95"/>
      <c r="M43" s="97"/>
      <c r="N43" s="95"/>
      <c r="O43" s="96"/>
      <c r="P43" s="100" t="str">
        <f t="shared" si="6"/>
        <v/>
      </c>
      <c r="Q43" s="96"/>
      <c r="R43" s="100" t="str">
        <f t="shared" si="6"/>
        <v/>
      </c>
      <c r="S43" s="96"/>
      <c r="T43" s="100" t="str">
        <f t="shared" si="6"/>
        <v/>
      </c>
      <c r="U43" s="96"/>
      <c r="V43" s="100" t="str">
        <f t="shared" si="6"/>
        <v/>
      </c>
      <c r="W43" s="96"/>
      <c r="X43" s="100" t="str">
        <f t="shared" si="7"/>
        <v/>
      </c>
      <c r="Y43" s="96"/>
      <c r="Z43" s="100" t="str">
        <f t="shared" si="8"/>
        <v/>
      </c>
    </row>
    <row r="44" spans="1:26" x14ac:dyDescent="0.2">
      <c r="A44" s="95"/>
      <c r="B44" s="95"/>
      <c r="C44" s="95"/>
      <c r="E44" s="97"/>
      <c r="F44" s="97"/>
      <c r="G44" s="97"/>
      <c r="I44" s="105" t="str">
        <f t="shared" si="5"/>
        <v/>
      </c>
      <c r="K44" s="95"/>
      <c r="L44" s="95"/>
      <c r="M44" s="97"/>
      <c r="N44" s="95"/>
      <c r="O44" s="96"/>
      <c r="P44" s="100" t="str">
        <f t="shared" si="6"/>
        <v/>
      </c>
      <c r="Q44" s="96"/>
      <c r="R44" s="100" t="str">
        <f t="shared" si="6"/>
        <v/>
      </c>
      <c r="S44" s="96"/>
      <c r="T44" s="100" t="str">
        <f t="shared" si="6"/>
        <v/>
      </c>
      <c r="U44" s="96"/>
      <c r="V44" s="100" t="str">
        <f t="shared" si="6"/>
        <v/>
      </c>
      <c r="W44" s="96"/>
      <c r="X44" s="100" t="str">
        <f t="shared" si="7"/>
        <v/>
      </c>
      <c r="Y44" s="96"/>
      <c r="Z44" s="100" t="str">
        <f t="shared" si="8"/>
        <v/>
      </c>
    </row>
    <row r="45" spans="1:26" x14ac:dyDescent="0.2">
      <c r="A45" s="95"/>
      <c r="B45" s="95"/>
      <c r="C45" s="95"/>
      <c r="E45" s="97"/>
      <c r="F45" s="97"/>
      <c r="G45" s="97"/>
      <c r="I45" s="105" t="str">
        <f t="shared" si="5"/>
        <v/>
      </c>
      <c r="K45" s="95"/>
      <c r="L45" s="95"/>
      <c r="M45" s="97"/>
      <c r="N45" s="95"/>
      <c r="O45" s="96"/>
      <c r="P45" s="100" t="str">
        <f t="shared" si="6"/>
        <v/>
      </c>
      <c r="Q45" s="96"/>
      <c r="R45" s="100" t="str">
        <f t="shared" si="6"/>
        <v/>
      </c>
      <c r="S45" s="96"/>
      <c r="T45" s="100" t="str">
        <f t="shared" si="6"/>
        <v/>
      </c>
      <c r="U45" s="96"/>
      <c r="V45" s="100" t="str">
        <f t="shared" si="6"/>
        <v/>
      </c>
      <c r="W45" s="96"/>
      <c r="X45" s="100" t="str">
        <f t="shared" si="7"/>
        <v/>
      </c>
      <c r="Y45" s="96"/>
      <c r="Z45" s="100" t="str">
        <f t="shared" si="8"/>
        <v/>
      </c>
    </row>
    <row r="46" spans="1:26" x14ac:dyDescent="0.2">
      <c r="A46" s="95"/>
      <c r="B46" s="95"/>
      <c r="C46" s="95"/>
      <c r="E46" s="97"/>
      <c r="F46" s="97"/>
      <c r="G46" s="97"/>
      <c r="I46" s="105" t="str">
        <f t="shared" si="5"/>
        <v/>
      </c>
      <c r="K46" s="95"/>
      <c r="L46" s="95"/>
      <c r="M46" s="97"/>
      <c r="N46" s="95"/>
      <c r="O46" s="96"/>
      <c r="P46" s="100" t="str">
        <f t="shared" si="6"/>
        <v/>
      </c>
      <c r="Q46" s="96"/>
      <c r="R46" s="100" t="str">
        <f t="shared" si="6"/>
        <v/>
      </c>
      <c r="S46" s="96"/>
      <c r="T46" s="100" t="str">
        <f t="shared" si="6"/>
        <v/>
      </c>
      <c r="U46" s="96"/>
      <c r="V46" s="100" t="str">
        <f t="shared" si="6"/>
        <v/>
      </c>
      <c r="W46" s="96"/>
      <c r="X46" s="100" t="str">
        <f t="shared" si="7"/>
        <v/>
      </c>
      <c r="Y46" s="96"/>
      <c r="Z46" s="100" t="str">
        <f t="shared" si="8"/>
        <v/>
      </c>
    </row>
    <row r="47" spans="1:26" x14ac:dyDescent="0.2">
      <c r="A47" s="95"/>
      <c r="B47" s="95"/>
      <c r="C47" s="95"/>
      <c r="E47" s="97"/>
      <c r="F47" s="97"/>
      <c r="G47" s="97"/>
      <c r="I47" s="105" t="str">
        <f t="shared" si="5"/>
        <v/>
      </c>
      <c r="K47" s="95"/>
      <c r="L47" s="95"/>
      <c r="M47" s="97"/>
      <c r="N47" s="95"/>
      <c r="O47" s="96"/>
      <c r="P47" s="100" t="str">
        <f t="shared" si="6"/>
        <v/>
      </c>
      <c r="Q47" s="96"/>
      <c r="R47" s="100" t="str">
        <f t="shared" si="6"/>
        <v/>
      </c>
      <c r="S47" s="96"/>
      <c r="T47" s="100" t="str">
        <f t="shared" si="6"/>
        <v/>
      </c>
      <c r="U47" s="96"/>
      <c r="V47" s="100" t="str">
        <f t="shared" si="6"/>
        <v/>
      </c>
      <c r="W47" s="96"/>
      <c r="X47" s="100" t="str">
        <f t="shared" si="7"/>
        <v/>
      </c>
      <c r="Y47" s="96"/>
      <c r="Z47" s="100" t="str">
        <f t="shared" si="8"/>
        <v/>
      </c>
    </row>
    <row r="48" spans="1:26" x14ac:dyDescent="0.2">
      <c r="A48" s="95"/>
      <c r="B48" s="95"/>
      <c r="C48" s="95"/>
      <c r="E48" s="97"/>
      <c r="F48" s="97"/>
      <c r="G48" s="97"/>
      <c r="I48" s="105" t="str">
        <f t="shared" si="5"/>
        <v/>
      </c>
      <c r="K48" s="95"/>
      <c r="L48" s="95"/>
      <c r="M48" s="97"/>
      <c r="N48" s="95"/>
      <c r="O48" s="96"/>
      <c r="P48" s="100" t="str">
        <f t="shared" si="6"/>
        <v/>
      </c>
      <c r="Q48" s="96"/>
      <c r="R48" s="100" t="str">
        <f t="shared" si="6"/>
        <v/>
      </c>
      <c r="S48" s="96"/>
      <c r="T48" s="100" t="str">
        <f t="shared" si="6"/>
        <v/>
      </c>
      <c r="U48" s="96"/>
      <c r="V48" s="100" t="str">
        <f t="shared" si="6"/>
        <v/>
      </c>
      <c r="W48" s="96"/>
      <c r="X48" s="100" t="str">
        <f t="shared" si="7"/>
        <v/>
      </c>
      <c r="Y48" s="96"/>
      <c r="Z48" s="100" t="str">
        <f t="shared" si="8"/>
        <v/>
      </c>
    </row>
    <row r="49" spans="1:26" x14ac:dyDescent="0.2">
      <c r="A49" s="95"/>
      <c r="B49" s="95"/>
      <c r="C49" s="95"/>
      <c r="E49" s="97"/>
      <c r="F49" s="97"/>
      <c r="G49" s="97"/>
      <c r="I49" s="105" t="str">
        <f t="shared" si="5"/>
        <v/>
      </c>
      <c r="K49" s="95"/>
      <c r="L49" s="95"/>
      <c r="M49" s="97"/>
      <c r="N49" s="95"/>
      <c r="O49" s="96"/>
      <c r="P49" s="100" t="str">
        <f t="shared" si="6"/>
        <v/>
      </c>
      <c r="Q49" s="96"/>
      <c r="R49" s="100" t="str">
        <f t="shared" si="6"/>
        <v/>
      </c>
      <c r="S49" s="96"/>
      <c r="T49" s="100" t="str">
        <f t="shared" si="6"/>
        <v/>
      </c>
      <c r="U49" s="96"/>
      <c r="V49" s="100" t="str">
        <f t="shared" si="6"/>
        <v/>
      </c>
      <c r="W49" s="96"/>
      <c r="X49" s="100" t="str">
        <f t="shared" si="7"/>
        <v/>
      </c>
      <c r="Y49" s="96"/>
      <c r="Z49" s="100" t="str">
        <f t="shared" si="8"/>
        <v/>
      </c>
    </row>
    <row r="50" spans="1:26" x14ac:dyDescent="0.2">
      <c r="A50" s="95"/>
      <c r="B50" s="95"/>
      <c r="C50" s="95"/>
      <c r="E50" s="97"/>
      <c r="F50" s="97"/>
      <c r="G50" s="97"/>
      <c r="I50" s="105" t="str">
        <f t="shared" si="5"/>
        <v/>
      </c>
      <c r="K50" s="95"/>
      <c r="L50" s="95"/>
      <c r="M50" s="97"/>
      <c r="N50" s="95"/>
      <c r="O50" s="96"/>
      <c r="P50" s="100" t="str">
        <f t="shared" si="6"/>
        <v/>
      </c>
      <c r="Q50" s="96"/>
      <c r="R50" s="100" t="str">
        <f t="shared" si="6"/>
        <v/>
      </c>
      <c r="S50" s="96"/>
      <c r="T50" s="100" t="str">
        <f t="shared" si="6"/>
        <v/>
      </c>
      <c r="U50" s="96"/>
      <c r="V50" s="100" t="str">
        <f t="shared" si="6"/>
        <v/>
      </c>
      <c r="W50" s="96"/>
      <c r="X50" s="100" t="str">
        <f t="shared" si="7"/>
        <v/>
      </c>
      <c r="Y50" s="96"/>
      <c r="Z50" s="100" t="str">
        <f t="shared" si="8"/>
        <v/>
      </c>
    </row>
    <row r="51" spans="1:26" x14ac:dyDescent="0.2">
      <c r="A51" s="95"/>
      <c r="B51" s="95"/>
      <c r="C51" s="95"/>
      <c r="E51" s="97"/>
      <c r="F51" s="97"/>
      <c r="G51" s="97"/>
      <c r="I51" s="105" t="str">
        <f t="shared" si="5"/>
        <v/>
      </c>
      <c r="K51" s="95"/>
      <c r="L51" s="95"/>
      <c r="M51" s="97"/>
      <c r="N51" s="95"/>
      <c r="O51" s="96"/>
      <c r="P51" s="100" t="str">
        <f t="shared" si="6"/>
        <v/>
      </c>
      <c r="Q51" s="96"/>
      <c r="R51" s="100" t="str">
        <f t="shared" si="6"/>
        <v/>
      </c>
      <c r="S51" s="96"/>
      <c r="T51" s="100" t="str">
        <f t="shared" si="6"/>
        <v/>
      </c>
      <c r="U51" s="96"/>
      <c r="V51" s="100" t="str">
        <f t="shared" si="6"/>
        <v/>
      </c>
      <c r="W51" s="96"/>
      <c r="X51" s="100" t="str">
        <f t="shared" si="7"/>
        <v/>
      </c>
      <c r="Y51" s="96"/>
      <c r="Z51" s="100" t="str">
        <f t="shared" si="8"/>
        <v/>
      </c>
    </row>
    <row r="52" spans="1:26" x14ac:dyDescent="0.2">
      <c r="A52" s="95"/>
      <c r="B52" s="95"/>
      <c r="C52" s="95"/>
      <c r="E52" s="97"/>
      <c r="F52" s="97"/>
      <c r="G52" s="97"/>
      <c r="I52" s="105" t="str">
        <f t="shared" si="5"/>
        <v/>
      </c>
      <c r="K52" s="95"/>
      <c r="L52" s="95"/>
      <c r="M52" s="97"/>
      <c r="N52" s="95"/>
      <c r="O52" s="96"/>
      <c r="P52" s="100" t="str">
        <f t="shared" si="6"/>
        <v/>
      </c>
      <c r="Q52" s="96"/>
      <c r="R52" s="100" t="str">
        <f t="shared" si="6"/>
        <v/>
      </c>
      <c r="S52" s="96"/>
      <c r="T52" s="100" t="str">
        <f t="shared" si="6"/>
        <v/>
      </c>
      <c r="U52" s="96"/>
      <c r="V52" s="100" t="str">
        <f t="shared" si="6"/>
        <v/>
      </c>
      <c r="W52" s="96"/>
      <c r="X52" s="100" t="str">
        <f t="shared" si="7"/>
        <v/>
      </c>
      <c r="Y52" s="96"/>
      <c r="Z52" s="100" t="str">
        <f t="shared" si="8"/>
        <v/>
      </c>
    </row>
    <row r="53" spans="1:26" x14ac:dyDescent="0.2">
      <c r="A53" s="95"/>
      <c r="B53" s="95"/>
      <c r="C53" s="95"/>
      <c r="E53" s="97"/>
      <c r="F53" s="97"/>
      <c r="G53" s="97"/>
      <c r="I53" s="105" t="str">
        <f t="shared" si="5"/>
        <v/>
      </c>
      <c r="K53" s="95"/>
      <c r="L53" s="95"/>
      <c r="M53" s="97"/>
      <c r="N53" s="95"/>
      <c r="O53" s="96"/>
      <c r="P53" s="100" t="str">
        <f t="shared" si="6"/>
        <v/>
      </c>
      <c r="Q53" s="96"/>
      <c r="R53" s="100" t="str">
        <f t="shared" si="6"/>
        <v/>
      </c>
      <c r="S53" s="96"/>
      <c r="T53" s="100" t="str">
        <f t="shared" si="6"/>
        <v/>
      </c>
      <c r="U53" s="96"/>
      <c r="V53" s="100" t="str">
        <f t="shared" si="6"/>
        <v/>
      </c>
      <c r="W53" s="96"/>
      <c r="X53" s="100" t="str">
        <f t="shared" si="7"/>
        <v/>
      </c>
      <c r="Y53" s="96"/>
      <c r="Z53" s="100" t="str">
        <f t="shared" si="8"/>
        <v/>
      </c>
    </row>
    <row r="54" spans="1:26" x14ac:dyDescent="0.2">
      <c r="A54" s="95"/>
      <c r="B54" s="95"/>
      <c r="C54" s="95"/>
      <c r="E54" s="97"/>
      <c r="F54" s="97"/>
      <c r="G54" s="97"/>
      <c r="I54" s="105" t="str">
        <f t="shared" si="5"/>
        <v/>
      </c>
      <c r="K54" s="95"/>
      <c r="L54" s="95"/>
      <c r="M54" s="97"/>
      <c r="N54" s="95"/>
      <c r="O54" s="96"/>
      <c r="P54" s="100" t="str">
        <f t="shared" si="6"/>
        <v/>
      </c>
      <c r="Q54" s="96"/>
      <c r="R54" s="100" t="str">
        <f t="shared" si="6"/>
        <v/>
      </c>
      <c r="S54" s="96"/>
      <c r="T54" s="100" t="str">
        <f t="shared" si="6"/>
        <v/>
      </c>
      <c r="U54" s="96"/>
      <c r="V54" s="100" t="str">
        <f t="shared" si="6"/>
        <v/>
      </c>
      <c r="W54" s="96"/>
      <c r="X54" s="100" t="str">
        <f t="shared" si="7"/>
        <v/>
      </c>
      <c r="Y54" s="96"/>
      <c r="Z54" s="100" t="str">
        <f t="shared" si="8"/>
        <v/>
      </c>
    </row>
    <row r="55" spans="1:26" x14ac:dyDescent="0.2">
      <c r="A55" s="95"/>
      <c r="B55" s="95"/>
      <c r="C55" s="95"/>
      <c r="E55" s="97"/>
      <c r="F55" s="97"/>
      <c r="G55" s="97"/>
      <c r="I55" s="105" t="str">
        <f t="shared" si="5"/>
        <v/>
      </c>
      <c r="K55" s="95"/>
      <c r="L55" s="95"/>
      <c r="M55" s="97"/>
      <c r="N55" s="95"/>
      <c r="O55" s="96"/>
      <c r="P55" s="100" t="str">
        <f t="shared" si="6"/>
        <v/>
      </c>
      <c r="Q55" s="96"/>
      <c r="R55" s="100" t="str">
        <f t="shared" si="6"/>
        <v/>
      </c>
      <c r="S55" s="96"/>
      <c r="T55" s="100" t="str">
        <f t="shared" si="6"/>
        <v/>
      </c>
      <c r="U55" s="96"/>
      <c r="V55" s="100" t="str">
        <f t="shared" si="6"/>
        <v/>
      </c>
      <c r="W55" s="96"/>
      <c r="X55" s="100" t="str">
        <f t="shared" si="7"/>
        <v/>
      </c>
      <c r="Y55" s="96"/>
      <c r="Z55" s="100" t="str">
        <f t="shared" si="8"/>
        <v/>
      </c>
    </row>
    <row r="56" spans="1:26" x14ac:dyDescent="0.2">
      <c r="A56" s="95"/>
      <c r="B56" s="95"/>
      <c r="C56" s="95"/>
      <c r="E56" s="97"/>
      <c r="F56" s="97"/>
      <c r="G56" s="97"/>
      <c r="I56" s="105" t="str">
        <f t="shared" si="5"/>
        <v/>
      </c>
      <c r="K56" s="95"/>
      <c r="L56" s="95"/>
      <c r="M56" s="97"/>
      <c r="N56" s="95"/>
      <c r="O56" s="96"/>
      <c r="P56" s="100" t="str">
        <f t="shared" si="6"/>
        <v/>
      </c>
      <c r="Q56" s="96"/>
      <c r="R56" s="100" t="str">
        <f t="shared" si="6"/>
        <v/>
      </c>
      <c r="S56" s="96"/>
      <c r="T56" s="100" t="str">
        <f t="shared" si="6"/>
        <v/>
      </c>
      <c r="U56" s="96"/>
      <c r="V56" s="100" t="str">
        <f t="shared" si="6"/>
        <v/>
      </c>
      <c r="W56" s="96"/>
      <c r="X56" s="100" t="str">
        <f t="shared" si="7"/>
        <v/>
      </c>
      <c r="Y56" s="96"/>
      <c r="Z56" s="100" t="str">
        <f t="shared" si="8"/>
        <v/>
      </c>
    </row>
    <row r="57" spans="1:26" x14ac:dyDescent="0.2">
      <c r="A57" s="95"/>
      <c r="B57" s="95"/>
      <c r="C57" s="95"/>
      <c r="E57" s="97"/>
      <c r="F57" s="97"/>
      <c r="G57" s="97"/>
      <c r="I57" s="105" t="str">
        <f t="shared" si="5"/>
        <v/>
      </c>
      <c r="K57" s="95"/>
      <c r="L57" s="95"/>
      <c r="M57" s="97"/>
      <c r="N57" s="95"/>
      <c r="O57" s="96"/>
      <c r="P57" s="100" t="str">
        <f t="shared" si="6"/>
        <v/>
      </c>
      <c r="Q57" s="96"/>
      <c r="R57" s="100" t="str">
        <f t="shared" si="6"/>
        <v/>
      </c>
      <c r="S57" s="96"/>
      <c r="T57" s="100" t="str">
        <f t="shared" si="6"/>
        <v/>
      </c>
      <c r="U57" s="96"/>
      <c r="V57" s="100" t="str">
        <f t="shared" si="6"/>
        <v/>
      </c>
      <c r="W57" s="96"/>
      <c r="X57" s="100" t="str">
        <f t="shared" si="7"/>
        <v/>
      </c>
      <c r="Y57" s="96"/>
      <c r="Z57" s="100" t="str">
        <f t="shared" si="8"/>
        <v/>
      </c>
    </row>
    <row r="58" spans="1:26" x14ac:dyDescent="0.2">
      <c r="A58" s="95"/>
      <c r="B58" s="95"/>
      <c r="C58" s="95"/>
      <c r="E58" s="97"/>
      <c r="F58" s="97"/>
      <c r="G58" s="97"/>
      <c r="I58" s="105" t="str">
        <f t="shared" si="5"/>
        <v/>
      </c>
      <c r="K58" s="95"/>
      <c r="L58" s="95"/>
      <c r="M58" s="97"/>
      <c r="N58" s="95"/>
      <c r="O58" s="96"/>
      <c r="P58" s="100" t="str">
        <f t="shared" si="6"/>
        <v/>
      </c>
      <c r="Q58" s="96"/>
      <c r="R58" s="100" t="str">
        <f t="shared" si="6"/>
        <v/>
      </c>
      <c r="S58" s="96"/>
      <c r="T58" s="100" t="str">
        <f t="shared" si="6"/>
        <v/>
      </c>
      <c r="U58" s="96"/>
      <c r="V58" s="100" t="str">
        <f t="shared" si="6"/>
        <v/>
      </c>
      <c r="W58" s="96"/>
      <c r="X58" s="100" t="str">
        <f t="shared" si="7"/>
        <v/>
      </c>
      <c r="Y58" s="96"/>
      <c r="Z58" s="100" t="str">
        <f t="shared" si="8"/>
        <v/>
      </c>
    </row>
    <row r="59" spans="1:26" x14ac:dyDescent="0.2">
      <c r="A59" s="95"/>
      <c r="B59" s="95"/>
      <c r="C59" s="95"/>
      <c r="E59" s="97"/>
      <c r="F59" s="97"/>
      <c r="G59" s="97"/>
      <c r="I59" s="105" t="str">
        <f t="shared" si="5"/>
        <v/>
      </c>
      <c r="K59" s="95"/>
      <c r="L59" s="95"/>
      <c r="M59" s="97"/>
      <c r="N59" s="95"/>
      <c r="O59" s="96"/>
      <c r="P59" s="100" t="str">
        <f t="shared" si="6"/>
        <v/>
      </c>
      <c r="Q59" s="96"/>
      <c r="R59" s="100" t="str">
        <f t="shared" si="6"/>
        <v/>
      </c>
      <c r="S59" s="96"/>
      <c r="T59" s="100" t="str">
        <f t="shared" si="6"/>
        <v/>
      </c>
      <c r="U59" s="96"/>
      <c r="V59" s="100" t="str">
        <f t="shared" si="6"/>
        <v/>
      </c>
      <c r="W59" s="96"/>
      <c r="X59" s="100" t="str">
        <f t="shared" si="7"/>
        <v/>
      </c>
      <c r="Y59" s="96"/>
      <c r="Z59" s="100" t="str">
        <f t="shared" si="8"/>
        <v/>
      </c>
    </row>
    <row r="60" spans="1:26" x14ac:dyDescent="0.2">
      <c r="A60" s="95"/>
      <c r="B60" s="95"/>
      <c r="C60" s="95"/>
      <c r="E60" s="97"/>
      <c r="F60" s="97"/>
      <c r="G60" s="97"/>
      <c r="I60" s="105" t="str">
        <f t="shared" si="5"/>
        <v/>
      </c>
      <c r="K60" s="95"/>
      <c r="L60" s="95"/>
      <c r="M60" s="97"/>
      <c r="N60" s="95"/>
      <c r="O60" s="96"/>
      <c r="P60" s="100" t="str">
        <f t="shared" si="6"/>
        <v/>
      </c>
      <c r="Q60" s="96"/>
      <c r="R60" s="100" t="str">
        <f t="shared" si="6"/>
        <v/>
      </c>
      <c r="S60" s="96"/>
      <c r="T60" s="100" t="str">
        <f t="shared" si="6"/>
        <v/>
      </c>
      <c r="U60" s="96"/>
      <c r="V60" s="100" t="str">
        <f t="shared" si="6"/>
        <v/>
      </c>
      <c r="W60" s="96"/>
      <c r="X60" s="100" t="str">
        <f t="shared" si="7"/>
        <v/>
      </c>
      <c r="Y60" s="96"/>
      <c r="Z60" s="100" t="str">
        <f t="shared" si="8"/>
        <v/>
      </c>
    </row>
    <row r="61" spans="1:26" x14ac:dyDescent="0.2">
      <c r="A61" s="95"/>
      <c r="B61" s="95"/>
      <c r="C61" s="95"/>
      <c r="E61" s="97"/>
      <c r="F61" s="97"/>
      <c r="G61" s="97"/>
      <c r="I61" s="105" t="str">
        <f t="shared" si="5"/>
        <v/>
      </c>
      <c r="K61" s="95"/>
      <c r="L61" s="95"/>
      <c r="M61" s="97"/>
      <c r="N61" s="95"/>
      <c r="O61" s="96"/>
      <c r="P61" s="100" t="str">
        <f t="shared" si="6"/>
        <v/>
      </c>
      <c r="Q61" s="96"/>
      <c r="R61" s="100" t="str">
        <f t="shared" si="6"/>
        <v/>
      </c>
      <c r="S61" s="96"/>
      <c r="T61" s="100" t="str">
        <f t="shared" si="6"/>
        <v/>
      </c>
      <c r="U61" s="96"/>
      <c r="V61" s="100" t="str">
        <f t="shared" si="6"/>
        <v/>
      </c>
      <c r="W61" s="96"/>
      <c r="X61" s="100" t="str">
        <f t="shared" si="7"/>
        <v/>
      </c>
      <c r="Y61" s="96"/>
      <c r="Z61" s="100" t="str">
        <f t="shared" si="8"/>
        <v/>
      </c>
    </row>
    <row r="62" spans="1:26" x14ac:dyDescent="0.2">
      <c r="A62" s="95"/>
      <c r="B62" s="95"/>
      <c r="C62" s="95"/>
      <c r="E62" s="97"/>
      <c r="F62" s="97"/>
      <c r="G62" s="97"/>
      <c r="I62" s="105" t="str">
        <f t="shared" si="5"/>
        <v/>
      </c>
      <c r="K62" s="95"/>
      <c r="L62" s="95"/>
      <c r="M62" s="97"/>
      <c r="N62" s="95"/>
      <c r="O62" s="96"/>
      <c r="P62" s="100" t="str">
        <f t="shared" si="6"/>
        <v/>
      </c>
      <c r="Q62" s="96"/>
      <c r="R62" s="100" t="str">
        <f t="shared" si="6"/>
        <v/>
      </c>
      <c r="S62" s="96"/>
      <c r="T62" s="100" t="str">
        <f t="shared" si="6"/>
        <v/>
      </c>
      <c r="U62" s="96"/>
      <c r="V62" s="100" t="str">
        <f t="shared" si="6"/>
        <v/>
      </c>
      <c r="W62" s="96"/>
      <c r="X62" s="100" t="str">
        <f t="shared" si="7"/>
        <v/>
      </c>
      <c r="Y62" s="96"/>
      <c r="Z62" s="100" t="str">
        <f t="shared" si="8"/>
        <v/>
      </c>
    </row>
    <row r="63" spans="1:26" x14ac:dyDescent="0.2">
      <c r="A63" s="95"/>
      <c r="B63" s="95"/>
      <c r="C63" s="95"/>
      <c r="E63" s="97"/>
      <c r="F63" s="97"/>
      <c r="G63" s="97"/>
      <c r="I63" s="105" t="str">
        <f t="shared" si="5"/>
        <v/>
      </c>
      <c r="K63" s="95"/>
      <c r="L63" s="95"/>
      <c r="M63" s="97"/>
      <c r="N63" s="95"/>
      <c r="O63" s="96"/>
      <c r="P63" s="100" t="str">
        <f t="shared" si="6"/>
        <v/>
      </c>
      <c r="Q63" s="96"/>
      <c r="R63" s="100" t="str">
        <f t="shared" si="6"/>
        <v/>
      </c>
      <c r="S63" s="96"/>
      <c r="T63" s="100" t="str">
        <f t="shared" si="6"/>
        <v/>
      </c>
      <c r="U63" s="96"/>
      <c r="V63" s="100" t="str">
        <f t="shared" si="6"/>
        <v/>
      </c>
      <c r="W63" s="96"/>
      <c r="X63" s="100" t="str">
        <f t="shared" si="7"/>
        <v/>
      </c>
      <c r="Y63" s="96"/>
      <c r="Z63" s="100" t="str">
        <f t="shared" si="8"/>
        <v/>
      </c>
    </row>
    <row r="64" spans="1:26" x14ac:dyDescent="0.2">
      <c r="A64" s="95"/>
      <c r="B64" s="95"/>
      <c r="C64" s="95"/>
      <c r="E64" s="97"/>
      <c r="F64" s="97"/>
      <c r="G64" s="97"/>
      <c r="I64" s="105" t="str">
        <f t="shared" si="5"/>
        <v/>
      </c>
      <c r="K64" s="95"/>
      <c r="L64" s="95"/>
      <c r="M64" s="97"/>
      <c r="N64" s="95"/>
      <c r="O64" s="96"/>
      <c r="P64" s="100" t="str">
        <f t="shared" si="6"/>
        <v/>
      </c>
      <c r="Q64" s="96"/>
      <c r="R64" s="100" t="str">
        <f t="shared" si="6"/>
        <v/>
      </c>
      <c r="S64" s="96"/>
      <c r="T64" s="100" t="str">
        <f t="shared" si="6"/>
        <v/>
      </c>
      <c r="U64" s="96"/>
      <c r="V64" s="100" t="str">
        <f t="shared" si="6"/>
        <v/>
      </c>
      <c r="W64" s="96"/>
      <c r="X64" s="100" t="str">
        <f t="shared" si="7"/>
        <v/>
      </c>
      <c r="Y64" s="96"/>
      <c r="Z64" s="100" t="str">
        <f t="shared" si="8"/>
        <v/>
      </c>
    </row>
    <row r="65" spans="1:26" x14ac:dyDescent="0.2">
      <c r="A65" s="95"/>
      <c r="B65" s="95"/>
      <c r="C65" s="95"/>
      <c r="E65" s="97"/>
      <c r="F65" s="97"/>
      <c r="G65" s="97"/>
      <c r="I65" s="105" t="str">
        <f t="shared" si="5"/>
        <v/>
      </c>
      <c r="K65" s="95"/>
      <c r="L65" s="95"/>
      <c r="M65" s="97"/>
      <c r="N65" s="95"/>
      <c r="O65" s="96"/>
      <c r="P65" s="100" t="str">
        <f t="shared" si="6"/>
        <v/>
      </c>
      <c r="Q65" s="96"/>
      <c r="R65" s="100" t="str">
        <f t="shared" si="6"/>
        <v/>
      </c>
      <c r="S65" s="96"/>
      <c r="T65" s="100" t="str">
        <f t="shared" si="6"/>
        <v/>
      </c>
      <c r="U65" s="96"/>
      <c r="V65" s="100" t="str">
        <f t="shared" si="6"/>
        <v/>
      </c>
      <c r="W65" s="96"/>
      <c r="X65" s="100" t="str">
        <f t="shared" si="7"/>
        <v/>
      </c>
      <c r="Y65" s="96"/>
      <c r="Z65" s="100" t="str">
        <f t="shared" si="8"/>
        <v/>
      </c>
    </row>
    <row r="66" spans="1:26" x14ac:dyDescent="0.2">
      <c r="A66" s="95"/>
      <c r="B66" s="95"/>
      <c r="C66" s="95"/>
      <c r="E66" s="97"/>
      <c r="F66" s="97"/>
      <c r="G66" s="97"/>
      <c r="I66" s="105" t="str">
        <f t="shared" si="5"/>
        <v/>
      </c>
      <c r="K66" s="95"/>
      <c r="L66" s="95"/>
      <c r="M66" s="97"/>
      <c r="N66" s="95"/>
      <c r="O66" s="96"/>
      <c r="P66" s="100" t="str">
        <f t="shared" si="6"/>
        <v/>
      </c>
      <c r="Q66" s="96"/>
      <c r="R66" s="100" t="str">
        <f t="shared" si="6"/>
        <v/>
      </c>
      <c r="S66" s="96"/>
      <c r="T66" s="100" t="str">
        <f t="shared" si="6"/>
        <v/>
      </c>
      <c r="U66" s="96"/>
      <c r="V66" s="100" t="str">
        <f t="shared" si="6"/>
        <v/>
      </c>
      <c r="W66" s="96"/>
      <c r="X66" s="100" t="str">
        <f t="shared" si="7"/>
        <v/>
      </c>
      <c r="Y66" s="96"/>
      <c r="Z66" s="100" t="str">
        <f t="shared" si="8"/>
        <v/>
      </c>
    </row>
    <row r="67" spans="1:26" x14ac:dyDescent="0.2">
      <c r="A67" s="95"/>
      <c r="B67" s="95"/>
      <c r="C67" s="95"/>
      <c r="E67" s="97"/>
      <c r="F67" s="97"/>
      <c r="G67" s="97"/>
      <c r="I67" s="105" t="str">
        <f t="shared" si="5"/>
        <v/>
      </c>
      <c r="K67" s="95"/>
      <c r="L67" s="95"/>
      <c r="M67" s="97"/>
      <c r="N67" s="95"/>
      <c r="O67" s="96"/>
      <c r="P67" s="100" t="str">
        <f t="shared" si="6"/>
        <v/>
      </c>
      <c r="Q67" s="96"/>
      <c r="R67" s="100" t="str">
        <f t="shared" si="6"/>
        <v/>
      </c>
      <c r="S67" s="96"/>
      <c r="T67" s="100" t="str">
        <f t="shared" si="6"/>
        <v/>
      </c>
      <c r="U67" s="96"/>
      <c r="V67" s="100" t="str">
        <f t="shared" si="6"/>
        <v/>
      </c>
      <c r="W67" s="96"/>
      <c r="X67" s="100" t="str">
        <f t="shared" si="7"/>
        <v/>
      </c>
      <c r="Y67" s="96"/>
      <c r="Z67" s="100" t="str">
        <f t="shared" si="8"/>
        <v/>
      </c>
    </row>
    <row r="68" spans="1:26" x14ac:dyDescent="0.2">
      <c r="A68" s="95"/>
      <c r="B68" s="95"/>
      <c r="C68" s="95"/>
      <c r="E68" s="97"/>
      <c r="F68" s="97"/>
      <c r="G68" s="97"/>
      <c r="I68" s="105" t="str">
        <f t="shared" si="5"/>
        <v/>
      </c>
      <c r="K68" s="95"/>
      <c r="L68" s="95"/>
      <c r="M68" s="97"/>
      <c r="N68" s="95"/>
      <c r="O68" s="96"/>
      <c r="P68" s="100" t="str">
        <f t="shared" si="6"/>
        <v/>
      </c>
      <c r="Q68" s="96"/>
      <c r="R68" s="100" t="str">
        <f t="shared" si="6"/>
        <v/>
      </c>
      <c r="S68" s="96"/>
      <c r="T68" s="100" t="str">
        <f t="shared" si="6"/>
        <v/>
      </c>
      <c r="U68" s="96"/>
      <c r="V68" s="100" t="str">
        <f t="shared" si="6"/>
        <v/>
      </c>
      <c r="W68" s="96"/>
      <c r="X68" s="100" t="str">
        <f t="shared" si="7"/>
        <v/>
      </c>
      <c r="Y68" s="96"/>
      <c r="Z68" s="100" t="str">
        <f t="shared" si="8"/>
        <v/>
      </c>
    </row>
    <row r="69" spans="1:26" x14ac:dyDescent="0.2">
      <c r="A69" s="95"/>
      <c r="B69" s="95"/>
      <c r="C69" s="95"/>
      <c r="E69" s="97"/>
      <c r="F69" s="97"/>
      <c r="G69" s="97"/>
      <c r="I69" s="105" t="str">
        <f t="shared" si="5"/>
        <v/>
      </c>
      <c r="K69" s="95"/>
      <c r="L69" s="95"/>
      <c r="M69" s="97"/>
      <c r="N69" s="95"/>
      <c r="O69" s="96"/>
      <c r="P69" s="100" t="str">
        <f t="shared" si="6"/>
        <v/>
      </c>
      <c r="Q69" s="96"/>
      <c r="R69" s="100" t="str">
        <f t="shared" si="6"/>
        <v/>
      </c>
      <c r="S69" s="96"/>
      <c r="T69" s="100" t="str">
        <f t="shared" si="6"/>
        <v/>
      </c>
      <c r="U69" s="96"/>
      <c r="V69" s="100" t="str">
        <f t="shared" si="6"/>
        <v/>
      </c>
      <c r="W69" s="96"/>
      <c r="X69" s="100" t="str">
        <f t="shared" si="7"/>
        <v/>
      </c>
      <c r="Y69" s="96"/>
      <c r="Z69" s="100" t="str">
        <f t="shared" si="8"/>
        <v/>
      </c>
    </row>
    <row r="70" spans="1:26" x14ac:dyDescent="0.2">
      <c r="A70" s="95"/>
      <c r="B70" s="95"/>
      <c r="C70" s="95"/>
      <c r="E70" s="97"/>
      <c r="F70" s="97"/>
      <c r="G70" s="97"/>
      <c r="I70" s="105" t="str">
        <f t="shared" si="5"/>
        <v/>
      </c>
      <c r="K70" s="95"/>
      <c r="L70" s="95"/>
      <c r="M70" s="97"/>
      <c r="N70" s="95"/>
      <c r="O70" s="96"/>
      <c r="P70" s="100" t="str">
        <f t="shared" si="6"/>
        <v/>
      </c>
      <c r="Q70" s="96"/>
      <c r="R70" s="100" t="str">
        <f t="shared" si="6"/>
        <v/>
      </c>
      <c r="S70" s="96"/>
      <c r="T70" s="100" t="str">
        <f t="shared" si="6"/>
        <v/>
      </c>
      <c r="U70" s="96"/>
      <c r="V70" s="100" t="str">
        <f t="shared" si="6"/>
        <v/>
      </c>
      <c r="W70" s="96"/>
      <c r="X70" s="100" t="str">
        <f t="shared" si="7"/>
        <v/>
      </c>
      <c r="Y70" s="96"/>
      <c r="Z70" s="100" t="str">
        <f t="shared" si="8"/>
        <v/>
      </c>
    </row>
    <row r="71" spans="1:26" x14ac:dyDescent="0.2">
      <c r="A71" s="95"/>
      <c r="B71" s="95"/>
      <c r="C71" s="95"/>
      <c r="E71" s="97"/>
      <c r="F71" s="97"/>
      <c r="G71" s="97"/>
      <c r="I71" s="105" t="str">
        <f t="shared" si="5"/>
        <v/>
      </c>
      <c r="K71" s="95"/>
      <c r="L71" s="95"/>
      <c r="M71" s="97"/>
      <c r="N71" s="95"/>
      <c r="O71" s="96"/>
      <c r="P71" s="100" t="str">
        <f t="shared" si="6"/>
        <v/>
      </c>
      <c r="Q71" s="96"/>
      <c r="R71" s="100" t="str">
        <f t="shared" si="6"/>
        <v/>
      </c>
      <c r="S71" s="96"/>
      <c r="T71" s="100" t="str">
        <f t="shared" si="6"/>
        <v/>
      </c>
      <c r="U71" s="96"/>
      <c r="V71" s="100" t="str">
        <f t="shared" si="6"/>
        <v/>
      </c>
      <c r="W71" s="96"/>
      <c r="X71" s="100" t="str">
        <f t="shared" si="7"/>
        <v/>
      </c>
      <c r="Y71" s="96"/>
      <c r="Z71" s="100" t="str">
        <f t="shared" si="8"/>
        <v/>
      </c>
    </row>
    <row r="72" spans="1:26" x14ac:dyDescent="0.2">
      <c r="A72" s="95"/>
      <c r="B72" s="95"/>
      <c r="C72" s="95"/>
      <c r="E72" s="97"/>
      <c r="F72" s="97"/>
      <c r="G72" s="97"/>
      <c r="I72" s="105" t="str">
        <f t="shared" si="5"/>
        <v/>
      </c>
      <c r="K72" s="95"/>
      <c r="L72" s="95"/>
      <c r="M72" s="97"/>
      <c r="N72" s="95"/>
      <c r="O72" s="96"/>
      <c r="P72" s="100" t="str">
        <f t="shared" si="6"/>
        <v/>
      </c>
      <c r="Q72" s="96"/>
      <c r="R72" s="100" t="str">
        <f t="shared" si="6"/>
        <v/>
      </c>
      <c r="S72" s="96"/>
      <c r="T72" s="100" t="str">
        <f t="shared" si="6"/>
        <v/>
      </c>
      <c r="U72" s="96"/>
      <c r="V72" s="100" t="str">
        <f t="shared" si="6"/>
        <v/>
      </c>
      <c r="W72" s="96"/>
      <c r="X72" s="100" t="str">
        <f t="shared" si="7"/>
        <v/>
      </c>
      <c r="Y72" s="96"/>
      <c r="Z72" s="100" t="str">
        <f t="shared" si="8"/>
        <v/>
      </c>
    </row>
    <row r="73" spans="1:26" x14ac:dyDescent="0.2">
      <c r="A73" s="95"/>
      <c r="B73" s="95"/>
      <c r="C73" s="95"/>
      <c r="E73" s="97"/>
      <c r="F73" s="97"/>
      <c r="G73" s="97"/>
      <c r="I73" s="105" t="str">
        <f t="shared" si="5"/>
        <v/>
      </c>
      <c r="K73" s="95"/>
      <c r="L73" s="95"/>
      <c r="M73" s="97"/>
      <c r="N73" s="95"/>
      <c r="O73" s="96"/>
      <c r="P73" s="100" t="str">
        <f t="shared" si="6"/>
        <v/>
      </c>
      <c r="Q73" s="96"/>
      <c r="R73" s="100" t="str">
        <f t="shared" si="6"/>
        <v/>
      </c>
      <c r="S73" s="96"/>
      <c r="T73" s="100" t="str">
        <f t="shared" si="6"/>
        <v/>
      </c>
      <c r="U73" s="96"/>
      <c r="V73" s="100" t="str">
        <f t="shared" si="6"/>
        <v/>
      </c>
      <c r="W73" s="96"/>
      <c r="X73" s="100" t="str">
        <f t="shared" si="7"/>
        <v/>
      </c>
      <c r="Y73" s="96"/>
      <c r="Z73" s="100" t="str">
        <f t="shared" si="8"/>
        <v/>
      </c>
    </row>
    <row r="74" spans="1:26" x14ac:dyDescent="0.2">
      <c r="A74" s="95"/>
      <c r="B74" s="95"/>
      <c r="C74" s="95"/>
      <c r="E74" s="97"/>
      <c r="F74" s="97"/>
      <c r="G74" s="97"/>
      <c r="I74" s="105" t="str">
        <f t="shared" si="5"/>
        <v/>
      </c>
      <c r="K74" s="95"/>
      <c r="L74" s="95"/>
      <c r="M74" s="97"/>
      <c r="N74" s="95"/>
      <c r="O74" s="96"/>
      <c r="P74" s="100" t="str">
        <f t="shared" si="6"/>
        <v/>
      </c>
      <c r="Q74" s="96"/>
      <c r="R74" s="100" t="str">
        <f t="shared" si="6"/>
        <v/>
      </c>
      <c r="S74" s="96"/>
      <c r="T74" s="100" t="str">
        <f t="shared" si="6"/>
        <v/>
      </c>
      <c r="U74" s="96"/>
      <c r="V74" s="100" t="str">
        <f t="shared" si="6"/>
        <v/>
      </c>
      <c r="W74" s="96"/>
      <c r="X74" s="100" t="str">
        <f t="shared" si="7"/>
        <v/>
      </c>
      <c r="Y74" s="96"/>
      <c r="Z74" s="100" t="str">
        <f t="shared" si="8"/>
        <v/>
      </c>
    </row>
    <row r="75" spans="1:26" x14ac:dyDescent="0.2">
      <c r="A75" s="95"/>
      <c r="B75" s="95"/>
      <c r="C75" s="95"/>
      <c r="E75" s="97"/>
      <c r="F75" s="97"/>
      <c r="G75" s="97"/>
      <c r="I75" s="105" t="str">
        <f t="shared" si="5"/>
        <v/>
      </c>
      <c r="K75" s="95"/>
      <c r="L75" s="95"/>
      <c r="M75" s="97"/>
      <c r="N75" s="95"/>
      <c r="O75" s="96"/>
      <c r="P75" s="100" t="str">
        <f t="shared" si="6"/>
        <v/>
      </c>
      <c r="Q75" s="96"/>
      <c r="R75" s="100" t="str">
        <f t="shared" si="6"/>
        <v/>
      </c>
      <c r="S75" s="96"/>
      <c r="T75" s="100" t="str">
        <f t="shared" si="6"/>
        <v/>
      </c>
      <c r="U75" s="96"/>
      <c r="V75" s="100" t="str">
        <f t="shared" si="6"/>
        <v/>
      </c>
      <c r="W75" s="96"/>
      <c r="X75" s="100" t="str">
        <f t="shared" si="7"/>
        <v/>
      </c>
      <c r="Y75" s="96"/>
      <c r="Z75" s="100" t="str">
        <f t="shared" si="8"/>
        <v/>
      </c>
    </row>
    <row r="76" spans="1:26" x14ac:dyDescent="0.2">
      <c r="A76" s="95"/>
      <c r="B76" s="95"/>
      <c r="C76" s="95"/>
      <c r="E76" s="97"/>
      <c r="F76" s="97"/>
      <c r="G76" s="97"/>
      <c r="I76" s="105" t="str">
        <f t="shared" si="5"/>
        <v/>
      </c>
      <c r="K76" s="95"/>
      <c r="L76" s="95"/>
      <c r="M76" s="97"/>
      <c r="N76" s="95"/>
      <c r="O76" s="96"/>
      <c r="P76" s="100" t="str">
        <f t="shared" si="6"/>
        <v/>
      </c>
      <c r="Q76" s="96"/>
      <c r="R76" s="100" t="str">
        <f t="shared" si="6"/>
        <v/>
      </c>
      <c r="S76" s="96"/>
      <c r="T76" s="100" t="str">
        <f t="shared" si="6"/>
        <v/>
      </c>
      <c r="U76" s="96"/>
      <c r="V76" s="100" t="str">
        <f t="shared" si="6"/>
        <v/>
      </c>
      <c r="W76" s="96"/>
      <c r="X76" s="100" t="str">
        <f t="shared" si="7"/>
        <v/>
      </c>
      <c r="Y76" s="96"/>
      <c r="Z76" s="100" t="str">
        <f t="shared" si="8"/>
        <v/>
      </c>
    </row>
    <row r="77" spans="1:26" x14ac:dyDescent="0.2">
      <c r="A77" s="95"/>
      <c r="B77" s="95"/>
      <c r="C77" s="95"/>
      <c r="E77" s="97"/>
      <c r="F77" s="97"/>
      <c r="G77" s="97"/>
      <c r="I77" s="105" t="str">
        <f t="shared" si="5"/>
        <v/>
      </c>
      <c r="K77" s="95"/>
      <c r="L77" s="95"/>
      <c r="M77" s="97"/>
      <c r="N77" s="95"/>
      <c r="O77" s="96"/>
      <c r="P77" s="100" t="str">
        <f t="shared" si="6"/>
        <v/>
      </c>
      <c r="Q77" s="96"/>
      <c r="R77" s="100" t="str">
        <f t="shared" si="6"/>
        <v/>
      </c>
      <c r="S77" s="96"/>
      <c r="T77" s="100" t="str">
        <f t="shared" si="6"/>
        <v/>
      </c>
      <c r="U77" s="96"/>
      <c r="V77" s="100" t="str">
        <f t="shared" si="6"/>
        <v/>
      </c>
      <c r="W77" s="96"/>
      <c r="X77" s="100" t="str">
        <f t="shared" si="7"/>
        <v/>
      </c>
      <c r="Y77" s="96"/>
      <c r="Z77" s="100" t="str">
        <f t="shared" si="8"/>
        <v/>
      </c>
    </row>
    <row r="78" spans="1:26" x14ac:dyDescent="0.2">
      <c r="A78" s="95"/>
      <c r="B78" s="95"/>
      <c r="C78" s="95"/>
      <c r="E78" s="97"/>
      <c r="F78" s="97"/>
      <c r="G78" s="97"/>
      <c r="I78" s="105" t="str">
        <f t="shared" si="5"/>
        <v/>
      </c>
      <c r="K78" s="95"/>
      <c r="L78" s="95"/>
      <c r="M78" s="97"/>
      <c r="N78" s="95"/>
      <c r="O78" s="96"/>
      <c r="P78" s="100" t="str">
        <f t="shared" si="6"/>
        <v/>
      </c>
      <c r="Q78" s="96"/>
      <c r="R78" s="100" t="str">
        <f t="shared" si="6"/>
        <v/>
      </c>
      <c r="S78" s="96"/>
      <c r="T78" s="100" t="str">
        <f t="shared" si="6"/>
        <v/>
      </c>
      <c r="U78" s="96"/>
      <c r="V78" s="100" t="str">
        <f t="shared" si="6"/>
        <v/>
      </c>
      <c r="W78" s="96"/>
      <c r="X78" s="100" t="str">
        <f t="shared" si="7"/>
        <v/>
      </c>
      <c r="Y78" s="96"/>
      <c r="Z78" s="100" t="str">
        <f t="shared" si="8"/>
        <v/>
      </c>
    </row>
    <row r="79" spans="1:26" x14ac:dyDescent="0.2">
      <c r="A79" s="95"/>
      <c r="B79" s="95"/>
      <c r="C79" s="95"/>
      <c r="E79" s="97"/>
      <c r="F79" s="97"/>
      <c r="G79" s="97"/>
      <c r="I79" s="105" t="str">
        <f t="shared" si="5"/>
        <v/>
      </c>
      <c r="K79" s="95"/>
      <c r="L79" s="95"/>
      <c r="M79" s="97"/>
      <c r="N79" s="95"/>
      <c r="O79" s="96"/>
      <c r="P79" s="100" t="str">
        <f t="shared" si="6"/>
        <v/>
      </c>
      <c r="Q79" s="96"/>
      <c r="R79" s="100" t="str">
        <f t="shared" si="6"/>
        <v/>
      </c>
      <c r="S79" s="96"/>
      <c r="T79" s="100" t="str">
        <f t="shared" si="6"/>
        <v/>
      </c>
      <c r="U79" s="96"/>
      <c r="V79" s="100" t="str">
        <f t="shared" si="6"/>
        <v/>
      </c>
      <c r="W79" s="96"/>
      <c r="X79" s="100" t="str">
        <f t="shared" si="7"/>
        <v/>
      </c>
      <c r="Y79" s="96"/>
      <c r="Z79" s="100" t="str">
        <f t="shared" si="8"/>
        <v/>
      </c>
    </row>
    <row r="80" spans="1:26" x14ac:dyDescent="0.2">
      <c r="A80" s="95"/>
      <c r="B80" s="95"/>
      <c r="C80" s="95"/>
      <c r="E80" s="97"/>
      <c r="F80" s="97"/>
      <c r="G80" s="97"/>
      <c r="I80" s="105" t="str">
        <f t="shared" si="5"/>
        <v/>
      </c>
      <c r="K80" s="95"/>
      <c r="L80" s="95"/>
      <c r="M80" s="97"/>
      <c r="N80" s="95"/>
      <c r="O80" s="96"/>
      <c r="P80" s="100" t="str">
        <f t="shared" si="6"/>
        <v/>
      </c>
      <c r="Q80" s="96"/>
      <c r="R80" s="100" t="str">
        <f t="shared" si="6"/>
        <v/>
      </c>
      <c r="S80" s="96"/>
      <c r="T80" s="100" t="str">
        <f t="shared" si="6"/>
        <v/>
      </c>
      <c r="U80" s="96"/>
      <c r="V80" s="100" t="str">
        <f t="shared" si="6"/>
        <v/>
      </c>
      <c r="W80" s="96"/>
      <c r="X80" s="100" t="str">
        <f t="shared" si="7"/>
        <v/>
      </c>
      <c r="Y80" s="96"/>
      <c r="Z80" s="100" t="str">
        <f t="shared" si="8"/>
        <v/>
      </c>
    </row>
    <row r="81" spans="1:26" x14ac:dyDescent="0.2">
      <c r="A81" s="95"/>
      <c r="B81" s="95"/>
      <c r="C81" s="95"/>
      <c r="E81" s="97"/>
      <c r="F81" s="97"/>
      <c r="G81" s="97"/>
      <c r="I81" s="105" t="str">
        <f t="shared" si="5"/>
        <v/>
      </c>
      <c r="K81" s="95"/>
      <c r="L81" s="95"/>
      <c r="M81" s="97"/>
      <c r="N81" s="95"/>
      <c r="O81" s="96"/>
      <c r="P81" s="100" t="str">
        <f t="shared" si="6"/>
        <v/>
      </c>
      <c r="Q81" s="96"/>
      <c r="R81" s="100" t="str">
        <f t="shared" si="6"/>
        <v/>
      </c>
      <c r="S81" s="96"/>
      <c r="T81" s="100" t="str">
        <f t="shared" si="6"/>
        <v/>
      </c>
      <c r="U81" s="96"/>
      <c r="V81" s="100" t="str">
        <f t="shared" si="6"/>
        <v/>
      </c>
      <c r="W81" s="96"/>
      <c r="X81" s="100" t="str">
        <f t="shared" si="7"/>
        <v/>
      </c>
      <c r="Y81" s="96"/>
      <c r="Z81" s="100" t="str">
        <f t="shared" si="8"/>
        <v/>
      </c>
    </row>
    <row r="82" spans="1:26" x14ac:dyDescent="0.2">
      <c r="A82" s="95"/>
      <c r="B82" s="95"/>
      <c r="C82" s="95"/>
      <c r="E82" s="97"/>
      <c r="F82" s="97"/>
      <c r="G82" s="97"/>
      <c r="I82" s="105" t="str">
        <f t="shared" si="5"/>
        <v/>
      </c>
      <c r="K82" s="95"/>
      <c r="L82" s="95"/>
      <c r="M82" s="97"/>
      <c r="N82" s="95"/>
      <c r="O82" s="96"/>
      <c r="P82" s="100" t="str">
        <f t="shared" si="6"/>
        <v/>
      </c>
      <c r="Q82" s="96"/>
      <c r="R82" s="100" t="str">
        <f t="shared" si="6"/>
        <v/>
      </c>
      <c r="S82" s="96"/>
      <c r="T82" s="100" t="str">
        <f t="shared" si="6"/>
        <v/>
      </c>
      <c r="U82" s="96"/>
      <c r="V82" s="100" t="str">
        <f t="shared" si="6"/>
        <v/>
      </c>
      <c r="W82" s="96"/>
      <c r="X82" s="100" t="str">
        <f t="shared" si="7"/>
        <v/>
      </c>
      <c r="Y82" s="96"/>
      <c r="Z82" s="100" t="str">
        <f t="shared" si="8"/>
        <v/>
      </c>
    </row>
    <row r="83" spans="1:26" x14ac:dyDescent="0.2">
      <c r="A83" s="95"/>
      <c r="B83" s="95"/>
      <c r="C83" s="95"/>
      <c r="E83" s="97"/>
      <c r="F83" s="97"/>
      <c r="G83" s="97"/>
      <c r="I83" s="105" t="str">
        <f t="shared" si="5"/>
        <v/>
      </c>
      <c r="K83" s="95"/>
      <c r="L83" s="95"/>
      <c r="M83" s="97"/>
      <c r="N83" s="95"/>
      <c r="O83" s="96"/>
      <c r="P83" s="100" t="str">
        <f t="shared" si="6"/>
        <v/>
      </c>
      <c r="Q83" s="96"/>
      <c r="R83" s="100" t="str">
        <f t="shared" si="6"/>
        <v/>
      </c>
      <c r="S83" s="96"/>
      <c r="T83" s="100" t="str">
        <f t="shared" si="6"/>
        <v/>
      </c>
      <c r="U83" s="96"/>
      <c r="V83" s="100" t="str">
        <f t="shared" si="6"/>
        <v/>
      </c>
      <c r="W83" s="96"/>
      <c r="X83" s="100" t="str">
        <f t="shared" si="7"/>
        <v/>
      </c>
      <c r="Y83" s="96"/>
      <c r="Z83" s="100" t="str">
        <f t="shared" si="8"/>
        <v/>
      </c>
    </row>
    <row r="84" spans="1:26" x14ac:dyDescent="0.2">
      <c r="A84" s="95"/>
      <c r="B84" s="95"/>
      <c r="C84" s="95"/>
      <c r="E84" s="97"/>
      <c r="F84" s="97"/>
      <c r="G84" s="97"/>
      <c r="I84" s="105" t="str">
        <f t="shared" si="5"/>
        <v/>
      </c>
      <c r="K84" s="95"/>
      <c r="L84" s="95"/>
      <c r="M84" s="97"/>
      <c r="N84" s="95"/>
      <c r="O84" s="96"/>
      <c r="P84" s="100" t="str">
        <f t="shared" si="6"/>
        <v/>
      </c>
      <c r="Q84" s="96"/>
      <c r="R84" s="100" t="str">
        <f t="shared" si="6"/>
        <v/>
      </c>
      <c r="S84" s="96"/>
      <c r="T84" s="100" t="str">
        <f t="shared" si="6"/>
        <v/>
      </c>
      <c r="U84" s="96"/>
      <c r="V84" s="100" t="str">
        <f t="shared" ref="V84:V144" si="9">IF($L84="","",layerCost(IF($N84="",V$8,$N84),V$4,V$5,$L84)*MAX($K84,1)*IF($M84="",V$7,$M84)/100)</f>
        <v/>
      </c>
      <c r="W84" s="96"/>
      <c r="X84" s="100" t="str">
        <f t="shared" si="7"/>
        <v/>
      </c>
      <c r="Y84" s="96"/>
      <c r="Z84" s="100" t="str">
        <f t="shared" si="8"/>
        <v/>
      </c>
    </row>
    <row r="85" spans="1:26" x14ac:dyDescent="0.2">
      <c r="A85" s="95"/>
      <c r="B85" s="95"/>
      <c r="C85" s="95"/>
      <c r="E85" s="97"/>
      <c r="F85" s="97"/>
      <c r="G85" s="97"/>
      <c r="I85" s="105" t="str">
        <f t="shared" ref="I85:I144" si="10">IF(SUM($A85:$C85)=0,"",SUMPRODUCT($A85:$C85,$E85:$G85)/SUM($A85:$C85))</f>
        <v/>
      </c>
      <c r="K85" s="95"/>
      <c r="L85" s="95"/>
      <c r="M85" s="97"/>
      <c r="N85" s="95"/>
      <c r="O85" s="96"/>
      <c r="P85" s="100" t="str">
        <f t="shared" ref="P85:X144" si="11">IF($L85="","",layerCost(IF($N85="",P$8,$N85),P$4,P$5,$L85)*MAX($K85,1)*IF($M85="",P$7,$M85)/100)</f>
        <v/>
      </c>
      <c r="Q85" s="96"/>
      <c r="R85" s="100" t="str">
        <f t="shared" si="11"/>
        <v/>
      </c>
      <c r="S85" s="96"/>
      <c r="T85" s="100" t="str">
        <f t="shared" si="11"/>
        <v/>
      </c>
      <c r="U85" s="96"/>
      <c r="V85" s="100" t="str">
        <f t="shared" si="11"/>
        <v/>
      </c>
      <c r="W85" s="96"/>
      <c r="X85" s="100" t="str">
        <f t="shared" si="11"/>
        <v/>
      </c>
      <c r="Y85" s="96"/>
      <c r="Z85" s="100" t="str">
        <f t="shared" ref="Z85:Z144" si="12">IF($L85="","",layerCost(IF($N85="",Z$8,$N85),Z$4,Z$5,$L85)*MAX($K85,1)*IF($M85="",Z$7,$M85)/100)</f>
        <v/>
      </c>
    </row>
    <row r="86" spans="1:26" x14ac:dyDescent="0.2">
      <c r="A86" s="95"/>
      <c r="B86" s="95"/>
      <c r="C86" s="95"/>
      <c r="E86" s="97"/>
      <c r="F86" s="97"/>
      <c r="G86" s="97"/>
      <c r="I86" s="105" t="str">
        <f t="shared" si="10"/>
        <v/>
      </c>
      <c r="K86" s="95"/>
      <c r="L86" s="95"/>
      <c r="M86" s="97"/>
      <c r="N86" s="95"/>
      <c r="O86" s="96"/>
      <c r="P86" s="100" t="str">
        <f t="shared" si="11"/>
        <v/>
      </c>
      <c r="Q86" s="96"/>
      <c r="R86" s="100" t="str">
        <f t="shared" si="11"/>
        <v/>
      </c>
      <c r="S86" s="96"/>
      <c r="T86" s="100" t="str">
        <f t="shared" si="11"/>
        <v/>
      </c>
      <c r="U86" s="96"/>
      <c r="V86" s="100" t="str">
        <f t="shared" si="11"/>
        <v/>
      </c>
      <c r="W86" s="96"/>
      <c r="X86" s="100" t="str">
        <f t="shared" si="11"/>
        <v/>
      </c>
      <c r="Y86" s="96"/>
      <c r="Z86" s="100" t="str">
        <f t="shared" si="12"/>
        <v/>
      </c>
    </row>
    <row r="87" spans="1:26" x14ac:dyDescent="0.2">
      <c r="A87" s="95"/>
      <c r="B87" s="95"/>
      <c r="C87" s="95"/>
      <c r="E87" s="97"/>
      <c r="F87" s="97"/>
      <c r="G87" s="97"/>
      <c r="I87" s="105" t="str">
        <f t="shared" si="10"/>
        <v/>
      </c>
      <c r="K87" s="95"/>
      <c r="L87" s="95"/>
      <c r="M87" s="97"/>
      <c r="N87" s="95"/>
      <c r="O87" s="96"/>
      <c r="P87" s="100" t="str">
        <f t="shared" si="11"/>
        <v/>
      </c>
      <c r="Q87" s="96"/>
      <c r="R87" s="100" t="str">
        <f t="shared" si="11"/>
        <v/>
      </c>
      <c r="S87" s="96"/>
      <c r="T87" s="100" t="str">
        <f t="shared" si="11"/>
        <v/>
      </c>
      <c r="U87" s="96"/>
      <c r="V87" s="100" t="str">
        <f t="shared" si="11"/>
        <v/>
      </c>
      <c r="W87" s="96"/>
      <c r="X87" s="100" t="str">
        <f t="shared" si="11"/>
        <v/>
      </c>
      <c r="Y87" s="96"/>
      <c r="Z87" s="100" t="str">
        <f t="shared" si="12"/>
        <v/>
      </c>
    </row>
    <row r="88" spans="1:26" x14ac:dyDescent="0.2">
      <c r="A88" s="95"/>
      <c r="B88" s="95"/>
      <c r="C88" s="95"/>
      <c r="E88" s="97"/>
      <c r="F88" s="97"/>
      <c r="G88" s="97"/>
      <c r="I88" s="105" t="str">
        <f t="shared" si="10"/>
        <v/>
      </c>
      <c r="K88" s="95"/>
      <c r="L88" s="95"/>
      <c r="M88" s="97"/>
      <c r="N88" s="95"/>
      <c r="O88" s="96"/>
      <c r="P88" s="100" t="str">
        <f t="shared" si="11"/>
        <v/>
      </c>
      <c r="Q88" s="96"/>
      <c r="R88" s="100" t="str">
        <f t="shared" si="11"/>
        <v/>
      </c>
      <c r="S88" s="96"/>
      <c r="T88" s="100" t="str">
        <f t="shared" si="11"/>
        <v/>
      </c>
      <c r="U88" s="96"/>
      <c r="V88" s="100" t="str">
        <f t="shared" si="11"/>
        <v/>
      </c>
      <c r="W88" s="96"/>
      <c r="X88" s="100" t="str">
        <f t="shared" si="11"/>
        <v/>
      </c>
      <c r="Y88" s="96"/>
      <c r="Z88" s="100" t="str">
        <f t="shared" si="12"/>
        <v/>
      </c>
    </row>
    <row r="89" spans="1:26" x14ac:dyDescent="0.2">
      <c r="A89" s="95"/>
      <c r="B89" s="95"/>
      <c r="C89" s="95"/>
      <c r="E89" s="97"/>
      <c r="F89" s="97"/>
      <c r="G89" s="97"/>
      <c r="I89" s="105" t="str">
        <f t="shared" si="10"/>
        <v/>
      </c>
      <c r="K89" s="95"/>
      <c r="L89" s="95"/>
      <c r="M89" s="97"/>
      <c r="N89" s="95"/>
      <c r="O89" s="96"/>
      <c r="P89" s="100" t="str">
        <f t="shared" si="11"/>
        <v/>
      </c>
      <c r="Q89" s="96"/>
      <c r="R89" s="100" t="str">
        <f t="shared" si="11"/>
        <v/>
      </c>
      <c r="S89" s="96"/>
      <c r="T89" s="100" t="str">
        <f t="shared" si="11"/>
        <v/>
      </c>
      <c r="U89" s="96"/>
      <c r="V89" s="100" t="str">
        <f t="shared" si="11"/>
        <v/>
      </c>
      <c r="W89" s="96"/>
      <c r="X89" s="100" t="str">
        <f t="shared" si="11"/>
        <v/>
      </c>
      <c r="Y89" s="96"/>
      <c r="Z89" s="100" t="str">
        <f t="shared" si="12"/>
        <v/>
      </c>
    </row>
    <row r="90" spans="1:26" x14ac:dyDescent="0.2">
      <c r="A90" s="95"/>
      <c r="B90" s="95"/>
      <c r="C90" s="95"/>
      <c r="E90" s="97"/>
      <c r="F90" s="97"/>
      <c r="G90" s="97"/>
      <c r="I90" s="105" t="str">
        <f t="shared" si="10"/>
        <v/>
      </c>
      <c r="K90" s="95"/>
      <c r="L90" s="95"/>
      <c r="M90" s="97"/>
      <c r="N90" s="95"/>
      <c r="O90" s="96"/>
      <c r="P90" s="100" t="str">
        <f t="shared" si="11"/>
        <v/>
      </c>
      <c r="Q90" s="96"/>
      <c r="R90" s="100" t="str">
        <f t="shared" si="11"/>
        <v/>
      </c>
      <c r="S90" s="96"/>
      <c r="T90" s="100" t="str">
        <f t="shared" si="11"/>
        <v/>
      </c>
      <c r="U90" s="96"/>
      <c r="V90" s="100" t="str">
        <f t="shared" si="11"/>
        <v/>
      </c>
      <c r="W90" s="96"/>
      <c r="X90" s="100" t="str">
        <f t="shared" si="11"/>
        <v/>
      </c>
      <c r="Y90" s="96"/>
      <c r="Z90" s="100" t="str">
        <f t="shared" si="12"/>
        <v/>
      </c>
    </row>
    <row r="91" spans="1:26" x14ac:dyDescent="0.2">
      <c r="A91" s="95"/>
      <c r="B91" s="95"/>
      <c r="C91" s="95"/>
      <c r="E91" s="97"/>
      <c r="F91" s="97"/>
      <c r="G91" s="97"/>
      <c r="I91" s="105" t="str">
        <f t="shared" si="10"/>
        <v/>
      </c>
      <c r="K91" s="95"/>
      <c r="L91" s="95"/>
      <c r="M91" s="97"/>
      <c r="N91" s="95"/>
      <c r="O91" s="96"/>
      <c r="P91" s="100" t="str">
        <f t="shared" si="11"/>
        <v/>
      </c>
      <c r="Q91" s="96"/>
      <c r="R91" s="100" t="str">
        <f t="shared" si="11"/>
        <v/>
      </c>
      <c r="S91" s="96"/>
      <c r="T91" s="100" t="str">
        <f t="shared" si="11"/>
        <v/>
      </c>
      <c r="U91" s="96"/>
      <c r="V91" s="100" t="str">
        <f t="shared" si="11"/>
        <v/>
      </c>
      <c r="W91" s="96"/>
      <c r="X91" s="100" t="str">
        <f t="shared" si="11"/>
        <v/>
      </c>
      <c r="Y91" s="96"/>
      <c r="Z91" s="100" t="str">
        <f t="shared" si="12"/>
        <v/>
      </c>
    </row>
    <row r="92" spans="1:26" x14ac:dyDescent="0.2">
      <c r="A92" s="95"/>
      <c r="B92" s="95"/>
      <c r="C92" s="95"/>
      <c r="E92" s="97"/>
      <c r="F92" s="97"/>
      <c r="G92" s="97"/>
      <c r="I92" s="105" t="str">
        <f t="shared" si="10"/>
        <v/>
      </c>
      <c r="K92" s="95"/>
      <c r="L92" s="95"/>
      <c r="M92" s="97"/>
      <c r="N92" s="95"/>
      <c r="O92" s="96"/>
      <c r="P92" s="100" t="str">
        <f t="shared" si="11"/>
        <v/>
      </c>
      <c r="Q92" s="96"/>
      <c r="R92" s="100" t="str">
        <f t="shared" si="11"/>
        <v/>
      </c>
      <c r="S92" s="96"/>
      <c r="T92" s="100" t="str">
        <f t="shared" si="11"/>
        <v/>
      </c>
      <c r="U92" s="96"/>
      <c r="V92" s="100" t="str">
        <f t="shared" si="11"/>
        <v/>
      </c>
      <c r="W92" s="96"/>
      <c r="X92" s="100" t="str">
        <f t="shared" si="11"/>
        <v/>
      </c>
      <c r="Y92" s="96"/>
      <c r="Z92" s="100" t="str">
        <f t="shared" si="12"/>
        <v/>
      </c>
    </row>
    <row r="93" spans="1:26" x14ac:dyDescent="0.2">
      <c r="A93" s="95"/>
      <c r="B93" s="95"/>
      <c r="C93" s="95"/>
      <c r="E93" s="97"/>
      <c r="F93" s="97"/>
      <c r="G93" s="97"/>
      <c r="I93" s="105" t="str">
        <f t="shared" si="10"/>
        <v/>
      </c>
      <c r="K93" s="95"/>
      <c r="L93" s="95"/>
      <c r="M93" s="97"/>
      <c r="N93" s="95"/>
      <c r="O93" s="96"/>
      <c r="P93" s="100" t="str">
        <f t="shared" si="11"/>
        <v/>
      </c>
      <c r="Q93" s="96"/>
      <c r="R93" s="100" t="str">
        <f t="shared" si="11"/>
        <v/>
      </c>
      <c r="S93" s="96"/>
      <c r="T93" s="100" t="str">
        <f t="shared" si="11"/>
        <v/>
      </c>
      <c r="U93" s="96"/>
      <c r="V93" s="100" t="str">
        <f t="shared" si="11"/>
        <v/>
      </c>
      <c r="W93" s="96"/>
      <c r="X93" s="100" t="str">
        <f t="shared" si="11"/>
        <v/>
      </c>
      <c r="Y93" s="96"/>
      <c r="Z93" s="100" t="str">
        <f t="shared" si="12"/>
        <v/>
      </c>
    </row>
    <row r="94" spans="1:26" x14ac:dyDescent="0.2">
      <c r="A94" s="95"/>
      <c r="B94" s="95"/>
      <c r="C94" s="95"/>
      <c r="E94" s="97"/>
      <c r="F94" s="97"/>
      <c r="G94" s="97"/>
      <c r="I94" s="105" t="str">
        <f t="shared" si="10"/>
        <v/>
      </c>
      <c r="K94" s="95"/>
      <c r="L94" s="95"/>
      <c r="M94" s="97"/>
      <c r="N94" s="95"/>
      <c r="O94" s="96"/>
      <c r="P94" s="100" t="str">
        <f t="shared" si="11"/>
        <v/>
      </c>
      <c r="Q94" s="96"/>
      <c r="R94" s="100" t="str">
        <f t="shared" si="11"/>
        <v/>
      </c>
      <c r="S94" s="96"/>
      <c r="T94" s="100" t="str">
        <f t="shared" si="11"/>
        <v/>
      </c>
      <c r="U94" s="96"/>
      <c r="V94" s="100" t="str">
        <f t="shared" si="11"/>
        <v/>
      </c>
      <c r="W94" s="96"/>
      <c r="X94" s="100" t="str">
        <f t="shared" si="11"/>
        <v/>
      </c>
      <c r="Y94" s="96"/>
      <c r="Z94" s="100" t="str">
        <f t="shared" si="12"/>
        <v/>
      </c>
    </row>
    <row r="95" spans="1:26" x14ac:dyDescent="0.2">
      <c r="A95" s="95"/>
      <c r="B95" s="95"/>
      <c r="C95" s="95"/>
      <c r="E95" s="97"/>
      <c r="F95" s="97"/>
      <c r="G95" s="97"/>
      <c r="I95" s="105" t="str">
        <f t="shared" si="10"/>
        <v/>
      </c>
      <c r="K95" s="95"/>
      <c r="L95" s="95"/>
      <c r="M95" s="97"/>
      <c r="N95" s="95"/>
      <c r="O95" s="96"/>
      <c r="P95" s="100" t="str">
        <f t="shared" si="11"/>
        <v/>
      </c>
      <c r="Q95" s="96"/>
      <c r="R95" s="100" t="str">
        <f t="shared" si="11"/>
        <v/>
      </c>
      <c r="S95" s="96"/>
      <c r="T95" s="100" t="str">
        <f t="shared" si="11"/>
        <v/>
      </c>
      <c r="U95" s="96"/>
      <c r="V95" s="100" t="str">
        <f t="shared" si="11"/>
        <v/>
      </c>
      <c r="W95" s="96"/>
      <c r="X95" s="100" t="str">
        <f t="shared" si="11"/>
        <v/>
      </c>
      <c r="Y95" s="96"/>
      <c r="Z95" s="100" t="str">
        <f t="shared" si="12"/>
        <v/>
      </c>
    </row>
    <row r="96" spans="1:26" x14ac:dyDescent="0.2">
      <c r="A96" s="95"/>
      <c r="B96" s="95"/>
      <c r="C96" s="95"/>
      <c r="E96" s="97"/>
      <c r="F96" s="97"/>
      <c r="G96" s="97"/>
      <c r="I96" s="105" t="str">
        <f t="shared" si="10"/>
        <v/>
      </c>
      <c r="K96" s="95"/>
      <c r="L96" s="95"/>
      <c r="M96" s="97"/>
      <c r="N96" s="95"/>
      <c r="O96" s="96"/>
      <c r="P96" s="100" t="str">
        <f t="shared" si="11"/>
        <v/>
      </c>
      <c r="Q96" s="96"/>
      <c r="R96" s="100" t="str">
        <f t="shared" si="11"/>
        <v/>
      </c>
      <c r="S96" s="96"/>
      <c r="T96" s="100" t="str">
        <f t="shared" si="11"/>
        <v/>
      </c>
      <c r="U96" s="96"/>
      <c r="V96" s="100" t="str">
        <f t="shared" si="11"/>
        <v/>
      </c>
      <c r="W96" s="96"/>
      <c r="X96" s="100" t="str">
        <f t="shared" si="11"/>
        <v/>
      </c>
      <c r="Y96" s="96"/>
      <c r="Z96" s="100" t="str">
        <f t="shared" si="12"/>
        <v/>
      </c>
    </row>
    <row r="97" spans="1:26" x14ac:dyDescent="0.2">
      <c r="A97" s="95"/>
      <c r="B97" s="95"/>
      <c r="C97" s="95"/>
      <c r="E97" s="97"/>
      <c r="F97" s="97"/>
      <c r="G97" s="97"/>
      <c r="I97" s="105" t="str">
        <f t="shared" si="10"/>
        <v/>
      </c>
      <c r="K97" s="95"/>
      <c r="L97" s="95"/>
      <c r="M97" s="97"/>
      <c r="N97" s="95"/>
      <c r="O97" s="96"/>
      <c r="P97" s="100" t="str">
        <f t="shared" si="11"/>
        <v/>
      </c>
      <c r="Q97" s="96"/>
      <c r="R97" s="100" t="str">
        <f t="shared" si="11"/>
        <v/>
      </c>
      <c r="S97" s="96"/>
      <c r="T97" s="100" t="str">
        <f t="shared" si="11"/>
        <v/>
      </c>
      <c r="U97" s="96"/>
      <c r="V97" s="100" t="str">
        <f t="shared" si="11"/>
        <v/>
      </c>
      <c r="W97" s="96"/>
      <c r="X97" s="100" t="str">
        <f t="shared" si="11"/>
        <v/>
      </c>
      <c r="Y97" s="96"/>
      <c r="Z97" s="100" t="str">
        <f t="shared" si="12"/>
        <v/>
      </c>
    </row>
    <row r="98" spans="1:26" x14ac:dyDescent="0.2">
      <c r="A98" s="95"/>
      <c r="B98" s="95"/>
      <c r="C98" s="95"/>
      <c r="E98" s="97"/>
      <c r="F98" s="97"/>
      <c r="G98" s="97"/>
      <c r="I98" s="105" t="str">
        <f t="shared" si="10"/>
        <v/>
      </c>
      <c r="K98" s="95"/>
      <c r="L98" s="95"/>
      <c r="M98" s="97"/>
      <c r="N98" s="95"/>
      <c r="O98" s="96"/>
      <c r="P98" s="100" t="str">
        <f t="shared" si="11"/>
        <v/>
      </c>
      <c r="Q98" s="96"/>
      <c r="R98" s="100" t="str">
        <f t="shared" si="11"/>
        <v/>
      </c>
      <c r="S98" s="96"/>
      <c r="T98" s="100" t="str">
        <f t="shared" si="11"/>
        <v/>
      </c>
      <c r="U98" s="96"/>
      <c r="V98" s="100" t="str">
        <f t="shared" si="11"/>
        <v/>
      </c>
      <c r="W98" s="96"/>
      <c r="X98" s="100" t="str">
        <f t="shared" si="11"/>
        <v/>
      </c>
      <c r="Y98" s="96"/>
      <c r="Z98" s="100" t="str">
        <f t="shared" si="12"/>
        <v/>
      </c>
    </row>
    <row r="99" spans="1:26" x14ac:dyDescent="0.2">
      <c r="A99" s="95"/>
      <c r="B99" s="95"/>
      <c r="C99" s="95"/>
      <c r="E99" s="97"/>
      <c r="F99" s="97"/>
      <c r="G99" s="97"/>
      <c r="I99" s="105" t="str">
        <f t="shared" si="10"/>
        <v/>
      </c>
      <c r="K99" s="95"/>
      <c r="L99" s="95"/>
      <c r="M99" s="97"/>
      <c r="N99" s="95"/>
      <c r="O99" s="96"/>
      <c r="P99" s="100" t="str">
        <f t="shared" si="11"/>
        <v/>
      </c>
      <c r="Q99" s="96"/>
      <c r="R99" s="100" t="str">
        <f t="shared" si="11"/>
        <v/>
      </c>
      <c r="S99" s="96"/>
      <c r="T99" s="100" t="str">
        <f t="shared" si="11"/>
        <v/>
      </c>
      <c r="U99" s="96"/>
      <c r="V99" s="100" t="str">
        <f t="shared" si="11"/>
        <v/>
      </c>
      <c r="W99" s="96"/>
      <c r="X99" s="100" t="str">
        <f t="shared" si="11"/>
        <v/>
      </c>
      <c r="Y99" s="96"/>
      <c r="Z99" s="100" t="str">
        <f t="shared" si="12"/>
        <v/>
      </c>
    </row>
    <row r="100" spans="1:26" x14ac:dyDescent="0.2">
      <c r="A100" s="95"/>
      <c r="B100" s="95"/>
      <c r="C100" s="95"/>
      <c r="E100" s="97"/>
      <c r="F100" s="97"/>
      <c r="G100" s="97"/>
      <c r="I100" s="105" t="str">
        <f t="shared" si="10"/>
        <v/>
      </c>
      <c r="K100" s="95"/>
      <c r="L100" s="95"/>
      <c r="M100" s="97"/>
      <c r="N100" s="95"/>
      <c r="O100" s="96"/>
      <c r="P100" s="100" t="str">
        <f t="shared" si="11"/>
        <v/>
      </c>
      <c r="Q100" s="96"/>
      <c r="R100" s="100" t="str">
        <f t="shared" si="11"/>
        <v/>
      </c>
      <c r="S100" s="96"/>
      <c r="T100" s="100" t="str">
        <f t="shared" si="11"/>
        <v/>
      </c>
      <c r="U100" s="96"/>
      <c r="V100" s="100" t="str">
        <f t="shared" si="11"/>
        <v/>
      </c>
      <c r="W100" s="96"/>
      <c r="X100" s="100" t="str">
        <f t="shared" ref="X100:X144" si="13">IF($L100="","",layerCost(IF($N100="",X$8,$N100),X$4,X$5,$L100)*MAX($K100,1)*IF($M100="",X$7,$M100)/100)</f>
        <v/>
      </c>
      <c r="Y100" s="96"/>
      <c r="Z100" s="100" t="str">
        <f t="shared" si="12"/>
        <v/>
      </c>
    </row>
    <row r="101" spans="1:26" x14ac:dyDescent="0.2">
      <c r="A101" s="95"/>
      <c r="B101" s="95"/>
      <c r="C101" s="95"/>
      <c r="E101" s="97"/>
      <c r="F101" s="97"/>
      <c r="G101" s="97"/>
      <c r="I101" s="105" t="str">
        <f t="shared" si="10"/>
        <v/>
      </c>
      <c r="K101" s="95"/>
      <c r="L101" s="95"/>
      <c r="M101" s="97"/>
      <c r="N101" s="95"/>
      <c r="O101" s="96"/>
      <c r="P101" s="100" t="str">
        <f t="shared" si="11"/>
        <v/>
      </c>
      <c r="Q101" s="96"/>
      <c r="R101" s="100" t="str">
        <f t="shared" si="11"/>
        <v/>
      </c>
      <c r="S101" s="96"/>
      <c r="T101" s="100" t="str">
        <f t="shared" si="11"/>
        <v/>
      </c>
      <c r="U101" s="96"/>
      <c r="V101" s="100" t="str">
        <f t="shared" si="11"/>
        <v/>
      </c>
      <c r="W101" s="96"/>
      <c r="X101" s="100" t="str">
        <f t="shared" si="13"/>
        <v/>
      </c>
      <c r="Y101" s="96"/>
      <c r="Z101" s="100" t="str">
        <f t="shared" si="12"/>
        <v/>
      </c>
    </row>
    <row r="102" spans="1:26" x14ac:dyDescent="0.2">
      <c r="A102" s="95"/>
      <c r="B102" s="95"/>
      <c r="C102" s="95"/>
      <c r="E102" s="97"/>
      <c r="F102" s="97"/>
      <c r="G102" s="97"/>
      <c r="I102" s="105" t="str">
        <f t="shared" si="10"/>
        <v/>
      </c>
      <c r="K102" s="95"/>
      <c r="L102" s="95"/>
      <c r="M102" s="97"/>
      <c r="N102" s="95"/>
      <c r="O102" s="96"/>
      <c r="P102" s="100" t="str">
        <f t="shared" si="11"/>
        <v/>
      </c>
      <c r="Q102" s="96"/>
      <c r="R102" s="100" t="str">
        <f t="shared" si="11"/>
        <v/>
      </c>
      <c r="S102" s="96"/>
      <c r="T102" s="100" t="str">
        <f t="shared" si="11"/>
        <v/>
      </c>
      <c r="U102" s="96"/>
      <c r="V102" s="100" t="str">
        <f t="shared" si="11"/>
        <v/>
      </c>
      <c r="W102" s="96"/>
      <c r="X102" s="100" t="str">
        <f t="shared" si="13"/>
        <v/>
      </c>
      <c r="Y102" s="96"/>
      <c r="Z102" s="100" t="str">
        <f t="shared" si="12"/>
        <v/>
      </c>
    </row>
    <row r="103" spans="1:26" x14ac:dyDescent="0.2">
      <c r="A103" s="95"/>
      <c r="B103" s="95"/>
      <c r="C103" s="95"/>
      <c r="E103" s="97"/>
      <c r="F103" s="97"/>
      <c r="G103" s="97"/>
      <c r="I103" s="105" t="str">
        <f t="shared" si="10"/>
        <v/>
      </c>
      <c r="K103" s="95"/>
      <c r="L103" s="95"/>
      <c r="M103" s="97"/>
      <c r="N103" s="95"/>
      <c r="O103" s="96"/>
      <c r="P103" s="100" t="str">
        <f t="shared" si="11"/>
        <v/>
      </c>
      <c r="Q103" s="96"/>
      <c r="R103" s="100" t="str">
        <f t="shared" si="11"/>
        <v/>
      </c>
      <c r="S103" s="96"/>
      <c r="T103" s="100" t="str">
        <f t="shared" si="11"/>
        <v/>
      </c>
      <c r="U103" s="96"/>
      <c r="V103" s="100" t="str">
        <f t="shared" si="11"/>
        <v/>
      </c>
      <c r="W103" s="96"/>
      <c r="X103" s="100" t="str">
        <f t="shared" si="13"/>
        <v/>
      </c>
      <c r="Y103" s="96"/>
      <c r="Z103" s="100" t="str">
        <f t="shared" si="12"/>
        <v/>
      </c>
    </row>
    <row r="104" spans="1:26" x14ac:dyDescent="0.2">
      <c r="A104" s="95"/>
      <c r="B104" s="95"/>
      <c r="C104" s="95"/>
      <c r="E104" s="97"/>
      <c r="F104" s="97"/>
      <c r="G104" s="97"/>
      <c r="I104" s="105" t="str">
        <f t="shared" si="10"/>
        <v/>
      </c>
      <c r="K104" s="95"/>
      <c r="L104" s="95"/>
      <c r="M104" s="97"/>
      <c r="N104" s="95"/>
      <c r="O104" s="96"/>
      <c r="P104" s="100" t="str">
        <f t="shared" si="11"/>
        <v/>
      </c>
      <c r="Q104" s="96"/>
      <c r="R104" s="100" t="str">
        <f t="shared" si="11"/>
        <v/>
      </c>
      <c r="S104" s="96"/>
      <c r="T104" s="100" t="str">
        <f t="shared" si="11"/>
        <v/>
      </c>
      <c r="U104" s="96"/>
      <c r="V104" s="100" t="str">
        <f t="shared" si="11"/>
        <v/>
      </c>
      <c r="W104" s="96"/>
      <c r="X104" s="100" t="str">
        <f t="shared" si="13"/>
        <v/>
      </c>
      <c r="Y104" s="96"/>
      <c r="Z104" s="100" t="str">
        <f t="shared" si="12"/>
        <v/>
      </c>
    </row>
    <row r="105" spans="1:26" x14ac:dyDescent="0.2">
      <c r="A105" s="95"/>
      <c r="B105" s="95"/>
      <c r="C105" s="95"/>
      <c r="E105" s="97"/>
      <c r="F105" s="97"/>
      <c r="G105" s="97"/>
      <c r="I105" s="105" t="str">
        <f t="shared" si="10"/>
        <v/>
      </c>
      <c r="K105" s="95"/>
      <c r="L105" s="95"/>
      <c r="M105" s="97"/>
      <c r="N105" s="95"/>
      <c r="O105" s="96"/>
      <c r="P105" s="100" t="str">
        <f t="shared" si="11"/>
        <v/>
      </c>
      <c r="Q105" s="96"/>
      <c r="R105" s="100" t="str">
        <f t="shared" si="11"/>
        <v/>
      </c>
      <c r="S105" s="96"/>
      <c r="T105" s="100" t="str">
        <f t="shared" si="11"/>
        <v/>
      </c>
      <c r="U105" s="96"/>
      <c r="V105" s="100" t="str">
        <f t="shared" si="11"/>
        <v/>
      </c>
      <c r="W105" s="96"/>
      <c r="X105" s="100" t="str">
        <f t="shared" si="13"/>
        <v/>
      </c>
      <c r="Y105" s="96"/>
      <c r="Z105" s="100" t="str">
        <f t="shared" si="12"/>
        <v/>
      </c>
    </row>
    <row r="106" spans="1:26" x14ac:dyDescent="0.2">
      <c r="A106" s="95"/>
      <c r="B106" s="95"/>
      <c r="C106" s="95"/>
      <c r="E106" s="97"/>
      <c r="F106" s="97"/>
      <c r="G106" s="97"/>
      <c r="I106" s="105" t="str">
        <f t="shared" si="10"/>
        <v/>
      </c>
      <c r="K106" s="95"/>
      <c r="L106" s="95"/>
      <c r="M106" s="97"/>
      <c r="N106" s="95"/>
      <c r="O106" s="96"/>
      <c r="P106" s="100" t="str">
        <f t="shared" si="11"/>
        <v/>
      </c>
      <c r="Q106" s="96"/>
      <c r="R106" s="100" t="str">
        <f t="shared" si="11"/>
        <v/>
      </c>
      <c r="S106" s="96"/>
      <c r="T106" s="100" t="str">
        <f t="shared" si="11"/>
        <v/>
      </c>
      <c r="U106" s="96"/>
      <c r="V106" s="100" t="str">
        <f t="shared" si="11"/>
        <v/>
      </c>
      <c r="W106" s="96"/>
      <c r="X106" s="100" t="str">
        <f t="shared" si="13"/>
        <v/>
      </c>
      <c r="Y106" s="96"/>
      <c r="Z106" s="100" t="str">
        <f t="shared" si="12"/>
        <v/>
      </c>
    </row>
    <row r="107" spans="1:26" x14ac:dyDescent="0.2">
      <c r="A107" s="95"/>
      <c r="B107" s="95"/>
      <c r="C107" s="95"/>
      <c r="E107" s="97"/>
      <c r="F107" s="97"/>
      <c r="G107" s="97"/>
      <c r="I107" s="105" t="str">
        <f t="shared" si="10"/>
        <v/>
      </c>
      <c r="K107" s="95"/>
      <c r="L107" s="95"/>
      <c r="M107" s="97"/>
      <c r="N107" s="95"/>
      <c r="O107" s="96"/>
      <c r="P107" s="100" t="str">
        <f t="shared" si="11"/>
        <v/>
      </c>
      <c r="Q107" s="96"/>
      <c r="R107" s="100" t="str">
        <f t="shared" si="11"/>
        <v/>
      </c>
      <c r="S107" s="96"/>
      <c r="T107" s="100" t="str">
        <f t="shared" si="11"/>
        <v/>
      </c>
      <c r="U107" s="96"/>
      <c r="V107" s="100" t="str">
        <f t="shared" si="11"/>
        <v/>
      </c>
      <c r="W107" s="96"/>
      <c r="X107" s="100" t="str">
        <f t="shared" si="13"/>
        <v/>
      </c>
      <c r="Y107" s="96"/>
      <c r="Z107" s="100" t="str">
        <f t="shared" si="12"/>
        <v/>
      </c>
    </row>
    <row r="108" spans="1:26" x14ac:dyDescent="0.2">
      <c r="A108" s="95"/>
      <c r="B108" s="95"/>
      <c r="C108" s="95"/>
      <c r="E108" s="97"/>
      <c r="F108" s="97"/>
      <c r="G108" s="97"/>
      <c r="I108" s="105" t="str">
        <f t="shared" si="10"/>
        <v/>
      </c>
      <c r="K108" s="95"/>
      <c r="L108" s="95"/>
      <c r="M108" s="97"/>
      <c r="N108" s="95"/>
      <c r="O108" s="96"/>
      <c r="P108" s="100" t="str">
        <f t="shared" si="11"/>
        <v/>
      </c>
      <c r="Q108" s="96"/>
      <c r="R108" s="100" t="str">
        <f t="shared" si="11"/>
        <v/>
      </c>
      <c r="S108" s="96"/>
      <c r="T108" s="100" t="str">
        <f t="shared" si="11"/>
        <v/>
      </c>
      <c r="U108" s="96"/>
      <c r="V108" s="100" t="str">
        <f t="shared" si="11"/>
        <v/>
      </c>
      <c r="W108" s="96"/>
      <c r="X108" s="100" t="str">
        <f t="shared" si="13"/>
        <v/>
      </c>
      <c r="Y108" s="96"/>
      <c r="Z108" s="100" t="str">
        <f t="shared" si="12"/>
        <v/>
      </c>
    </row>
    <row r="109" spans="1:26" x14ac:dyDescent="0.2">
      <c r="A109" s="95"/>
      <c r="B109" s="95"/>
      <c r="C109" s="95"/>
      <c r="E109" s="97"/>
      <c r="F109" s="97"/>
      <c r="G109" s="97"/>
      <c r="I109" s="105" t="str">
        <f t="shared" si="10"/>
        <v/>
      </c>
      <c r="K109" s="95"/>
      <c r="L109" s="95"/>
      <c r="M109" s="97"/>
      <c r="N109" s="95"/>
      <c r="O109" s="96"/>
      <c r="P109" s="100" t="str">
        <f t="shared" si="11"/>
        <v/>
      </c>
      <c r="Q109" s="96"/>
      <c r="R109" s="100" t="str">
        <f t="shared" si="11"/>
        <v/>
      </c>
      <c r="S109" s="96"/>
      <c r="T109" s="100" t="str">
        <f t="shared" si="11"/>
        <v/>
      </c>
      <c r="U109" s="96"/>
      <c r="V109" s="100" t="str">
        <f t="shared" si="11"/>
        <v/>
      </c>
      <c r="W109" s="96"/>
      <c r="X109" s="100" t="str">
        <f t="shared" si="13"/>
        <v/>
      </c>
      <c r="Y109" s="96"/>
      <c r="Z109" s="100" t="str">
        <f t="shared" si="12"/>
        <v/>
      </c>
    </row>
    <row r="110" spans="1:26" x14ac:dyDescent="0.2">
      <c r="A110" s="95"/>
      <c r="B110" s="95"/>
      <c r="C110" s="95"/>
      <c r="E110" s="97"/>
      <c r="F110" s="97"/>
      <c r="G110" s="97"/>
      <c r="I110" s="105" t="str">
        <f t="shared" si="10"/>
        <v/>
      </c>
      <c r="K110" s="95"/>
      <c r="L110" s="95"/>
      <c r="M110" s="97"/>
      <c r="N110" s="95"/>
      <c r="O110" s="96"/>
      <c r="P110" s="100" t="str">
        <f t="shared" si="11"/>
        <v/>
      </c>
      <c r="Q110" s="96"/>
      <c r="R110" s="100" t="str">
        <f t="shared" si="11"/>
        <v/>
      </c>
      <c r="S110" s="96"/>
      <c r="T110" s="100" t="str">
        <f t="shared" si="11"/>
        <v/>
      </c>
      <c r="U110" s="96"/>
      <c r="V110" s="100" t="str">
        <f t="shared" si="11"/>
        <v/>
      </c>
      <c r="W110" s="96"/>
      <c r="X110" s="100" t="str">
        <f t="shared" si="13"/>
        <v/>
      </c>
      <c r="Y110" s="96"/>
      <c r="Z110" s="100" t="str">
        <f t="shared" si="12"/>
        <v/>
      </c>
    </row>
    <row r="111" spans="1:26" x14ac:dyDescent="0.2">
      <c r="A111" s="95"/>
      <c r="B111" s="95"/>
      <c r="C111" s="95"/>
      <c r="E111" s="97"/>
      <c r="F111" s="97"/>
      <c r="G111" s="97"/>
      <c r="I111" s="105" t="str">
        <f t="shared" si="10"/>
        <v/>
      </c>
      <c r="K111" s="95"/>
      <c r="L111" s="95"/>
      <c r="M111" s="97"/>
      <c r="N111" s="95"/>
      <c r="O111" s="96"/>
      <c r="P111" s="100" t="str">
        <f t="shared" si="11"/>
        <v/>
      </c>
      <c r="Q111" s="96"/>
      <c r="R111" s="100" t="str">
        <f t="shared" si="11"/>
        <v/>
      </c>
      <c r="S111" s="96"/>
      <c r="T111" s="100" t="str">
        <f t="shared" si="11"/>
        <v/>
      </c>
      <c r="U111" s="96"/>
      <c r="V111" s="100" t="str">
        <f t="shared" si="11"/>
        <v/>
      </c>
      <c r="W111" s="96"/>
      <c r="X111" s="100" t="str">
        <f t="shared" si="13"/>
        <v/>
      </c>
      <c r="Y111" s="96"/>
      <c r="Z111" s="100" t="str">
        <f t="shared" si="12"/>
        <v/>
      </c>
    </row>
    <row r="112" spans="1:26" x14ac:dyDescent="0.2">
      <c r="A112" s="95"/>
      <c r="B112" s="95"/>
      <c r="C112" s="95"/>
      <c r="E112" s="97"/>
      <c r="F112" s="97"/>
      <c r="G112" s="97"/>
      <c r="I112" s="105" t="str">
        <f t="shared" si="10"/>
        <v/>
      </c>
      <c r="K112" s="95"/>
      <c r="L112" s="95"/>
      <c r="M112" s="97"/>
      <c r="N112" s="95"/>
      <c r="O112" s="96"/>
      <c r="P112" s="100" t="str">
        <f t="shared" si="11"/>
        <v/>
      </c>
      <c r="Q112" s="96"/>
      <c r="R112" s="100" t="str">
        <f t="shared" si="11"/>
        <v/>
      </c>
      <c r="S112" s="96"/>
      <c r="T112" s="100" t="str">
        <f t="shared" si="11"/>
        <v/>
      </c>
      <c r="U112" s="96"/>
      <c r="V112" s="100" t="str">
        <f t="shared" si="11"/>
        <v/>
      </c>
      <c r="W112" s="96"/>
      <c r="X112" s="100" t="str">
        <f t="shared" si="13"/>
        <v/>
      </c>
      <c r="Y112" s="96"/>
      <c r="Z112" s="100" t="str">
        <f t="shared" si="12"/>
        <v/>
      </c>
    </row>
    <row r="113" spans="1:26" x14ac:dyDescent="0.2">
      <c r="A113" s="95"/>
      <c r="B113" s="95"/>
      <c r="C113" s="95"/>
      <c r="E113" s="97"/>
      <c r="F113" s="97"/>
      <c r="G113" s="97"/>
      <c r="I113" s="105" t="str">
        <f t="shared" si="10"/>
        <v/>
      </c>
      <c r="K113" s="95"/>
      <c r="L113" s="95"/>
      <c r="M113" s="97"/>
      <c r="N113" s="95"/>
      <c r="O113" s="96"/>
      <c r="P113" s="100" t="str">
        <f t="shared" si="11"/>
        <v/>
      </c>
      <c r="Q113" s="96"/>
      <c r="R113" s="100" t="str">
        <f t="shared" si="11"/>
        <v/>
      </c>
      <c r="S113" s="96"/>
      <c r="T113" s="100" t="str">
        <f t="shared" si="11"/>
        <v/>
      </c>
      <c r="U113" s="96"/>
      <c r="V113" s="100" t="str">
        <f t="shared" si="11"/>
        <v/>
      </c>
      <c r="W113" s="96"/>
      <c r="X113" s="100" t="str">
        <f t="shared" si="13"/>
        <v/>
      </c>
      <c r="Y113" s="96"/>
      <c r="Z113" s="100" t="str">
        <f t="shared" si="12"/>
        <v/>
      </c>
    </row>
    <row r="114" spans="1:26" x14ac:dyDescent="0.2">
      <c r="A114" s="95"/>
      <c r="B114" s="95"/>
      <c r="C114" s="95"/>
      <c r="E114" s="97"/>
      <c r="F114" s="97"/>
      <c r="G114" s="97"/>
      <c r="I114" s="105" t="str">
        <f t="shared" si="10"/>
        <v/>
      </c>
      <c r="K114" s="95"/>
      <c r="L114" s="95"/>
      <c r="M114" s="97"/>
      <c r="N114" s="95"/>
      <c r="O114" s="96"/>
      <c r="P114" s="100" t="str">
        <f t="shared" si="11"/>
        <v/>
      </c>
      <c r="Q114" s="96"/>
      <c r="R114" s="100" t="str">
        <f t="shared" si="11"/>
        <v/>
      </c>
      <c r="S114" s="96"/>
      <c r="T114" s="100" t="str">
        <f t="shared" si="11"/>
        <v/>
      </c>
      <c r="U114" s="96"/>
      <c r="V114" s="100" t="str">
        <f t="shared" si="11"/>
        <v/>
      </c>
      <c r="W114" s="96"/>
      <c r="X114" s="100" t="str">
        <f t="shared" si="13"/>
        <v/>
      </c>
      <c r="Y114" s="96"/>
      <c r="Z114" s="100" t="str">
        <f t="shared" si="12"/>
        <v/>
      </c>
    </row>
    <row r="115" spans="1:26" x14ac:dyDescent="0.2">
      <c r="A115" s="95"/>
      <c r="B115" s="95"/>
      <c r="C115" s="95"/>
      <c r="E115" s="97"/>
      <c r="F115" s="97"/>
      <c r="G115" s="97"/>
      <c r="I115" s="105" t="str">
        <f t="shared" si="10"/>
        <v/>
      </c>
      <c r="K115" s="95"/>
      <c r="L115" s="95"/>
      <c r="M115" s="97"/>
      <c r="N115" s="95"/>
      <c r="O115" s="96"/>
      <c r="P115" s="100" t="str">
        <f t="shared" si="11"/>
        <v/>
      </c>
      <c r="Q115" s="96"/>
      <c r="R115" s="100" t="str">
        <f t="shared" si="11"/>
        <v/>
      </c>
      <c r="S115" s="96"/>
      <c r="T115" s="100" t="str">
        <f t="shared" si="11"/>
        <v/>
      </c>
      <c r="U115" s="96"/>
      <c r="V115" s="100" t="str">
        <f t="shared" si="11"/>
        <v/>
      </c>
      <c r="W115" s="96"/>
      <c r="X115" s="100" t="str">
        <f t="shared" si="13"/>
        <v/>
      </c>
      <c r="Y115" s="96"/>
      <c r="Z115" s="100" t="str">
        <f t="shared" si="12"/>
        <v/>
      </c>
    </row>
    <row r="116" spans="1:26" x14ac:dyDescent="0.2">
      <c r="A116" s="95"/>
      <c r="B116" s="95"/>
      <c r="C116" s="95"/>
      <c r="E116" s="97"/>
      <c r="F116" s="97"/>
      <c r="G116" s="97"/>
      <c r="I116" s="105" t="str">
        <f t="shared" si="10"/>
        <v/>
      </c>
      <c r="K116" s="95"/>
      <c r="L116" s="95"/>
      <c r="M116" s="97"/>
      <c r="N116" s="95"/>
      <c r="O116" s="96"/>
      <c r="P116" s="100" t="str">
        <f t="shared" si="11"/>
        <v/>
      </c>
      <c r="Q116" s="96"/>
      <c r="R116" s="100" t="str">
        <f t="shared" si="11"/>
        <v/>
      </c>
      <c r="S116" s="96"/>
      <c r="T116" s="100" t="str">
        <f t="shared" si="11"/>
        <v/>
      </c>
      <c r="U116" s="96"/>
      <c r="V116" s="100" t="str">
        <f t="shared" si="11"/>
        <v/>
      </c>
      <c r="W116" s="96"/>
      <c r="X116" s="100" t="str">
        <f t="shared" si="13"/>
        <v/>
      </c>
      <c r="Y116" s="96"/>
      <c r="Z116" s="100" t="str">
        <f t="shared" si="12"/>
        <v/>
      </c>
    </row>
    <row r="117" spans="1:26" x14ac:dyDescent="0.2">
      <c r="A117" s="95"/>
      <c r="B117" s="95"/>
      <c r="C117" s="95"/>
      <c r="E117" s="97"/>
      <c r="F117" s="97"/>
      <c r="G117" s="97"/>
      <c r="I117" s="105" t="str">
        <f t="shared" si="10"/>
        <v/>
      </c>
      <c r="K117" s="95"/>
      <c r="L117" s="95"/>
      <c r="M117" s="97"/>
      <c r="N117" s="95"/>
      <c r="O117" s="96"/>
      <c r="P117" s="100" t="str">
        <f t="shared" si="11"/>
        <v/>
      </c>
      <c r="Q117" s="96"/>
      <c r="R117" s="100" t="str">
        <f t="shared" si="11"/>
        <v/>
      </c>
      <c r="S117" s="96"/>
      <c r="T117" s="100" t="str">
        <f t="shared" si="11"/>
        <v/>
      </c>
      <c r="U117" s="96"/>
      <c r="V117" s="100" t="str">
        <f t="shared" si="11"/>
        <v/>
      </c>
      <c r="W117" s="96"/>
      <c r="X117" s="100" t="str">
        <f t="shared" si="13"/>
        <v/>
      </c>
      <c r="Y117" s="96"/>
      <c r="Z117" s="100" t="str">
        <f t="shared" si="12"/>
        <v/>
      </c>
    </row>
    <row r="118" spans="1:26" x14ac:dyDescent="0.2">
      <c r="A118" s="95"/>
      <c r="B118" s="95"/>
      <c r="C118" s="95"/>
      <c r="E118" s="97"/>
      <c r="F118" s="97"/>
      <c r="G118" s="97"/>
      <c r="I118" s="105" t="str">
        <f t="shared" si="10"/>
        <v/>
      </c>
      <c r="K118" s="95"/>
      <c r="L118" s="95"/>
      <c r="M118" s="97"/>
      <c r="N118" s="95"/>
      <c r="O118" s="96"/>
      <c r="P118" s="100" t="str">
        <f t="shared" si="11"/>
        <v/>
      </c>
      <c r="Q118" s="96"/>
      <c r="R118" s="100" t="str">
        <f t="shared" si="11"/>
        <v/>
      </c>
      <c r="S118" s="96"/>
      <c r="T118" s="100" t="str">
        <f t="shared" si="11"/>
        <v/>
      </c>
      <c r="U118" s="96"/>
      <c r="V118" s="100" t="str">
        <f t="shared" si="11"/>
        <v/>
      </c>
      <c r="W118" s="96"/>
      <c r="X118" s="100" t="str">
        <f t="shared" si="13"/>
        <v/>
      </c>
      <c r="Y118" s="96"/>
      <c r="Z118" s="100" t="str">
        <f t="shared" si="12"/>
        <v/>
      </c>
    </row>
    <row r="119" spans="1:26" x14ac:dyDescent="0.2">
      <c r="A119" s="95"/>
      <c r="B119" s="95"/>
      <c r="C119" s="95"/>
      <c r="E119" s="97"/>
      <c r="F119" s="97"/>
      <c r="G119" s="97"/>
      <c r="I119" s="105" t="str">
        <f t="shared" si="10"/>
        <v/>
      </c>
      <c r="K119" s="95"/>
      <c r="L119" s="95"/>
      <c r="M119" s="97"/>
      <c r="N119" s="95"/>
      <c r="O119" s="96"/>
      <c r="P119" s="100" t="str">
        <f t="shared" si="11"/>
        <v/>
      </c>
      <c r="Q119" s="96"/>
      <c r="R119" s="100" t="str">
        <f t="shared" si="11"/>
        <v/>
      </c>
      <c r="S119" s="96"/>
      <c r="T119" s="100" t="str">
        <f t="shared" si="11"/>
        <v/>
      </c>
      <c r="U119" s="96"/>
      <c r="V119" s="100" t="str">
        <f t="shared" si="11"/>
        <v/>
      </c>
      <c r="W119" s="96"/>
      <c r="X119" s="100" t="str">
        <f t="shared" si="13"/>
        <v/>
      </c>
      <c r="Y119" s="96"/>
      <c r="Z119" s="100" t="str">
        <f t="shared" si="12"/>
        <v/>
      </c>
    </row>
    <row r="120" spans="1:26" x14ac:dyDescent="0.2">
      <c r="A120" s="95"/>
      <c r="B120" s="95"/>
      <c r="C120" s="95"/>
      <c r="E120" s="97"/>
      <c r="F120" s="97"/>
      <c r="G120" s="97"/>
      <c r="I120" s="105" t="str">
        <f t="shared" si="10"/>
        <v/>
      </c>
      <c r="K120" s="95"/>
      <c r="L120" s="95"/>
      <c r="M120" s="97"/>
      <c r="N120" s="95"/>
      <c r="O120" s="96"/>
      <c r="P120" s="100" t="str">
        <f t="shared" si="11"/>
        <v/>
      </c>
      <c r="Q120" s="96"/>
      <c r="R120" s="100" t="str">
        <f t="shared" si="11"/>
        <v/>
      </c>
      <c r="S120" s="96"/>
      <c r="T120" s="100" t="str">
        <f t="shared" si="11"/>
        <v/>
      </c>
      <c r="U120" s="96"/>
      <c r="V120" s="100" t="str">
        <f t="shared" si="11"/>
        <v/>
      </c>
      <c r="W120" s="96"/>
      <c r="X120" s="100" t="str">
        <f t="shared" si="13"/>
        <v/>
      </c>
      <c r="Y120" s="96"/>
      <c r="Z120" s="100" t="str">
        <f t="shared" si="12"/>
        <v/>
      </c>
    </row>
    <row r="121" spans="1:26" x14ac:dyDescent="0.2">
      <c r="A121" s="95"/>
      <c r="B121" s="95"/>
      <c r="C121" s="95"/>
      <c r="E121" s="97"/>
      <c r="F121" s="97"/>
      <c r="G121" s="97"/>
      <c r="I121" s="105" t="str">
        <f t="shared" si="10"/>
        <v/>
      </c>
      <c r="K121" s="95"/>
      <c r="L121" s="95"/>
      <c r="M121" s="97"/>
      <c r="N121" s="95"/>
      <c r="O121" s="96"/>
      <c r="P121" s="100" t="str">
        <f t="shared" si="11"/>
        <v/>
      </c>
      <c r="Q121" s="96"/>
      <c r="R121" s="100" t="str">
        <f t="shared" si="11"/>
        <v/>
      </c>
      <c r="S121" s="96"/>
      <c r="T121" s="100" t="str">
        <f t="shared" si="11"/>
        <v/>
      </c>
      <c r="U121" s="96"/>
      <c r="V121" s="100" t="str">
        <f t="shared" si="11"/>
        <v/>
      </c>
      <c r="W121" s="96"/>
      <c r="X121" s="100" t="str">
        <f t="shared" si="13"/>
        <v/>
      </c>
      <c r="Y121" s="96"/>
      <c r="Z121" s="100" t="str">
        <f t="shared" si="12"/>
        <v/>
      </c>
    </row>
    <row r="122" spans="1:26" x14ac:dyDescent="0.2">
      <c r="A122" s="95"/>
      <c r="B122" s="95"/>
      <c r="C122" s="95"/>
      <c r="E122" s="97"/>
      <c r="F122" s="97"/>
      <c r="G122" s="97"/>
      <c r="I122" s="105" t="str">
        <f t="shared" si="10"/>
        <v/>
      </c>
      <c r="K122" s="95"/>
      <c r="L122" s="95"/>
      <c r="M122" s="97"/>
      <c r="N122" s="95"/>
      <c r="O122" s="96"/>
      <c r="P122" s="100" t="str">
        <f t="shared" si="11"/>
        <v/>
      </c>
      <c r="Q122" s="96"/>
      <c r="R122" s="100" t="str">
        <f t="shared" si="11"/>
        <v/>
      </c>
      <c r="S122" s="96"/>
      <c r="T122" s="100" t="str">
        <f t="shared" si="11"/>
        <v/>
      </c>
      <c r="U122" s="96"/>
      <c r="V122" s="100" t="str">
        <f t="shared" si="11"/>
        <v/>
      </c>
      <c r="W122" s="96"/>
      <c r="X122" s="100" t="str">
        <f t="shared" si="13"/>
        <v/>
      </c>
      <c r="Y122" s="96"/>
      <c r="Z122" s="100" t="str">
        <f t="shared" si="12"/>
        <v/>
      </c>
    </row>
    <row r="123" spans="1:26" x14ac:dyDescent="0.2">
      <c r="A123" s="95"/>
      <c r="B123" s="95"/>
      <c r="C123" s="95"/>
      <c r="E123" s="97"/>
      <c r="F123" s="97"/>
      <c r="G123" s="97"/>
      <c r="I123" s="105" t="str">
        <f t="shared" si="10"/>
        <v/>
      </c>
      <c r="K123" s="95"/>
      <c r="L123" s="95"/>
      <c r="M123" s="97"/>
      <c r="N123" s="95"/>
      <c r="O123" s="96"/>
      <c r="P123" s="100" t="str">
        <f t="shared" si="11"/>
        <v/>
      </c>
      <c r="Q123" s="96"/>
      <c r="R123" s="100" t="str">
        <f t="shared" si="11"/>
        <v/>
      </c>
      <c r="S123" s="96"/>
      <c r="T123" s="100" t="str">
        <f t="shared" si="11"/>
        <v/>
      </c>
      <c r="U123" s="96"/>
      <c r="V123" s="100" t="str">
        <f t="shared" si="11"/>
        <v/>
      </c>
      <c r="W123" s="96"/>
      <c r="X123" s="100" t="str">
        <f t="shared" si="13"/>
        <v/>
      </c>
      <c r="Y123" s="96"/>
      <c r="Z123" s="100" t="str">
        <f t="shared" si="12"/>
        <v/>
      </c>
    </row>
    <row r="124" spans="1:26" x14ac:dyDescent="0.2">
      <c r="A124" s="95"/>
      <c r="B124" s="95"/>
      <c r="C124" s="95"/>
      <c r="E124" s="97"/>
      <c r="F124" s="97"/>
      <c r="G124" s="97"/>
      <c r="I124" s="105" t="str">
        <f t="shared" si="10"/>
        <v/>
      </c>
      <c r="K124" s="95"/>
      <c r="L124" s="95"/>
      <c r="M124" s="97"/>
      <c r="N124" s="95"/>
      <c r="O124" s="96"/>
      <c r="P124" s="100" t="str">
        <f t="shared" si="11"/>
        <v/>
      </c>
      <c r="Q124" s="96"/>
      <c r="R124" s="100" t="str">
        <f t="shared" si="11"/>
        <v/>
      </c>
      <c r="S124" s="96"/>
      <c r="T124" s="100" t="str">
        <f t="shared" si="11"/>
        <v/>
      </c>
      <c r="U124" s="96"/>
      <c r="V124" s="100" t="str">
        <f t="shared" si="11"/>
        <v/>
      </c>
      <c r="W124" s="96"/>
      <c r="X124" s="100" t="str">
        <f t="shared" si="13"/>
        <v/>
      </c>
      <c r="Y124" s="96"/>
      <c r="Z124" s="100" t="str">
        <f t="shared" si="12"/>
        <v/>
      </c>
    </row>
    <row r="125" spans="1:26" x14ac:dyDescent="0.2">
      <c r="A125" s="95"/>
      <c r="B125" s="95"/>
      <c r="C125" s="95"/>
      <c r="E125" s="97"/>
      <c r="F125" s="97"/>
      <c r="G125" s="97"/>
      <c r="I125" s="105" t="str">
        <f t="shared" si="10"/>
        <v/>
      </c>
      <c r="K125" s="95"/>
      <c r="L125" s="95"/>
      <c r="M125" s="97"/>
      <c r="N125" s="95"/>
      <c r="O125" s="96"/>
      <c r="P125" s="100" t="str">
        <f t="shared" si="11"/>
        <v/>
      </c>
      <c r="Q125" s="96"/>
      <c r="R125" s="100" t="str">
        <f t="shared" si="11"/>
        <v/>
      </c>
      <c r="S125" s="96"/>
      <c r="T125" s="100" t="str">
        <f t="shared" si="11"/>
        <v/>
      </c>
      <c r="U125" s="96"/>
      <c r="V125" s="100" t="str">
        <f t="shared" si="11"/>
        <v/>
      </c>
      <c r="W125" s="96"/>
      <c r="X125" s="100" t="str">
        <f t="shared" si="13"/>
        <v/>
      </c>
      <c r="Y125" s="96"/>
      <c r="Z125" s="100" t="str">
        <f t="shared" si="12"/>
        <v/>
      </c>
    </row>
    <row r="126" spans="1:26" x14ac:dyDescent="0.2">
      <c r="A126" s="95"/>
      <c r="B126" s="95"/>
      <c r="C126" s="95"/>
      <c r="E126" s="97"/>
      <c r="F126" s="97"/>
      <c r="G126" s="97"/>
      <c r="I126" s="105" t="str">
        <f t="shared" si="10"/>
        <v/>
      </c>
      <c r="K126" s="95"/>
      <c r="L126" s="95"/>
      <c r="M126" s="97"/>
      <c r="N126" s="95"/>
      <c r="O126" s="96"/>
      <c r="P126" s="100" t="str">
        <f t="shared" si="11"/>
        <v/>
      </c>
      <c r="Q126" s="96"/>
      <c r="R126" s="100" t="str">
        <f t="shared" si="11"/>
        <v/>
      </c>
      <c r="S126" s="96"/>
      <c r="T126" s="100" t="str">
        <f t="shared" si="11"/>
        <v/>
      </c>
      <c r="U126" s="96"/>
      <c r="V126" s="100" t="str">
        <f t="shared" si="11"/>
        <v/>
      </c>
      <c r="W126" s="96"/>
      <c r="X126" s="100" t="str">
        <f t="shared" si="13"/>
        <v/>
      </c>
      <c r="Y126" s="96"/>
      <c r="Z126" s="100" t="str">
        <f t="shared" si="12"/>
        <v/>
      </c>
    </row>
    <row r="127" spans="1:26" x14ac:dyDescent="0.2">
      <c r="A127" s="95"/>
      <c r="B127" s="95"/>
      <c r="C127" s="95"/>
      <c r="E127" s="97"/>
      <c r="F127" s="97"/>
      <c r="G127" s="97"/>
      <c r="I127" s="105" t="str">
        <f t="shared" si="10"/>
        <v/>
      </c>
      <c r="K127" s="95"/>
      <c r="L127" s="95"/>
      <c r="M127" s="97"/>
      <c r="N127" s="95"/>
      <c r="O127" s="96"/>
      <c r="P127" s="100" t="str">
        <f t="shared" si="11"/>
        <v/>
      </c>
      <c r="Q127" s="96"/>
      <c r="R127" s="100" t="str">
        <f t="shared" si="11"/>
        <v/>
      </c>
      <c r="S127" s="96"/>
      <c r="T127" s="100" t="str">
        <f t="shared" si="11"/>
        <v/>
      </c>
      <c r="U127" s="96"/>
      <c r="V127" s="100" t="str">
        <f t="shared" si="11"/>
        <v/>
      </c>
      <c r="W127" s="96"/>
      <c r="X127" s="100" t="str">
        <f t="shared" si="13"/>
        <v/>
      </c>
      <c r="Y127" s="96"/>
      <c r="Z127" s="100" t="str">
        <f t="shared" si="12"/>
        <v/>
      </c>
    </row>
    <row r="128" spans="1:26" x14ac:dyDescent="0.2">
      <c r="A128" s="95"/>
      <c r="B128" s="95"/>
      <c r="C128" s="95"/>
      <c r="E128" s="97"/>
      <c r="F128" s="97"/>
      <c r="G128" s="97"/>
      <c r="I128" s="105" t="str">
        <f t="shared" si="10"/>
        <v/>
      </c>
      <c r="K128" s="95"/>
      <c r="L128" s="95"/>
      <c r="M128" s="97"/>
      <c r="N128" s="95"/>
      <c r="O128" s="96"/>
      <c r="P128" s="100" t="str">
        <f t="shared" si="11"/>
        <v/>
      </c>
      <c r="Q128" s="96"/>
      <c r="R128" s="100" t="str">
        <f t="shared" si="11"/>
        <v/>
      </c>
      <c r="S128" s="96"/>
      <c r="T128" s="100" t="str">
        <f t="shared" si="11"/>
        <v/>
      </c>
      <c r="U128" s="96"/>
      <c r="V128" s="100" t="str">
        <f t="shared" si="11"/>
        <v/>
      </c>
      <c r="W128" s="96"/>
      <c r="X128" s="100" t="str">
        <f t="shared" si="13"/>
        <v/>
      </c>
      <c r="Y128" s="96"/>
      <c r="Z128" s="100" t="str">
        <f t="shared" si="12"/>
        <v/>
      </c>
    </row>
    <row r="129" spans="1:26" x14ac:dyDescent="0.2">
      <c r="A129" s="95"/>
      <c r="B129" s="95"/>
      <c r="C129" s="95"/>
      <c r="E129" s="97"/>
      <c r="F129" s="97"/>
      <c r="G129" s="97"/>
      <c r="I129" s="105" t="str">
        <f t="shared" si="10"/>
        <v/>
      </c>
      <c r="K129" s="95"/>
      <c r="L129" s="95"/>
      <c r="M129" s="97"/>
      <c r="N129" s="95"/>
      <c r="O129" s="96"/>
      <c r="P129" s="100" t="str">
        <f t="shared" si="11"/>
        <v/>
      </c>
      <c r="Q129" s="96"/>
      <c r="R129" s="100" t="str">
        <f t="shared" si="11"/>
        <v/>
      </c>
      <c r="S129" s="96"/>
      <c r="T129" s="100" t="str">
        <f t="shared" si="11"/>
        <v/>
      </c>
      <c r="U129" s="96"/>
      <c r="V129" s="100" t="str">
        <f t="shared" si="11"/>
        <v/>
      </c>
      <c r="W129" s="96"/>
      <c r="X129" s="100" t="str">
        <f t="shared" si="13"/>
        <v/>
      </c>
      <c r="Y129" s="96"/>
      <c r="Z129" s="100" t="str">
        <f t="shared" si="12"/>
        <v/>
      </c>
    </row>
    <row r="130" spans="1:26" x14ac:dyDescent="0.2">
      <c r="A130" s="95"/>
      <c r="B130" s="95"/>
      <c r="C130" s="95"/>
      <c r="E130" s="97"/>
      <c r="F130" s="97"/>
      <c r="G130" s="97"/>
      <c r="I130" s="105" t="str">
        <f t="shared" si="10"/>
        <v/>
      </c>
      <c r="K130" s="95"/>
      <c r="L130" s="95"/>
      <c r="M130" s="97"/>
      <c r="N130" s="95"/>
      <c r="O130" s="96"/>
      <c r="P130" s="100" t="str">
        <f t="shared" si="11"/>
        <v/>
      </c>
      <c r="Q130" s="96"/>
      <c r="R130" s="100" t="str">
        <f t="shared" si="11"/>
        <v/>
      </c>
      <c r="S130" s="96"/>
      <c r="T130" s="100" t="str">
        <f t="shared" si="11"/>
        <v/>
      </c>
      <c r="U130" s="96"/>
      <c r="V130" s="100" t="str">
        <f t="shared" si="11"/>
        <v/>
      </c>
      <c r="W130" s="96"/>
      <c r="X130" s="100" t="str">
        <f t="shared" si="13"/>
        <v/>
      </c>
      <c r="Y130" s="96"/>
      <c r="Z130" s="100" t="str">
        <f t="shared" si="12"/>
        <v/>
      </c>
    </row>
    <row r="131" spans="1:26" x14ac:dyDescent="0.2">
      <c r="A131" s="95"/>
      <c r="B131" s="95"/>
      <c r="C131" s="95"/>
      <c r="E131" s="97"/>
      <c r="F131" s="97"/>
      <c r="G131" s="97"/>
      <c r="I131" s="105" t="str">
        <f t="shared" si="10"/>
        <v/>
      </c>
      <c r="K131" s="95"/>
      <c r="L131" s="95"/>
      <c r="M131" s="97"/>
      <c r="N131" s="95"/>
      <c r="O131" s="96"/>
      <c r="P131" s="100" t="str">
        <f t="shared" si="11"/>
        <v/>
      </c>
      <c r="Q131" s="96"/>
      <c r="R131" s="100" t="str">
        <f t="shared" si="11"/>
        <v/>
      </c>
      <c r="S131" s="96"/>
      <c r="T131" s="100" t="str">
        <f t="shared" si="11"/>
        <v/>
      </c>
      <c r="U131" s="96"/>
      <c r="V131" s="100" t="str">
        <f t="shared" si="11"/>
        <v/>
      </c>
      <c r="W131" s="96"/>
      <c r="X131" s="100" t="str">
        <f t="shared" si="13"/>
        <v/>
      </c>
      <c r="Y131" s="96"/>
      <c r="Z131" s="100" t="str">
        <f t="shared" si="12"/>
        <v/>
      </c>
    </row>
    <row r="132" spans="1:26" x14ac:dyDescent="0.2">
      <c r="A132" s="95"/>
      <c r="B132" s="95"/>
      <c r="C132" s="95"/>
      <c r="E132" s="97"/>
      <c r="F132" s="97"/>
      <c r="G132" s="97"/>
      <c r="I132" s="105" t="str">
        <f t="shared" si="10"/>
        <v/>
      </c>
      <c r="K132" s="95"/>
      <c r="L132" s="95"/>
      <c r="M132" s="97"/>
      <c r="N132" s="95"/>
      <c r="O132" s="96"/>
      <c r="P132" s="100" t="str">
        <f t="shared" si="11"/>
        <v/>
      </c>
      <c r="Q132" s="96"/>
      <c r="R132" s="100" t="str">
        <f t="shared" si="11"/>
        <v/>
      </c>
      <c r="S132" s="96"/>
      <c r="T132" s="100" t="str">
        <f t="shared" si="11"/>
        <v/>
      </c>
      <c r="U132" s="96"/>
      <c r="V132" s="100" t="str">
        <f t="shared" si="11"/>
        <v/>
      </c>
      <c r="W132" s="96"/>
      <c r="X132" s="100" t="str">
        <f t="shared" si="13"/>
        <v/>
      </c>
      <c r="Y132" s="96"/>
      <c r="Z132" s="100" t="str">
        <f t="shared" si="12"/>
        <v/>
      </c>
    </row>
    <row r="133" spans="1:26" x14ac:dyDescent="0.2">
      <c r="A133" s="95"/>
      <c r="B133" s="95"/>
      <c r="C133" s="95"/>
      <c r="E133" s="97"/>
      <c r="F133" s="97"/>
      <c r="G133" s="97"/>
      <c r="I133" s="105" t="str">
        <f t="shared" si="10"/>
        <v/>
      </c>
      <c r="K133" s="95"/>
      <c r="L133" s="95"/>
      <c r="M133" s="97"/>
      <c r="N133" s="95"/>
      <c r="O133" s="96"/>
      <c r="P133" s="100" t="str">
        <f t="shared" si="11"/>
        <v/>
      </c>
      <c r="Q133" s="96"/>
      <c r="R133" s="100" t="str">
        <f t="shared" si="11"/>
        <v/>
      </c>
      <c r="S133" s="96"/>
      <c r="T133" s="100" t="str">
        <f t="shared" si="11"/>
        <v/>
      </c>
      <c r="U133" s="96"/>
      <c r="V133" s="100" t="str">
        <f t="shared" si="11"/>
        <v/>
      </c>
      <c r="W133" s="96"/>
      <c r="X133" s="100" t="str">
        <f t="shared" si="13"/>
        <v/>
      </c>
      <c r="Y133" s="96"/>
      <c r="Z133" s="100" t="str">
        <f t="shared" si="12"/>
        <v/>
      </c>
    </row>
    <row r="134" spans="1:26" x14ac:dyDescent="0.2">
      <c r="A134" s="95"/>
      <c r="B134" s="95"/>
      <c r="C134" s="95"/>
      <c r="E134" s="97"/>
      <c r="F134" s="97"/>
      <c r="G134" s="97"/>
      <c r="I134" s="105" t="str">
        <f t="shared" si="10"/>
        <v/>
      </c>
      <c r="K134" s="95"/>
      <c r="L134" s="95"/>
      <c r="M134" s="97"/>
      <c r="N134" s="95"/>
      <c r="O134" s="96"/>
      <c r="P134" s="100" t="str">
        <f t="shared" si="11"/>
        <v/>
      </c>
      <c r="Q134" s="96"/>
      <c r="R134" s="100" t="str">
        <f t="shared" si="11"/>
        <v/>
      </c>
      <c r="S134" s="96"/>
      <c r="T134" s="100" t="str">
        <f t="shared" si="11"/>
        <v/>
      </c>
      <c r="U134" s="96"/>
      <c r="V134" s="100" t="str">
        <f t="shared" si="11"/>
        <v/>
      </c>
      <c r="W134" s="96"/>
      <c r="X134" s="100" t="str">
        <f t="shared" si="13"/>
        <v/>
      </c>
      <c r="Y134" s="96"/>
      <c r="Z134" s="100" t="str">
        <f t="shared" si="12"/>
        <v/>
      </c>
    </row>
    <row r="135" spans="1:26" x14ac:dyDescent="0.2">
      <c r="A135" s="95"/>
      <c r="B135" s="95"/>
      <c r="C135" s="95"/>
      <c r="E135" s="97"/>
      <c r="F135" s="97"/>
      <c r="G135" s="97"/>
      <c r="I135" s="105" t="str">
        <f t="shared" si="10"/>
        <v/>
      </c>
      <c r="K135" s="95"/>
      <c r="L135" s="95"/>
      <c r="M135" s="97"/>
      <c r="N135" s="95"/>
      <c r="O135" s="96"/>
      <c r="P135" s="100" t="str">
        <f t="shared" si="11"/>
        <v/>
      </c>
      <c r="Q135" s="96"/>
      <c r="R135" s="100" t="str">
        <f t="shared" si="11"/>
        <v/>
      </c>
      <c r="S135" s="96"/>
      <c r="T135" s="100" t="str">
        <f t="shared" si="11"/>
        <v/>
      </c>
      <c r="U135" s="96"/>
      <c r="V135" s="100" t="str">
        <f t="shared" si="11"/>
        <v/>
      </c>
      <c r="W135" s="96"/>
      <c r="X135" s="100" t="str">
        <f t="shared" si="13"/>
        <v/>
      </c>
      <c r="Y135" s="96"/>
      <c r="Z135" s="100" t="str">
        <f t="shared" si="12"/>
        <v/>
      </c>
    </row>
    <row r="136" spans="1:26" x14ac:dyDescent="0.2">
      <c r="A136" s="95"/>
      <c r="B136" s="95"/>
      <c r="C136" s="95"/>
      <c r="E136" s="97"/>
      <c r="F136" s="97"/>
      <c r="G136" s="97"/>
      <c r="I136" s="105" t="str">
        <f t="shared" si="10"/>
        <v/>
      </c>
      <c r="K136" s="95"/>
      <c r="L136" s="95"/>
      <c r="M136" s="97"/>
      <c r="N136" s="95"/>
      <c r="O136" s="96"/>
      <c r="P136" s="100" t="str">
        <f t="shared" si="11"/>
        <v/>
      </c>
      <c r="Q136" s="96"/>
      <c r="R136" s="100" t="str">
        <f t="shared" si="11"/>
        <v/>
      </c>
      <c r="S136" s="96"/>
      <c r="T136" s="100" t="str">
        <f t="shared" si="11"/>
        <v/>
      </c>
      <c r="U136" s="96"/>
      <c r="V136" s="100" t="str">
        <f t="shared" si="11"/>
        <v/>
      </c>
      <c r="W136" s="96"/>
      <c r="X136" s="100" t="str">
        <f t="shared" si="13"/>
        <v/>
      </c>
      <c r="Y136" s="96"/>
      <c r="Z136" s="100" t="str">
        <f t="shared" si="12"/>
        <v/>
      </c>
    </row>
    <row r="137" spans="1:26" x14ac:dyDescent="0.2">
      <c r="A137" s="95"/>
      <c r="B137" s="95"/>
      <c r="C137" s="95"/>
      <c r="E137" s="97"/>
      <c r="F137" s="97"/>
      <c r="G137" s="97"/>
      <c r="I137" s="105" t="str">
        <f t="shared" si="10"/>
        <v/>
      </c>
      <c r="K137" s="95"/>
      <c r="L137" s="95"/>
      <c r="M137" s="97"/>
      <c r="N137" s="95"/>
      <c r="O137" s="96"/>
      <c r="P137" s="100" t="str">
        <f t="shared" si="11"/>
        <v/>
      </c>
      <c r="Q137" s="96"/>
      <c r="R137" s="100" t="str">
        <f t="shared" si="11"/>
        <v/>
      </c>
      <c r="S137" s="96"/>
      <c r="T137" s="100" t="str">
        <f t="shared" si="11"/>
        <v/>
      </c>
      <c r="U137" s="96"/>
      <c r="V137" s="100" t="str">
        <f t="shared" si="11"/>
        <v/>
      </c>
      <c r="W137" s="96"/>
      <c r="X137" s="100" t="str">
        <f t="shared" si="13"/>
        <v/>
      </c>
      <c r="Y137" s="96"/>
      <c r="Z137" s="100" t="str">
        <f t="shared" si="12"/>
        <v/>
      </c>
    </row>
    <row r="138" spans="1:26" x14ac:dyDescent="0.2">
      <c r="A138" s="95"/>
      <c r="B138" s="95"/>
      <c r="C138" s="95"/>
      <c r="E138" s="97"/>
      <c r="F138" s="97"/>
      <c r="G138" s="97"/>
      <c r="I138" s="105" t="str">
        <f t="shared" si="10"/>
        <v/>
      </c>
      <c r="K138" s="95"/>
      <c r="L138" s="95"/>
      <c r="M138" s="97"/>
      <c r="N138" s="95"/>
      <c r="O138" s="96"/>
      <c r="P138" s="100" t="str">
        <f t="shared" si="11"/>
        <v/>
      </c>
      <c r="Q138" s="96"/>
      <c r="R138" s="100" t="str">
        <f t="shared" si="11"/>
        <v/>
      </c>
      <c r="S138" s="96"/>
      <c r="T138" s="100" t="str">
        <f t="shared" si="11"/>
        <v/>
      </c>
      <c r="U138" s="96"/>
      <c r="V138" s="100" t="str">
        <f t="shared" si="11"/>
        <v/>
      </c>
      <c r="W138" s="96"/>
      <c r="X138" s="100" t="str">
        <f t="shared" si="13"/>
        <v/>
      </c>
      <c r="Y138" s="96"/>
      <c r="Z138" s="100" t="str">
        <f t="shared" si="12"/>
        <v/>
      </c>
    </row>
    <row r="139" spans="1:26" x14ac:dyDescent="0.2">
      <c r="A139" s="95"/>
      <c r="B139" s="95"/>
      <c r="C139" s="95"/>
      <c r="E139" s="97"/>
      <c r="F139" s="97"/>
      <c r="G139" s="97"/>
      <c r="I139" s="105" t="str">
        <f t="shared" si="10"/>
        <v/>
      </c>
      <c r="K139" s="95"/>
      <c r="L139" s="95"/>
      <c r="M139" s="97"/>
      <c r="N139" s="95"/>
      <c r="O139" s="96"/>
      <c r="P139" s="100" t="str">
        <f t="shared" si="11"/>
        <v/>
      </c>
      <c r="Q139" s="96"/>
      <c r="R139" s="100" t="str">
        <f t="shared" si="11"/>
        <v/>
      </c>
      <c r="S139" s="96"/>
      <c r="T139" s="100" t="str">
        <f t="shared" si="11"/>
        <v/>
      </c>
      <c r="U139" s="96"/>
      <c r="V139" s="100" t="str">
        <f t="shared" si="11"/>
        <v/>
      </c>
      <c r="W139" s="96"/>
      <c r="X139" s="100" t="str">
        <f t="shared" si="13"/>
        <v/>
      </c>
      <c r="Y139" s="96"/>
      <c r="Z139" s="100" t="str">
        <f t="shared" si="12"/>
        <v/>
      </c>
    </row>
    <row r="140" spans="1:26" x14ac:dyDescent="0.2">
      <c r="A140" s="95"/>
      <c r="B140" s="95"/>
      <c r="C140" s="95"/>
      <c r="E140" s="97"/>
      <c r="F140" s="97"/>
      <c r="G140" s="97"/>
      <c r="I140" s="105" t="str">
        <f t="shared" si="10"/>
        <v/>
      </c>
      <c r="K140" s="95"/>
      <c r="L140" s="95"/>
      <c r="M140" s="97"/>
      <c r="N140" s="95"/>
      <c r="O140" s="96"/>
      <c r="P140" s="100" t="str">
        <f t="shared" si="11"/>
        <v/>
      </c>
      <c r="Q140" s="96"/>
      <c r="R140" s="100" t="str">
        <f t="shared" si="11"/>
        <v/>
      </c>
      <c r="S140" s="96"/>
      <c r="T140" s="100" t="str">
        <f t="shared" si="11"/>
        <v/>
      </c>
      <c r="U140" s="96"/>
      <c r="V140" s="100" t="str">
        <f t="shared" si="11"/>
        <v/>
      </c>
      <c r="W140" s="96"/>
      <c r="X140" s="100" t="str">
        <f t="shared" si="13"/>
        <v/>
      </c>
      <c r="Y140" s="96"/>
      <c r="Z140" s="100" t="str">
        <f t="shared" si="12"/>
        <v/>
      </c>
    </row>
    <row r="141" spans="1:26" x14ac:dyDescent="0.2">
      <c r="A141" s="95"/>
      <c r="B141" s="95"/>
      <c r="C141" s="95"/>
      <c r="E141" s="97"/>
      <c r="F141" s="97"/>
      <c r="G141" s="97"/>
      <c r="I141" s="105" t="str">
        <f t="shared" si="10"/>
        <v/>
      </c>
      <c r="K141" s="95"/>
      <c r="L141" s="95"/>
      <c r="M141" s="97"/>
      <c r="N141" s="95"/>
      <c r="O141" s="96"/>
      <c r="P141" s="100" t="str">
        <f t="shared" si="11"/>
        <v/>
      </c>
      <c r="Q141" s="96"/>
      <c r="R141" s="100" t="str">
        <f t="shared" si="11"/>
        <v/>
      </c>
      <c r="S141" s="96"/>
      <c r="T141" s="100" t="str">
        <f t="shared" si="11"/>
        <v/>
      </c>
      <c r="U141" s="96"/>
      <c r="V141" s="100" t="str">
        <f t="shared" si="11"/>
        <v/>
      </c>
      <c r="W141" s="96"/>
      <c r="X141" s="100" t="str">
        <f t="shared" si="13"/>
        <v/>
      </c>
      <c r="Y141" s="96"/>
      <c r="Z141" s="100" t="str">
        <f t="shared" si="12"/>
        <v/>
      </c>
    </row>
    <row r="142" spans="1:26" x14ac:dyDescent="0.2">
      <c r="A142" s="95"/>
      <c r="B142" s="95"/>
      <c r="C142" s="95"/>
      <c r="E142" s="97"/>
      <c r="F142" s="97"/>
      <c r="G142" s="97"/>
      <c r="I142" s="105" t="str">
        <f t="shared" si="10"/>
        <v/>
      </c>
      <c r="K142" s="95"/>
      <c r="L142" s="95"/>
      <c r="M142" s="97"/>
      <c r="N142" s="95"/>
      <c r="O142" s="96"/>
      <c r="P142" s="100" t="str">
        <f t="shared" si="11"/>
        <v/>
      </c>
      <c r="Q142" s="96"/>
      <c r="R142" s="100" t="str">
        <f t="shared" si="11"/>
        <v/>
      </c>
      <c r="S142" s="96"/>
      <c r="T142" s="100" t="str">
        <f t="shared" si="11"/>
        <v/>
      </c>
      <c r="U142" s="96"/>
      <c r="V142" s="100" t="str">
        <f t="shared" si="11"/>
        <v/>
      </c>
      <c r="W142" s="96"/>
      <c r="X142" s="100" t="str">
        <f t="shared" si="13"/>
        <v/>
      </c>
      <c r="Y142" s="96"/>
      <c r="Z142" s="100" t="str">
        <f t="shared" si="12"/>
        <v/>
      </c>
    </row>
    <row r="143" spans="1:26" x14ac:dyDescent="0.2">
      <c r="A143" s="95"/>
      <c r="B143" s="95"/>
      <c r="C143" s="95"/>
      <c r="E143" s="97"/>
      <c r="F143" s="97"/>
      <c r="G143" s="97"/>
      <c r="I143" s="105" t="str">
        <f t="shared" si="10"/>
        <v/>
      </c>
      <c r="K143" s="95"/>
      <c r="L143" s="95"/>
      <c r="M143" s="97"/>
      <c r="N143" s="95"/>
      <c r="O143" s="96"/>
      <c r="P143" s="100" t="str">
        <f t="shared" si="11"/>
        <v/>
      </c>
      <c r="Q143" s="96"/>
      <c r="R143" s="100" t="str">
        <f t="shared" si="11"/>
        <v/>
      </c>
      <c r="S143" s="96"/>
      <c r="T143" s="100" t="str">
        <f t="shared" si="11"/>
        <v/>
      </c>
      <c r="U143" s="96"/>
      <c r="V143" s="100" t="str">
        <f t="shared" si="11"/>
        <v/>
      </c>
      <c r="W143" s="96"/>
      <c r="X143" s="100" t="str">
        <f t="shared" si="13"/>
        <v/>
      </c>
      <c r="Y143" s="96"/>
      <c r="Z143" s="100" t="str">
        <f t="shared" si="12"/>
        <v/>
      </c>
    </row>
    <row r="144" spans="1:26" x14ac:dyDescent="0.2">
      <c r="A144" s="95"/>
      <c r="B144" s="95"/>
      <c r="C144" s="95"/>
      <c r="E144" s="97"/>
      <c r="F144" s="97"/>
      <c r="G144" s="97"/>
      <c r="I144" s="105" t="str">
        <f t="shared" si="10"/>
        <v/>
      </c>
      <c r="K144" s="95"/>
      <c r="L144" s="95"/>
      <c r="M144" s="97"/>
      <c r="N144" s="95"/>
      <c r="O144" s="96"/>
      <c r="P144" s="100" t="str">
        <f t="shared" si="11"/>
        <v/>
      </c>
      <c r="Q144" s="96"/>
      <c r="R144" s="100" t="str">
        <f t="shared" si="11"/>
        <v/>
      </c>
      <c r="S144" s="96"/>
      <c r="T144" s="100" t="str">
        <f t="shared" si="11"/>
        <v/>
      </c>
      <c r="U144" s="96"/>
      <c r="V144" s="100" t="str">
        <f t="shared" si="11"/>
        <v/>
      </c>
      <c r="W144" s="96"/>
      <c r="X144" s="100" t="str">
        <f t="shared" si="13"/>
        <v/>
      </c>
      <c r="Y144" s="96"/>
      <c r="Z144" s="100" t="str">
        <f t="shared" si="12"/>
        <v/>
      </c>
    </row>
  </sheetData>
  <sheetProtection password="B3DE" sheet="1" objects="1" scenarios="1"/>
  <mergeCells count="3">
    <mergeCell ref="E18:G18"/>
    <mergeCell ref="A18:C18"/>
    <mergeCell ref="K1:Z2"/>
  </mergeCells>
  <dataValidations disablePrompts="1" count="1">
    <dataValidation type="list" allowBlank="1" showInputMessage="1" showErrorMessage="1" sqref="N20:N144 P8 Z8 R8 V8 X8 T8">
      <formula1>curve_names</formula1>
    </dataValidation>
  </dataValidations>
  <pageMargins left="0.70866141732283472" right="0.70866141732283472" top="0.74803149606299213" bottom="0.74803149606299213" header="0.31496062992125984" footer="0.31496062992125984"/>
  <pageSetup paperSize="9" scale="54" fitToHeight="3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R58"/>
  <sheetViews>
    <sheetView showGridLines="0" topLeftCell="A40" zoomScaleNormal="100" workbookViewId="0">
      <selection activeCell="B27" sqref="B27"/>
    </sheetView>
  </sheetViews>
  <sheetFormatPr defaultRowHeight="15" x14ac:dyDescent="0.25"/>
  <cols>
    <col min="1" max="1" width="9.33203125" style="14"/>
    <col min="2" max="2" width="19.6640625" style="14" customWidth="1"/>
    <col min="3" max="3" width="33.5" style="14" customWidth="1"/>
    <col min="4" max="5" width="9.33203125" style="14"/>
    <col min="6" max="6" width="21" style="14" customWidth="1"/>
    <col min="7" max="7" width="23.6640625" style="14" customWidth="1"/>
    <col min="8" max="16384" width="9.33203125" style="14"/>
  </cols>
  <sheetData>
    <row r="1" spans="1:1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18" x14ac:dyDescent="0.25">
      <c r="A3" s="13"/>
      <c r="B3" s="15" t="s">
        <v>1</v>
      </c>
      <c r="C3" s="16" t="str">
        <f>assured</f>
        <v>BRICKPOINT</v>
      </c>
      <c r="D3" s="13"/>
      <c r="E3" s="13"/>
      <c r="F3" s="15" t="s">
        <v>180</v>
      </c>
      <c r="G3" s="1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8" x14ac:dyDescent="0.25">
      <c r="A4" s="13"/>
      <c r="B4" s="15" t="s">
        <v>11</v>
      </c>
      <c r="C4" s="18">
        <f>inception</f>
        <v>42710</v>
      </c>
      <c r="D4" s="13"/>
      <c r="E4" s="13"/>
      <c r="F4" s="15" t="s">
        <v>181</v>
      </c>
      <c r="G4" s="17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8" x14ac:dyDescent="0.25">
      <c r="A5" s="13"/>
      <c r="B5" s="15" t="s">
        <v>12</v>
      </c>
      <c r="C5" s="18">
        <f>expiry</f>
        <v>42709</v>
      </c>
      <c r="D5" s="13"/>
      <c r="E5" s="13"/>
      <c r="F5"/>
      <c r="G5" s="11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x14ac:dyDescent="0.25">
      <c r="A6" s="13"/>
      <c r="B6" s="13"/>
      <c r="C6" s="13"/>
      <c r="D6" s="13"/>
      <c r="E6" s="13"/>
      <c r="F6" s="15" t="s">
        <v>182</v>
      </c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x14ac:dyDescent="0.25">
      <c r="A7" s="13"/>
      <c r="B7" s="15" t="s">
        <v>183</v>
      </c>
      <c r="C7" s="2" t="s">
        <v>23</v>
      </c>
      <c r="D7" s="13"/>
      <c r="F7" s="15" t="s">
        <v>184</v>
      </c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8" x14ac:dyDescent="0.25">
      <c r="A8" s="13"/>
      <c r="B8" s="13"/>
      <c r="C8" s="19"/>
      <c r="D8" s="13"/>
      <c r="E8" s="13"/>
      <c r="F8" s="15" t="s">
        <v>185</v>
      </c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x14ac:dyDescent="0.25">
      <c r="A9" s="13"/>
      <c r="B9" s="15" t="s">
        <v>186</v>
      </c>
      <c r="C9" s="17">
        <v>9</v>
      </c>
      <c r="D9" s="13"/>
      <c r="E9" s="13"/>
      <c r="F9" s="15" t="s">
        <v>187</v>
      </c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x14ac:dyDescent="0.25">
      <c r="A10" s="13"/>
      <c r="B10" s="15" t="s">
        <v>188</v>
      </c>
      <c r="C10" s="17">
        <v>6185117.9653000003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x14ac:dyDescent="0.25">
      <c r="A12" s="13"/>
      <c r="C12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</sheetData>
  <dataValidations count="1">
    <dataValidation type="list" allowBlank="1" showInputMessage="1" showErrorMessage="1" sqref="C7">
      <formula1>"State, County"</formula1>
    </dataValidation>
  </dataValidations>
  <pageMargins left="0.70866141732283472" right="0.70866141732283472" top="0.74803149606299213" bottom="0.74803149606299213" header="0.31496062992125984" footer="0.31496062992125984"/>
  <pageSetup paperSize="9" scale="83" orientation="portrait" r:id="rId1"/>
  <headerFooter>
    <oddHeader>&amp;C&amp;"Calibri,Bold"&amp;16Locations Summary</oddHeader>
    <oddFooter>&amp;L&amp;Z&amp;F&amp;R&amp;P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M35"/>
  <sheetViews>
    <sheetView showGridLines="0" zoomScaleNormal="100" workbookViewId="0">
      <selection activeCell="B1" sqref="B1:I2"/>
    </sheetView>
  </sheetViews>
  <sheetFormatPr defaultColWidth="16.6640625" defaultRowHeight="12.75" x14ac:dyDescent="0.2"/>
  <cols>
    <col min="1" max="1" width="2" style="20" customWidth="1"/>
    <col min="2" max="8" width="16.6640625" style="21"/>
    <col min="9" max="9" width="4.1640625" style="21" customWidth="1"/>
    <col min="10" max="10" width="19" style="21" bestFit="1" customWidth="1"/>
    <col min="11" max="16384" width="16.6640625" style="21"/>
  </cols>
  <sheetData>
    <row r="1" spans="1:12" ht="11.25" customHeight="1" x14ac:dyDescent="0.2">
      <c r="B1" s="115" t="s">
        <v>811</v>
      </c>
      <c r="C1" s="116"/>
      <c r="D1" s="116"/>
      <c r="E1" s="116"/>
      <c r="F1" s="116"/>
      <c r="G1" s="116"/>
      <c r="H1" s="116"/>
      <c r="I1" s="117"/>
    </row>
    <row r="2" spans="1:12" ht="11.25" customHeight="1" x14ac:dyDescent="0.2">
      <c r="B2" s="118"/>
      <c r="C2" s="119"/>
      <c r="D2" s="119"/>
      <c r="E2" s="119"/>
      <c r="F2" s="119"/>
      <c r="G2" s="119"/>
      <c r="H2" s="119"/>
      <c r="I2" s="120"/>
    </row>
    <row r="3" spans="1:12" ht="6.75" customHeight="1" x14ac:dyDescent="0.2"/>
    <row r="4" spans="1:12" ht="18.75" customHeight="1" x14ac:dyDescent="0.2">
      <c r="D4"/>
      <c r="E4"/>
      <c r="K4"/>
      <c r="L4"/>
    </row>
    <row r="5" spans="1:12" ht="18.75" customHeight="1" x14ac:dyDescent="0.2">
      <c r="B5" s="82" t="s">
        <v>189</v>
      </c>
      <c r="C5" s="82"/>
      <c r="D5" s="22">
        <v>0.03</v>
      </c>
      <c r="F5" s="20"/>
      <c r="G5" s="20"/>
      <c r="I5"/>
      <c r="J5"/>
    </row>
    <row r="6" spans="1:12" ht="17.25" customHeight="1" x14ac:dyDescent="0.2">
      <c r="I6" s="23"/>
      <c r="J6"/>
    </row>
    <row r="7" spans="1:12" s="25" customFormat="1" ht="18.75" customHeight="1" x14ac:dyDescent="0.2">
      <c r="A7" s="20"/>
      <c r="B7" s="24"/>
      <c r="C7" s="24"/>
      <c r="D7" s="24"/>
      <c r="E7" s="83" t="s">
        <v>190</v>
      </c>
      <c r="F7" s="83"/>
      <c r="I7"/>
    </row>
    <row r="8" spans="1:12" s="29" customFormat="1" ht="22.5" customHeight="1" x14ac:dyDescent="0.2">
      <c r="A8" s="20"/>
      <c r="B8" s="26" t="s">
        <v>13</v>
      </c>
      <c r="C8" s="27" t="s">
        <v>191</v>
      </c>
      <c r="D8" s="27" t="s">
        <v>192</v>
      </c>
      <c r="E8" s="28" t="s">
        <v>193</v>
      </c>
      <c r="F8" s="28" t="s">
        <v>194</v>
      </c>
      <c r="G8" s="27" t="s">
        <v>195</v>
      </c>
      <c r="H8" s="27" t="s">
        <v>187</v>
      </c>
      <c r="I8"/>
    </row>
    <row r="9" spans="1:12" s="25" customFormat="1" ht="18.75" customHeight="1" x14ac:dyDescent="0.2">
      <c r="A9" s="20"/>
      <c r="B9" s="26">
        <f t="shared" ref="B9:B16" si="0">B10-1</f>
        <v>2006</v>
      </c>
      <c r="C9" s="30" t="s">
        <v>196</v>
      </c>
      <c r="D9" s="31"/>
      <c r="E9" s="32">
        <v>1</v>
      </c>
      <c r="F9" s="33">
        <v>0.98899999999999999</v>
      </c>
      <c r="G9" s="34">
        <f t="shared" ref="G9:G18" si="1">D9*F9*(1+$D$5)^(yoa-B9)</f>
        <v>0</v>
      </c>
      <c r="H9" s="35">
        <v>1000000000</v>
      </c>
      <c r="I9"/>
    </row>
    <row r="10" spans="1:12" s="25" customFormat="1" ht="18.75" customHeight="1" x14ac:dyDescent="0.2">
      <c r="A10" s="20"/>
      <c r="B10" s="26">
        <f t="shared" si="0"/>
        <v>2007</v>
      </c>
      <c r="C10" s="30" t="s">
        <v>196</v>
      </c>
      <c r="D10" s="31"/>
      <c r="E10" s="32">
        <v>1</v>
      </c>
      <c r="F10" s="33">
        <v>0.98</v>
      </c>
      <c r="G10" s="34">
        <f t="shared" si="1"/>
        <v>0</v>
      </c>
      <c r="H10" s="35">
        <v>1000000000</v>
      </c>
      <c r="I10"/>
    </row>
    <row r="11" spans="1:12" s="25" customFormat="1" ht="18.75" customHeight="1" x14ac:dyDescent="0.2">
      <c r="A11" s="20"/>
      <c r="B11" s="26">
        <f t="shared" si="0"/>
        <v>2008</v>
      </c>
      <c r="C11" s="30" t="s">
        <v>196</v>
      </c>
      <c r="D11" s="31"/>
      <c r="E11" s="32">
        <v>1</v>
      </c>
      <c r="F11" s="33">
        <v>0.97399999999999998</v>
      </c>
      <c r="G11" s="34">
        <f t="shared" si="1"/>
        <v>0</v>
      </c>
      <c r="H11" s="35">
        <v>1000000000</v>
      </c>
      <c r="I11"/>
    </row>
    <row r="12" spans="1:12" s="25" customFormat="1" ht="18.75" customHeight="1" x14ac:dyDescent="0.2">
      <c r="A12" s="20"/>
      <c r="B12" s="26">
        <f t="shared" si="0"/>
        <v>2009</v>
      </c>
      <c r="C12" s="30" t="s">
        <v>196</v>
      </c>
      <c r="D12" s="31"/>
      <c r="E12" s="32">
        <v>1</v>
      </c>
      <c r="F12" s="33">
        <v>0.95099999999999996</v>
      </c>
      <c r="G12" s="34">
        <f t="shared" si="1"/>
        <v>0</v>
      </c>
      <c r="H12" s="35">
        <v>1000000000</v>
      </c>
      <c r="I12"/>
    </row>
    <row r="13" spans="1:12" s="25" customFormat="1" ht="18.75" customHeight="1" x14ac:dyDescent="0.2">
      <c r="A13" s="20"/>
      <c r="B13" s="26">
        <f t="shared" si="0"/>
        <v>2010</v>
      </c>
      <c r="C13" s="30" t="s">
        <v>196</v>
      </c>
      <c r="D13" s="31"/>
      <c r="E13" s="32">
        <v>1</v>
      </c>
      <c r="F13" s="33">
        <v>0.93700000000000006</v>
      </c>
      <c r="G13" s="34">
        <f t="shared" si="1"/>
        <v>0</v>
      </c>
      <c r="H13" s="35">
        <v>1000000000</v>
      </c>
      <c r="I13"/>
    </row>
    <row r="14" spans="1:12" s="25" customFormat="1" ht="18.75" customHeight="1" x14ac:dyDescent="0.2">
      <c r="A14" s="20"/>
      <c r="B14" s="26">
        <f t="shared" si="0"/>
        <v>2011</v>
      </c>
      <c r="C14" s="30" t="s">
        <v>197</v>
      </c>
      <c r="D14" s="31"/>
      <c r="E14" s="32">
        <v>1</v>
      </c>
      <c r="F14" s="33">
        <v>0.91300000000000003</v>
      </c>
      <c r="G14" s="34">
        <f t="shared" si="1"/>
        <v>0</v>
      </c>
      <c r="H14" s="35">
        <v>1000000000</v>
      </c>
      <c r="I14"/>
    </row>
    <row r="15" spans="1:12" s="25" customFormat="1" ht="18.75" customHeight="1" x14ac:dyDescent="0.2">
      <c r="A15" s="20"/>
      <c r="B15" s="26">
        <f t="shared" si="0"/>
        <v>2012</v>
      </c>
      <c r="C15" s="30" t="s">
        <v>197</v>
      </c>
      <c r="D15" s="31"/>
      <c r="E15" s="32">
        <v>0.99009999999999998</v>
      </c>
      <c r="F15" s="33">
        <v>0.88800000000000001</v>
      </c>
      <c r="G15" s="34">
        <f t="shared" si="1"/>
        <v>0</v>
      </c>
      <c r="H15" s="35">
        <v>1000000000</v>
      </c>
      <c r="I15"/>
    </row>
    <row r="16" spans="1:12" s="25" customFormat="1" ht="18.75" customHeight="1" x14ac:dyDescent="0.2">
      <c r="A16" s="20"/>
      <c r="B16" s="26">
        <f t="shared" si="0"/>
        <v>2013</v>
      </c>
      <c r="C16" s="30" t="s">
        <v>197</v>
      </c>
      <c r="D16" s="31"/>
      <c r="E16" s="32">
        <v>0.95589999999999997</v>
      </c>
      <c r="F16" s="33">
        <v>0.89900000000000002</v>
      </c>
      <c r="G16" s="34">
        <f t="shared" si="1"/>
        <v>0</v>
      </c>
      <c r="H16" s="35">
        <v>1000000000</v>
      </c>
      <c r="I16"/>
    </row>
    <row r="17" spans="1:13" s="25" customFormat="1" ht="18.75" customHeight="1" x14ac:dyDescent="0.2">
      <c r="A17" s="20"/>
      <c r="B17" s="26">
        <f>B18-1</f>
        <v>2014</v>
      </c>
      <c r="C17" s="30" t="s">
        <v>197</v>
      </c>
      <c r="D17" s="31"/>
      <c r="E17" s="32">
        <v>0.85870000000000002</v>
      </c>
      <c r="F17" s="33">
        <v>0.90500000000000003</v>
      </c>
      <c r="G17" s="34">
        <f t="shared" si="1"/>
        <v>0</v>
      </c>
      <c r="H17" s="35">
        <v>1000000000</v>
      </c>
      <c r="I17"/>
    </row>
    <row r="18" spans="1:13" s="25" customFormat="1" ht="18.75" customHeight="1" x14ac:dyDescent="0.2">
      <c r="A18" s="20"/>
      <c r="B18" s="26">
        <f>IF(yoa="",0,yoa) -1</f>
        <v>2015</v>
      </c>
      <c r="C18" s="30" t="s">
        <v>197</v>
      </c>
      <c r="D18" s="31"/>
      <c r="E18" s="32">
        <v>0.68100000000000005</v>
      </c>
      <c r="F18" s="33">
        <v>1.0149999999999999</v>
      </c>
      <c r="G18" s="34">
        <f t="shared" si="1"/>
        <v>0</v>
      </c>
      <c r="H18" s="35">
        <v>1000000000</v>
      </c>
      <c r="I18"/>
    </row>
    <row r="19" spans="1:13" s="25" customFormat="1" ht="6.75" customHeight="1" x14ac:dyDescent="0.2">
      <c r="A19" s="20"/>
      <c r="B19" s="36"/>
      <c r="C19" s="37"/>
      <c r="D19" s="38"/>
      <c r="E19" s="39"/>
      <c r="F19" s="40"/>
      <c r="G19" s="40"/>
      <c r="H19" s="41"/>
      <c r="I19" s="41"/>
      <c r="J19"/>
    </row>
    <row r="20" spans="1:13" s="25" customFormat="1" ht="18.75" customHeight="1" x14ac:dyDescent="0.2">
      <c r="A20" s="20"/>
      <c r="B20" s="42" t="s">
        <v>198</v>
      </c>
      <c r="C20" s="43"/>
      <c r="D20" s="34">
        <f>SUMIF($C$9:$C$18, "=Y", D9:D18)</f>
        <v>0</v>
      </c>
      <c r="E20" s="44"/>
      <c r="F20" s="44"/>
      <c r="G20" s="42" t="s">
        <v>198</v>
      </c>
      <c r="H20" s="34">
        <f>SUMIF($C$9:$C$18, "=Y", H9:H18)</f>
        <v>5000000000</v>
      </c>
      <c r="I20"/>
    </row>
    <row r="21" spans="1:13" s="25" customFormat="1" ht="18.75" customHeight="1" x14ac:dyDescent="0.2">
      <c r="A21" s="20"/>
      <c r="B21" s="45" t="s">
        <v>199</v>
      </c>
      <c r="C21" s="46"/>
      <c r="D21" s="34">
        <f>SUMIF($C$9:$C$18, "=Y", D9:D18)/COUNTIF($C$9:$C$18, "=Y")</f>
        <v>0</v>
      </c>
      <c r="E21" s="44"/>
      <c r="F21" s="44"/>
      <c r="G21" s="45" t="s">
        <v>199</v>
      </c>
      <c r="H21" s="34">
        <f>SUMIF($C$9:$C$18, "=Y", H9:H18)/COUNTIF($C$9:$C$18, "=Y")</f>
        <v>1000000000</v>
      </c>
      <c r="I21"/>
    </row>
    <row r="22" spans="1:13" s="47" customFormat="1" ht="18.75" customHeight="1" x14ac:dyDescent="0.2">
      <c r="A22" s="20"/>
      <c r="B22" s="45" t="s">
        <v>200</v>
      </c>
      <c r="D22" s="34">
        <f>IFERROR(AVERAGE(D14:D18),0)</f>
        <v>0</v>
      </c>
      <c r="E22" s="44"/>
      <c r="F22" s="44"/>
      <c r="G22" s="45" t="s">
        <v>200</v>
      </c>
      <c r="H22" s="34">
        <f>IFERROR(AVERAGE(H14:H18),0)</f>
        <v>1000000000</v>
      </c>
      <c r="I22"/>
    </row>
    <row r="23" spans="1:13" s="47" customFormat="1" ht="18.75" customHeight="1" x14ac:dyDescent="0.2">
      <c r="A23" s="20"/>
      <c r="B23" s="20"/>
      <c r="C23" s="20"/>
      <c r="D23" s="20"/>
      <c r="E23" s="20"/>
      <c r="F23" s="44"/>
      <c r="G23" s="44"/>
      <c r="H23" s="44"/>
      <c r="I23" s="48"/>
      <c r="J23" s="49"/>
    </row>
    <row r="24" spans="1:13" s="25" customFormat="1" ht="18.75" customHeight="1" x14ac:dyDescent="0.2">
      <c r="A24" s="20"/>
      <c r="D24"/>
      <c r="E24"/>
      <c r="F24" s="44"/>
      <c r="G24" s="50"/>
      <c r="H24" s="50"/>
      <c r="I24" s="44"/>
      <c r="J24" s="44"/>
    </row>
    <row r="25" spans="1:13" s="25" customFormat="1" ht="18.75" customHeight="1" x14ac:dyDescent="0.2">
      <c r="A25" s="20"/>
      <c r="B25" s="84" t="s">
        <v>201</v>
      </c>
      <c r="C25" s="84"/>
      <c r="D25" s="34">
        <f>SUMIF(C9:C18,"Y",G9:G18)/SUMPRODUCT(--(C9:C18="Y"),E9:E18,H9:H18)*tiv</f>
        <v>0</v>
      </c>
      <c r="E25"/>
      <c r="F25" s="44"/>
      <c r="G25" s="50"/>
      <c r="H25" s="50"/>
      <c r="I25" s="44"/>
      <c r="J25" s="44"/>
      <c r="M25" s="51"/>
    </row>
    <row r="26" spans="1:13" s="25" customFormat="1" ht="18.75" customHeight="1" x14ac:dyDescent="0.2">
      <c r="A26" s="20"/>
      <c r="B26"/>
      <c r="C26"/>
      <c r="D26"/>
      <c r="E26"/>
      <c r="F26" s="44"/>
      <c r="G26" s="44"/>
      <c r="H26" s="44"/>
      <c r="I26" s="44"/>
      <c r="J26" s="44"/>
    </row>
    <row r="27" spans="1:13" ht="18.75" customHeight="1" x14ac:dyDescent="0.2"/>
    <row r="28" spans="1:13" ht="18.75" customHeight="1" x14ac:dyDescent="0.2"/>
    <row r="29" spans="1:13" ht="18.75" customHeight="1" x14ac:dyDescent="0.2"/>
    <row r="30" spans="1:13" ht="18.75" customHeight="1" x14ac:dyDescent="0.2"/>
    <row r="31" spans="1:13" ht="18.75" customHeight="1" x14ac:dyDescent="0.2"/>
    <row r="32" spans="1:13" ht="18.75" customHeight="1" x14ac:dyDescent="0.2"/>
    <row r="33" ht="18.75" customHeight="1" x14ac:dyDescent="0.2"/>
    <row r="34" ht="18.75" customHeight="1" x14ac:dyDescent="0.2"/>
    <row r="35" ht="18.75" customHeight="1" x14ac:dyDescent="0.2"/>
  </sheetData>
  <protectedRanges>
    <protectedRange sqref="J19 H9:H18 C9:D19" name="Range1"/>
    <protectedRange sqref="D5 G5" name="Range1_1"/>
  </protectedRanges>
  <mergeCells count="4">
    <mergeCell ref="B1:I2"/>
    <mergeCell ref="B5:C5"/>
    <mergeCell ref="E7:F7"/>
    <mergeCell ref="B25:C25"/>
  </mergeCells>
  <conditionalFormatting sqref="D20:D21 H19:I19 G9:G18 H20:H21">
    <cfRule type="cellIs" dxfId="16" priority="4" operator="equal">
      <formula>#REF!</formula>
    </cfRule>
  </conditionalFormatting>
  <conditionalFormatting sqref="D22">
    <cfRule type="cellIs" dxfId="15" priority="3" operator="equal">
      <formula>#REF!</formula>
    </cfRule>
  </conditionalFormatting>
  <conditionalFormatting sqref="H22">
    <cfRule type="cellIs" dxfId="14" priority="2" operator="equal">
      <formula>#REF!</formula>
    </cfRule>
  </conditionalFormatting>
  <conditionalFormatting sqref="D25">
    <cfRule type="cellIs" dxfId="13" priority="1" operator="equal">
      <formula>#REF!</formula>
    </cfRule>
  </conditionalFormatting>
  <conditionalFormatting sqref="I6">
    <cfRule type="expression" dxfId="12" priority="5">
      <formula>AND(MAX($H$9:$H$18)&gt;0, ABS(MAX($H$9:$H$18) - $J$5)/MAX($H$9:$H$18) &gt; 0.4)</formula>
    </cfRule>
  </conditionalFormatting>
  <dataValidations count="1">
    <dataValidation type="list" allowBlank="1" showInputMessage="1" showErrorMessage="1" sqref="C9:C18">
      <formula1>"Y,N"</formula1>
    </dataValidation>
  </dataValidations>
  <pageMargins left="0.70866141732283472" right="0.70866141732283472" top="0.74803149606299213" bottom="0.74803149606299213" header="0.31496062992125984" footer="0.31496062992125984"/>
  <pageSetup paperSize="9" scale="98" orientation="portrait" r:id="rId1"/>
  <headerFooter>
    <oddHeader>&amp;C&amp;"Calibri,Bold"&amp;11Experience Rating</oddHeader>
    <oddFooter>&amp;L&amp;Z&amp;F&amp;R&amp;P</oddFooter>
  </headerFooter>
  <colBreaks count="1" manualBreakCount="1">
    <brk id="9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36"/>
  <sheetViews>
    <sheetView showGridLines="0" workbookViewId="0">
      <selection activeCell="I19" sqref="I19"/>
    </sheetView>
  </sheetViews>
  <sheetFormatPr defaultRowHeight="11.25" x14ac:dyDescent="0.2"/>
  <cols>
    <col min="1" max="1" width="9.33203125" customWidth="1"/>
    <col min="2" max="2" width="3.5" customWidth="1"/>
    <col min="3" max="5" width="14.83203125" customWidth="1"/>
    <col min="6" max="6" width="2.6640625" customWidth="1"/>
    <col min="7" max="10" width="16" customWidth="1"/>
    <col min="11" max="11" width="17.33203125" customWidth="1"/>
    <col min="12" max="12" width="1.33203125" customWidth="1"/>
    <col min="13" max="13" width="21.1640625" customWidth="1"/>
  </cols>
  <sheetData>
    <row r="1" spans="3:13" ht="11.25" customHeight="1" x14ac:dyDescent="0.2">
      <c r="C1" s="85" t="s">
        <v>202</v>
      </c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3:13" ht="11.25" customHeight="1" x14ac:dyDescent="0.2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</row>
    <row r="4" spans="3:13" x14ac:dyDescent="0.2">
      <c r="C4" s="1" t="s">
        <v>1</v>
      </c>
      <c r="D4" s="87" t="str">
        <f>'Quote Info'!C4</f>
        <v>BRICKPOINT</v>
      </c>
      <c r="E4" s="88"/>
      <c r="G4" s="1" t="s">
        <v>180</v>
      </c>
      <c r="H4" s="52">
        <f>COUNT('Fire Locations'!A1:A139)</f>
        <v>138</v>
      </c>
      <c r="K4" s="1" t="s">
        <v>203</v>
      </c>
      <c r="L4" s="53"/>
      <c r="M4" s="54"/>
    </row>
    <row r="5" spans="3:13" x14ac:dyDescent="0.2">
      <c r="G5" s="1" t="s">
        <v>181</v>
      </c>
      <c r="H5" s="52">
        <f>H4</f>
        <v>138</v>
      </c>
      <c r="K5" s="1" t="s">
        <v>204</v>
      </c>
      <c r="M5" s="54" t="s">
        <v>205</v>
      </c>
    </row>
    <row r="6" spans="3:13" x14ac:dyDescent="0.2">
      <c r="C6" s="1" t="s">
        <v>11</v>
      </c>
      <c r="D6" s="89">
        <f>'Quote Info'!C11</f>
        <v>42710</v>
      </c>
      <c r="E6" s="90"/>
      <c r="G6" s="1" t="s">
        <v>182</v>
      </c>
      <c r="H6" s="55">
        <f>SUM('Fire Locations'!T2:T139)</f>
        <v>261421712.99149993</v>
      </c>
      <c r="K6" s="1" t="s">
        <v>206</v>
      </c>
      <c r="M6" s="54" t="s">
        <v>207</v>
      </c>
    </row>
    <row r="7" spans="3:13" x14ac:dyDescent="0.2">
      <c r="G7" s="1" t="s">
        <v>184</v>
      </c>
      <c r="H7" s="55">
        <f>SUM('Fire Locations'!V2:V139)</f>
        <v>100000</v>
      </c>
      <c r="K7" s="1" t="s">
        <v>208</v>
      </c>
      <c r="M7" s="54"/>
    </row>
    <row r="8" spans="3:13" x14ac:dyDescent="0.2">
      <c r="G8" s="1" t="s">
        <v>185</v>
      </c>
      <c r="H8" s="55">
        <f>SUM('Fire Locations'!X2:X139)</f>
        <v>18821679</v>
      </c>
      <c r="K8" s="1" t="s">
        <v>209</v>
      </c>
      <c r="M8" s="54"/>
    </row>
    <row r="9" spans="3:13" x14ac:dyDescent="0.2">
      <c r="G9" s="1" t="s">
        <v>187</v>
      </c>
      <c r="H9" s="55">
        <f>SUM(H6:H8)</f>
        <v>280343391.9914999</v>
      </c>
      <c r="K9" s="1" t="s">
        <v>210</v>
      </c>
      <c r="L9" s="53"/>
      <c r="M9" s="54"/>
    </row>
    <row r="10" spans="3:13" x14ac:dyDescent="0.2">
      <c r="J10" s="53"/>
      <c r="K10" s="53"/>
      <c r="L10" s="53"/>
      <c r="M10" s="56"/>
    </row>
    <row r="11" spans="3:13" x14ac:dyDescent="0.2">
      <c r="C11" s="85" t="s">
        <v>211</v>
      </c>
      <c r="D11" s="86"/>
      <c r="E11" s="86"/>
      <c r="F11" s="86"/>
      <c r="G11" s="86"/>
      <c r="H11" s="86"/>
      <c r="I11" s="86"/>
      <c r="J11" s="86"/>
      <c r="K11" s="86"/>
      <c r="L11" s="86"/>
      <c r="M11" s="86"/>
    </row>
    <row r="12" spans="3:13" x14ac:dyDescent="0.2">
      <c r="C12" s="85"/>
      <c r="D12" s="86"/>
      <c r="E12" s="86"/>
      <c r="F12" s="86"/>
      <c r="G12" s="86"/>
      <c r="H12" s="86"/>
      <c r="I12" s="86"/>
      <c r="J12" s="86"/>
      <c r="K12" s="86"/>
      <c r="L12" s="86"/>
      <c r="M12" s="86"/>
    </row>
    <row r="14" spans="3:13" x14ac:dyDescent="0.2">
      <c r="G14" s="1" t="s">
        <v>212</v>
      </c>
      <c r="H14" s="57">
        <v>10000</v>
      </c>
    </row>
    <row r="15" spans="3:13" x14ac:dyDescent="0.2">
      <c r="J15" s="58" t="s">
        <v>213</v>
      </c>
      <c r="K15" s="59" t="s">
        <v>254</v>
      </c>
    </row>
    <row r="16" spans="3:13" s="60" customFormat="1" ht="22.5" x14ac:dyDescent="0.2">
      <c r="J16" s="58" t="s">
        <v>215</v>
      </c>
      <c r="K16" s="59" t="s">
        <v>216</v>
      </c>
    </row>
    <row r="17" spans="2:13" s="60" customFormat="1" x14ac:dyDescent="0.2"/>
    <row r="18" spans="2:13" s="60" customFormat="1" ht="22.5" x14ac:dyDescent="0.2">
      <c r="C18" s="58" t="s">
        <v>302</v>
      </c>
      <c r="D18" s="58" t="s">
        <v>217</v>
      </c>
      <c r="E18" s="58" t="s">
        <v>218</v>
      </c>
      <c r="G18" s="58" t="s">
        <v>219</v>
      </c>
      <c r="H18" s="61" t="s">
        <v>220</v>
      </c>
      <c r="I18" s="61" t="s">
        <v>221</v>
      </c>
      <c r="J18" s="58" t="s">
        <v>222</v>
      </c>
      <c r="K18" s="58" t="s">
        <v>223</v>
      </c>
      <c r="M18" s="58" t="s">
        <v>224</v>
      </c>
    </row>
    <row r="19" spans="2:13" x14ac:dyDescent="0.2">
      <c r="B19" s="1">
        <v>1</v>
      </c>
      <c r="C19" s="57"/>
      <c r="D19" s="57">
        <v>1000000000</v>
      </c>
      <c r="E19" s="57">
        <v>1000000</v>
      </c>
      <c r="G19" s="55"/>
      <c r="H19" s="55"/>
      <c r="I19" s="55"/>
      <c r="J19" s="55"/>
      <c r="K19" s="55"/>
      <c r="M19" s="55"/>
    </row>
    <row r="20" spans="2:13" x14ac:dyDescent="0.2">
      <c r="B20" s="1">
        <v>2</v>
      </c>
      <c r="C20" s="57"/>
      <c r="D20" s="57"/>
      <c r="E20" s="57"/>
      <c r="G20" s="55"/>
      <c r="H20" s="55"/>
      <c r="I20" s="55"/>
      <c r="J20" s="55"/>
      <c r="K20" s="55"/>
      <c r="M20" s="55"/>
    </row>
    <row r="21" spans="2:13" x14ac:dyDescent="0.2">
      <c r="B21" s="1">
        <v>3</v>
      </c>
      <c r="C21" s="57"/>
      <c r="D21" s="57"/>
      <c r="E21" s="57"/>
      <c r="G21" s="55"/>
      <c r="H21" s="55"/>
      <c r="I21" s="55"/>
      <c r="J21" s="55"/>
      <c r="K21" s="55"/>
      <c r="M21" s="55"/>
    </row>
    <row r="22" spans="2:13" x14ac:dyDescent="0.2">
      <c r="B22" s="1">
        <v>4</v>
      </c>
      <c r="C22" s="57"/>
      <c r="D22" s="57"/>
      <c r="E22" s="57"/>
      <c r="G22" s="55"/>
      <c r="H22" s="55"/>
      <c r="I22" s="55"/>
      <c r="J22" s="55"/>
      <c r="K22" s="55"/>
      <c r="M22" s="55"/>
    </row>
    <row r="23" spans="2:13" x14ac:dyDescent="0.2">
      <c r="B23" s="1">
        <v>5</v>
      </c>
      <c r="C23" s="57"/>
      <c r="D23" s="57"/>
      <c r="E23" s="57"/>
      <c r="G23" s="55"/>
      <c r="H23" s="55"/>
      <c r="I23" s="55"/>
      <c r="J23" s="55"/>
      <c r="K23" s="55"/>
      <c r="M23" s="55"/>
    </row>
    <row r="25" spans="2:13" x14ac:dyDescent="0.2">
      <c r="C25" s="8" t="s">
        <v>225</v>
      </c>
    </row>
    <row r="33" spans="3:13" x14ac:dyDescent="0.2">
      <c r="C33" s="85" t="s">
        <v>226</v>
      </c>
      <c r="D33" s="86"/>
      <c r="E33" s="86"/>
      <c r="F33" s="86"/>
      <c r="G33" s="86"/>
      <c r="H33" s="86"/>
      <c r="I33" s="86"/>
      <c r="J33" s="86"/>
      <c r="K33" s="86"/>
      <c r="L33" s="86"/>
      <c r="M33" s="86"/>
    </row>
    <row r="34" spans="3:13" x14ac:dyDescent="0.2">
      <c r="C34" s="85"/>
      <c r="D34" s="86"/>
      <c r="E34" s="86"/>
      <c r="F34" s="86"/>
      <c r="G34" s="86"/>
      <c r="H34" s="86"/>
      <c r="I34" s="86"/>
      <c r="J34" s="86"/>
      <c r="K34" s="86"/>
      <c r="L34" s="86"/>
      <c r="M34" s="86"/>
    </row>
    <row r="36" spans="3:13" x14ac:dyDescent="0.2">
      <c r="C36" t="s">
        <v>227</v>
      </c>
    </row>
  </sheetData>
  <mergeCells count="5">
    <mergeCell ref="C33:M34"/>
    <mergeCell ref="C1:M2"/>
    <mergeCell ref="D4:E4"/>
    <mergeCell ref="D6:E6"/>
    <mergeCell ref="C11:M12"/>
  </mergeCells>
  <conditionalFormatting sqref="H4:H6 H9">
    <cfRule type="expression" dxfId="11" priority="12">
      <formula>ABS(H4-G4)/G4&gt;0.1</formula>
    </cfRule>
  </conditionalFormatting>
  <conditionalFormatting sqref="H7">
    <cfRule type="expression" dxfId="10" priority="11">
      <formula>ABS(H7-E7)/E7&gt;0.1</formula>
    </cfRule>
  </conditionalFormatting>
  <conditionalFormatting sqref="H8">
    <cfRule type="expression" dxfId="9" priority="10">
      <formula>ABS(H8-#REF!)/#REF!&gt;0.1</formula>
    </cfRule>
  </conditionalFormatting>
  <conditionalFormatting sqref="M19:M23">
    <cfRule type="expression" dxfId="8" priority="8">
      <formula>ABS(M19-L19)/L19&gt;0.1</formula>
    </cfRule>
  </conditionalFormatting>
  <conditionalFormatting sqref="G19:K23">
    <cfRule type="expression" dxfId="7" priority="9">
      <formula>ABS(G19-F19)/F19&gt;0.1</formula>
    </cfRule>
  </conditionalFormatting>
  <conditionalFormatting sqref="M4:M10">
    <cfRule type="cellIs" dxfId="6" priority="4" stopIfTrue="1" operator="equal">
      <formula>"Poor"</formula>
    </cfRule>
    <cfRule type="cellIs" dxfId="5" priority="5" stopIfTrue="1" operator="equal">
      <formula>"Fair"</formula>
    </cfRule>
    <cfRule type="cellIs" dxfId="4" priority="6" stopIfTrue="1" operator="equal">
      <formula>"Good"</formula>
    </cfRule>
    <cfRule type="cellIs" dxfId="3" priority="7" stopIfTrue="1" operator="equal">
      <formula>"Very good"</formula>
    </cfRule>
  </conditionalFormatting>
  <conditionalFormatting sqref="M9:M10">
    <cfRule type="cellIs" dxfId="2" priority="2" stopIfTrue="1" operator="equal">
      <formula>"Known"</formula>
    </cfRule>
    <cfRule type="cellIs" dxfId="1" priority="3" stopIfTrue="1" operator="equal">
      <formula>"Unknown"</formula>
    </cfRule>
  </conditionalFormatting>
  <conditionalFormatting sqref="D4 D6">
    <cfRule type="expression" dxfId="0" priority="1">
      <formula>ABS(D4-C4)/C4&gt;0.1</formula>
    </cfRule>
  </conditionalFormatting>
  <dataValidations count="2">
    <dataValidation type="list" allowBlank="1" showInputMessage="1" showErrorMessage="1" sqref="K15">
      <formula1>v_fire</formula1>
    </dataValidation>
    <dataValidation type="list" allowBlank="1" showInputMessage="1" showErrorMessage="1" sqref="K16">
      <formula1>v_cat_model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workbookViewId="0">
      <selection activeCell="P26" sqref="P26"/>
    </sheetView>
  </sheetViews>
  <sheetFormatPr defaultRowHeight="11.2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  <pageSetUpPr fitToPage="1"/>
  </sheetPr>
  <dimension ref="B1:O13"/>
  <sheetViews>
    <sheetView showGridLines="0" zoomScaleNormal="100" workbookViewId="0">
      <selection activeCell="P48" sqref="P48"/>
    </sheetView>
  </sheetViews>
  <sheetFormatPr defaultRowHeight="11.25" x14ac:dyDescent="0.2"/>
  <cols>
    <col min="1" max="2" width="9.33203125" style="62"/>
    <col min="3" max="3" width="9.33203125" style="75"/>
    <col min="4" max="16384" width="9.33203125" style="62"/>
  </cols>
  <sheetData>
    <row r="1" spans="2:15" x14ac:dyDescent="0.2">
      <c r="C1" s="63" t="s">
        <v>228</v>
      </c>
    </row>
    <row r="2" spans="2:15" x14ac:dyDescent="0.2">
      <c r="C2" s="63"/>
    </row>
    <row r="3" spans="2:15" x14ac:dyDescent="0.2">
      <c r="C3" s="64"/>
      <c r="D3" s="1" t="s">
        <v>229</v>
      </c>
      <c r="E3" s="1" t="s">
        <v>230</v>
      </c>
      <c r="F3" s="1" t="s">
        <v>231</v>
      </c>
      <c r="G3" s="1" t="s">
        <v>232</v>
      </c>
      <c r="H3" s="1" t="s">
        <v>233</v>
      </c>
      <c r="I3" s="1" t="s">
        <v>234</v>
      </c>
      <c r="J3" s="1" t="s">
        <v>235</v>
      </c>
      <c r="K3" s="1" t="s">
        <v>236</v>
      </c>
      <c r="L3" s="1" t="s">
        <v>237</v>
      </c>
      <c r="M3" s="1" t="s">
        <v>238</v>
      </c>
      <c r="N3" s="1" t="s">
        <v>239</v>
      </c>
      <c r="O3" s="1" t="s">
        <v>240</v>
      </c>
    </row>
    <row r="4" spans="2:15" x14ac:dyDescent="0.2">
      <c r="C4" s="65" t="s">
        <v>241</v>
      </c>
      <c r="D4" s="66">
        <v>0</v>
      </c>
      <c r="E4" s="67">
        <v>0</v>
      </c>
      <c r="F4" s="67">
        <v>0</v>
      </c>
      <c r="G4" s="67">
        <v>0</v>
      </c>
      <c r="H4" s="67">
        <v>3.4013605442176867E-2</v>
      </c>
      <c r="I4" s="67">
        <v>8.1632653061224469E-2</v>
      </c>
      <c r="J4" s="67">
        <v>0.19047619047619047</v>
      </c>
      <c r="K4" s="67">
        <v>0.27210884353741494</v>
      </c>
      <c r="L4" s="67">
        <v>0.23809523809523805</v>
      </c>
      <c r="M4" s="67">
        <v>0.17006802721088432</v>
      </c>
      <c r="N4" s="67">
        <v>1.3605442176870746E-2</v>
      </c>
      <c r="O4" s="68">
        <v>0</v>
      </c>
    </row>
    <row r="5" spans="2:15" x14ac:dyDescent="0.2">
      <c r="C5" s="65" t="s">
        <v>242</v>
      </c>
      <c r="D5" s="69">
        <v>2.5236593059936911E-2</v>
      </c>
      <c r="E5" s="70">
        <v>6.3091482649842278E-3</v>
      </c>
      <c r="F5" s="70">
        <v>1.8927444794952682E-2</v>
      </c>
      <c r="G5" s="70">
        <v>3.1545741324921141E-2</v>
      </c>
      <c r="H5" s="70">
        <v>3.7854889589905363E-2</v>
      </c>
      <c r="I5" s="70">
        <v>6.3091482649842281E-2</v>
      </c>
      <c r="J5" s="70">
        <v>0.12618296529968456</v>
      </c>
      <c r="K5" s="70">
        <v>0.15772870662460567</v>
      </c>
      <c r="L5" s="70">
        <v>0.19242902208201892</v>
      </c>
      <c r="M5" s="70">
        <v>0.17350157728706628</v>
      </c>
      <c r="N5" s="70">
        <v>0.11041009463722397</v>
      </c>
      <c r="O5" s="71">
        <v>5.6782334384858045E-2</v>
      </c>
    </row>
    <row r="6" spans="2:15" x14ac:dyDescent="0.2">
      <c r="C6" s="65" t="s">
        <v>243</v>
      </c>
      <c r="D6" s="69">
        <v>0</v>
      </c>
      <c r="E6" s="70">
        <v>0</v>
      </c>
      <c r="F6" s="70">
        <v>0</v>
      </c>
      <c r="G6" s="70">
        <v>0</v>
      </c>
      <c r="H6" s="70">
        <v>0</v>
      </c>
      <c r="I6" s="70">
        <v>3.2520325203252036E-2</v>
      </c>
      <c r="J6" s="70">
        <v>4.0650406504065047E-2</v>
      </c>
      <c r="K6" s="70">
        <v>0.28455284552845528</v>
      </c>
      <c r="L6" s="70">
        <v>0.41463414634146345</v>
      </c>
      <c r="M6" s="70">
        <v>0.18699186991869921</v>
      </c>
      <c r="N6" s="70">
        <v>4.0650406504065047E-2</v>
      </c>
      <c r="O6" s="71">
        <v>0</v>
      </c>
    </row>
    <row r="7" spans="2:15" x14ac:dyDescent="0.2">
      <c r="C7" s="65" t="s">
        <v>244</v>
      </c>
      <c r="D7" s="69">
        <v>0</v>
      </c>
      <c r="E7" s="70">
        <v>0</v>
      </c>
      <c r="F7" s="70">
        <v>0</v>
      </c>
      <c r="G7" s="70">
        <v>5.8823529411764705E-2</v>
      </c>
      <c r="H7" s="70">
        <v>0.1764705882352941</v>
      </c>
      <c r="I7" s="70">
        <v>5.8823529411764705E-2</v>
      </c>
      <c r="J7" s="70">
        <v>0</v>
      </c>
      <c r="K7" s="70">
        <v>0</v>
      </c>
      <c r="L7" s="70">
        <v>5.8823529411764705E-2</v>
      </c>
      <c r="M7" s="70">
        <v>0.23529411764705882</v>
      </c>
      <c r="N7" s="70">
        <v>0.29411764705882354</v>
      </c>
      <c r="O7" s="71">
        <v>0.11764705882352941</v>
      </c>
    </row>
    <row r="8" spans="2:15" x14ac:dyDescent="0.2">
      <c r="C8" s="65" t="s">
        <v>245</v>
      </c>
      <c r="D8" s="69">
        <v>0.21818181818181814</v>
      </c>
      <c r="E8" s="70">
        <v>0.25454545454545457</v>
      </c>
      <c r="F8" s="70">
        <v>0.23636363636363636</v>
      </c>
      <c r="G8" s="70">
        <v>9.0909090909090912E-2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1.8181818181818181E-2</v>
      </c>
      <c r="N8" s="70">
        <v>3.6363636363636362E-2</v>
      </c>
      <c r="O8" s="71">
        <v>0.14545454545454545</v>
      </c>
    </row>
    <row r="9" spans="2:15" x14ac:dyDescent="0.2">
      <c r="C9" s="65" t="s">
        <v>246</v>
      </c>
      <c r="D9" s="69">
        <v>0.14102564102564102</v>
      </c>
      <c r="E9" s="70">
        <v>0.19230769230769229</v>
      </c>
      <c r="F9" s="70">
        <v>0.29487179487179488</v>
      </c>
      <c r="G9" s="70">
        <v>0.15384615384615383</v>
      </c>
      <c r="H9" s="70">
        <v>1.282051282051282E-2</v>
      </c>
      <c r="I9" s="70">
        <v>0</v>
      </c>
      <c r="J9" s="70">
        <v>0</v>
      </c>
      <c r="K9" s="70">
        <v>0</v>
      </c>
      <c r="L9" s="70">
        <v>0</v>
      </c>
      <c r="M9" s="70">
        <v>3.8461538461538457E-2</v>
      </c>
      <c r="N9" s="70">
        <v>6.4102564102564111E-2</v>
      </c>
      <c r="O9" s="71">
        <v>0.10256410256410256</v>
      </c>
    </row>
    <row r="10" spans="2:15" x14ac:dyDescent="0.2">
      <c r="C10" s="65" t="s">
        <v>247</v>
      </c>
      <c r="D10" s="72">
        <v>0.33980582524271841</v>
      </c>
      <c r="E10" s="73">
        <v>0.20388349514563106</v>
      </c>
      <c r="F10" s="73">
        <v>0.1553398058252427</v>
      </c>
      <c r="G10" s="73">
        <v>0.11650485436893203</v>
      </c>
      <c r="H10" s="73">
        <v>2.9126213592233007E-2</v>
      </c>
      <c r="I10" s="73">
        <v>0</v>
      </c>
      <c r="J10" s="73">
        <v>0</v>
      </c>
      <c r="K10" s="73">
        <v>0</v>
      </c>
      <c r="L10" s="73">
        <v>0</v>
      </c>
      <c r="M10" s="73">
        <v>2.9126213592233007E-2</v>
      </c>
      <c r="N10" s="73">
        <v>9.7087378640776691E-3</v>
      </c>
      <c r="O10" s="74">
        <v>0.11650485436893203</v>
      </c>
    </row>
    <row r="12" spans="2:15" x14ac:dyDescent="0.2">
      <c r="D12" s="76" t="str">
        <f>D3</f>
        <v>Jan</v>
      </c>
      <c r="E12" s="76" t="str">
        <f t="shared" ref="E12:O12" si="0">E3</f>
        <v>Feb</v>
      </c>
      <c r="F12" s="76" t="str">
        <f t="shared" si="0"/>
        <v>Mar</v>
      </c>
      <c r="G12" s="76" t="str">
        <f t="shared" si="0"/>
        <v>Apr</v>
      </c>
      <c r="H12" s="76" t="str">
        <f t="shared" si="0"/>
        <v>May</v>
      </c>
      <c r="I12" s="76" t="str">
        <f t="shared" si="0"/>
        <v>Jun</v>
      </c>
      <c r="J12" s="76" t="str">
        <f t="shared" si="0"/>
        <v>Jul</v>
      </c>
      <c r="K12" s="76" t="str">
        <f t="shared" si="0"/>
        <v>Aug</v>
      </c>
      <c r="L12" s="76" t="str">
        <f t="shared" si="0"/>
        <v>Sep</v>
      </c>
      <c r="M12" s="76" t="str">
        <f t="shared" si="0"/>
        <v>Oct</v>
      </c>
      <c r="N12" s="76" t="str">
        <f t="shared" si="0"/>
        <v>Nov</v>
      </c>
      <c r="O12" s="76" t="str">
        <f t="shared" si="0"/>
        <v>Dec</v>
      </c>
    </row>
    <row r="13" spans="2:15" ht="15" customHeight="1" x14ac:dyDescent="0.2">
      <c r="B13" s="91" t="s">
        <v>243</v>
      </c>
      <c r="C13" s="92"/>
      <c r="D13" s="77">
        <f>INDEX(D$4:D$10,MATCH($B13,$C$4:$C$10,0))</f>
        <v>0</v>
      </c>
      <c r="E13" s="78">
        <f t="shared" ref="E13:O13" si="1">INDEX(E$4:E$10,MATCH($B13,$C$4:$C$10,0))</f>
        <v>0</v>
      </c>
      <c r="F13" s="78">
        <f t="shared" si="1"/>
        <v>0</v>
      </c>
      <c r="G13" s="78">
        <f t="shared" si="1"/>
        <v>0</v>
      </c>
      <c r="H13" s="78">
        <f t="shared" si="1"/>
        <v>0</v>
      </c>
      <c r="I13" s="78">
        <f t="shared" si="1"/>
        <v>3.2520325203252036E-2</v>
      </c>
      <c r="J13" s="78">
        <f t="shared" si="1"/>
        <v>4.0650406504065047E-2</v>
      </c>
      <c r="K13" s="78">
        <f t="shared" si="1"/>
        <v>0.28455284552845528</v>
      </c>
      <c r="L13" s="78">
        <f t="shared" si="1"/>
        <v>0.41463414634146345</v>
      </c>
      <c r="M13" s="78">
        <f t="shared" si="1"/>
        <v>0.18699186991869921</v>
      </c>
      <c r="N13" s="78">
        <f t="shared" si="1"/>
        <v>4.0650406504065047E-2</v>
      </c>
      <c r="O13" s="79">
        <f t="shared" si="1"/>
        <v>0</v>
      </c>
    </row>
  </sheetData>
  <sheetProtection sheet="1" objects="1" scenarios="1"/>
  <mergeCells count="1">
    <mergeCell ref="B13:C13"/>
  </mergeCells>
  <dataValidations count="1">
    <dataValidation type="list" allowBlank="1" showInputMessage="1" showErrorMessage="1" sqref="B13">
      <formula1>$C$4:$C$10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37"/>
  <sheetViews>
    <sheetView tabSelected="1" topLeftCell="A45" workbookViewId="0">
      <selection activeCell="P48" sqref="P48:P89"/>
    </sheetView>
  </sheetViews>
  <sheetFormatPr defaultRowHeight="11.25" x14ac:dyDescent="0.2"/>
  <cols>
    <col min="7" max="7" width="18.6640625" customWidth="1"/>
    <col min="16" max="16" width="27.1640625" customWidth="1"/>
  </cols>
  <sheetData>
    <row r="1" spans="1:16" x14ac:dyDescent="0.2">
      <c r="A1" t="s">
        <v>248</v>
      </c>
      <c r="B1" t="s">
        <v>249</v>
      </c>
      <c r="C1" t="s">
        <v>250</v>
      </c>
      <c r="D1" t="s">
        <v>251</v>
      </c>
      <c r="E1" t="s">
        <v>538</v>
      </c>
      <c r="F1" t="s">
        <v>820</v>
      </c>
      <c r="G1" t="s">
        <v>547</v>
      </c>
      <c r="H1" t="s">
        <v>548</v>
      </c>
      <c r="J1" t="s">
        <v>813</v>
      </c>
      <c r="K1" t="s">
        <v>814</v>
      </c>
    </row>
    <row r="2" spans="1:16" x14ac:dyDescent="0.2">
      <c r="A2" t="s">
        <v>64</v>
      </c>
      <c r="B2" t="s">
        <v>216</v>
      </c>
      <c r="C2" t="s">
        <v>214</v>
      </c>
      <c r="D2" t="s">
        <v>205</v>
      </c>
      <c r="E2" t="s">
        <v>431</v>
      </c>
      <c r="F2" t="s">
        <v>815</v>
      </c>
      <c r="G2" t="s">
        <v>549</v>
      </c>
      <c r="H2" t="s">
        <v>550</v>
      </c>
      <c r="J2" t="s">
        <v>799</v>
      </c>
      <c r="K2" t="s">
        <v>801</v>
      </c>
    </row>
    <row r="3" spans="1:16" x14ac:dyDescent="0.2">
      <c r="A3" t="s">
        <v>252</v>
      </c>
      <c r="B3" t="s">
        <v>253</v>
      </c>
      <c r="C3" t="s">
        <v>254</v>
      </c>
      <c r="D3" t="s">
        <v>255</v>
      </c>
      <c r="E3" t="s">
        <v>309</v>
      </c>
      <c r="F3" t="s">
        <v>816</v>
      </c>
      <c r="G3" t="s">
        <v>551</v>
      </c>
      <c r="H3" t="s">
        <v>552</v>
      </c>
    </row>
    <row r="4" spans="1:16" x14ac:dyDescent="0.2">
      <c r="A4" t="s">
        <v>143</v>
      </c>
      <c r="C4" t="s">
        <v>256</v>
      </c>
      <c r="D4" t="s">
        <v>207</v>
      </c>
      <c r="E4" t="s">
        <v>352</v>
      </c>
      <c r="F4" t="s">
        <v>817</v>
      </c>
      <c r="G4" t="s">
        <v>553</v>
      </c>
      <c r="H4" t="s">
        <v>554</v>
      </c>
      <c r="P4" t="s">
        <v>829</v>
      </c>
    </row>
    <row r="5" spans="1:16" x14ac:dyDescent="0.2">
      <c r="D5" t="s">
        <v>257</v>
      </c>
      <c r="E5" t="s">
        <v>376</v>
      </c>
      <c r="F5" t="s">
        <v>818</v>
      </c>
      <c r="G5" t="s">
        <v>555</v>
      </c>
      <c r="H5" t="s">
        <v>556</v>
      </c>
      <c r="P5" t="s">
        <v>830</v>
      </c>
    </row>
    <row r="6" spans="1:16" x14ac:dyDescent="0.2">
      <c r="E6" t="s">
        <v>512</v>
      </c>
      <c r="F6" t="s">
        <v>819</v>
      </c>
      <c r="G6" t="s">
        <v>557</v>
      </c>
      <c r="H6" t="s">
        <v>558</v>
      </c>
      <c r="P6" t="s">
        <v>831</v>
      </c>
    </row>
    <row r="7" spans="1:16" x14ac:dyDescent="0.2">
      <c r="E7" t="s">
        <v>342</v>
      </c>
      <c r="F7" t="s">
        <v>545</v>
      </c>
      <c r="G7" t="s">
        <v>559</v>
      </c>
      <c r="H7" t="s">
        <v>560</v>
      </c>
      <c r="P7" t="s">
        <v>832</v>
      </c>
    </row>
    <row r="8" spans="1:16" x14ac:dyDescent="0.2">
      <c r="E8" t="s">
        <v>405</v>
      </c>
      <c r="G8" t="s">
        <v>561</v>
      </c>
      <c r="H8" t="s">
        <v>562</v>
      </c>
      <c r="P8" t="s">
        <v>833</v>
      </c>
    </row>
    <row r="9" spans="1:16" x14ac:dyDescent="0.2">
      <c r="E9" t="s">
        <v>502</v>
      </c>
      <c r="G9" t="s">
        <v>563</v>
      </c>
      <c r="H9" t="s">
        <v>564</v>
      </c>
      <c r="P9" t="s">
        <v>834</v>
      </c>
    </row>
    <row r="10" spans="1:16" x14ac:dyDescent="0.2">
      <c r="E10" t="s">
        <v>414</v>
      </c>
      <c r="G10" t="s">
        <v>565</v>
      </c>
      <c r="H10" t="s">
        <v>566</v>
      </c>
      <c r="P10" t="s">
        <v>835</v>
      </c>
    </row>
    <row r="11" spans="1:16" x14ac:dyDescent="0.2">
      <c r="E11" t="s">
        <v>305</v>
      </c>
      <c r="G11" t="s">
        <v>567</v>
      </c>
      <c r="H11" t="s">
        <v>568</v>
      </c>
      <c r="P11" t="s">
        <v>836</v>
      </c>
    </row>
    <row r="12" spans="1:16" x14ac:dyDescent="0.2">
      <c r="E12" t="s">
        <v>466</v>
      </c>
      <c r="G12" t="s">
        <v>569</v>
      </c>
      <c r="H12" t="s">
        <v>570</v>
      </c>
      <c r="P12" t="s">
        <v>837</v>
      </c>
    </row>
    <row r="13" spans="1:16" x14ac:dyDescent="0.2">
      <c r="E13" t="s">
        <v>397</v>
      </c>
      <c r="G13" t="s">
        <v>571</v>
      </c>
      <c r="H13" t="s">
        <v>572</v>
      </c>
      <c r="P13" t="s">
        <v>838</v>
      </c>
    </row>
    <row r="14" spans="1:16" x14ac:dyDescent="0.2">
      <c r="E14" t="s">
        <v>440</v>
      </c>
      <c r="G14" t="s">
        <v>573</v>
      </c>
      <c r="H14" t="s">
        <v>574</v>
      </c>
      <c r="P14" t="s">
        <v>839</v>
      </c>
    </row>
    <row r="15" spans="1:16" x14ac:dyDescent="0.2">
      <c r="E15" t="s">
        <v>377</v>
      </c>
      <c r="G15" t="s">
        <v>575</v>
      </c>
      <c r="H15" t="s">
        <v>576</v>
      </c>
      <c r="P15" t="s">
        <v>840</v>
      </c>
    </row>
    <row r="16" spans="1:16" x14ac:dyDescent="0.2">
      <c r="E16" t="s">
        <v>391</v>
      </c>
      <c r="G16" t="s">
        <v>577</v>
      </c>
      <c r="H16" t="s">
        <v>578</v>
      </c>
      <c r="P16" t="s">
        <v>841</v>
      </c>
    </row>
    <row r="17" spans="5:16" x14ac:dyDescent="0.2">
      <c r="E17" t="s">
        <v>421</v>
      </c>
      <c r="G17" t="s">
        <v>579</v>
      </c>
      <c r="H17" t="s">
        <v>580</v>
      </c>
      <c r="P17" t="s">
        <v>842</v>
      </c>
    </row>
    <row r="18" spans="5:16" x14ac:dyDescent="0.2">
      <c r="E18" t="s">
        <v>382</v>
      </c>
      <c r="G18" t="s">
        <v>581</v>
      </c>
      <c r="H18" t="s">
        <v>582</v>
      </c>
      <c r="P18" t="s">
        <v>843</v>
      </c>
    </row>
    <row r="19" spans="5:16" x14ac:dyDescent="0.2">
      <c r="E19" t="s">
        <v>337</v>
      </c>
      <c r="G19" t="s">
        <v>583</v>
      </c>
      <c r="H19" t="s">
        <v>584</v>
      </c>
      <c r="P19" t="s">
        <v>844</v>
      </c>
    </row>
    <row r="20" spans="5:16" x14ac:dyDescent="0.2">
      <c r="E20" t="s">
        <v>332</v>
      </c>
      <c r="G20" t="s">
        <v>585</v>
      </c>
      <c r="H20" t="s">
        <v>586</v>
      </c>
      <c r="P20" t="s">
        <v>845</v>
      </c>
    </row>
    <row r="21" spans="5:16" x14ac:dyDescent="0.2">
      <c r="E21" t="s">
        <v>341</v>
      </c>
      <c r="G21" t="s">
        <v>587</v>
      </c>
      <c r="H21" t="s">
        <v>588</v>
      </c>
      <c r="P21" t="s">
        <v>846</v>
      </c>
    </row>
    <row r="22" spans="5:16" x14ac:dyDescent="0.2">
      <c r="E22" t="s">
        <v>416</v>
      </c>
      <c r="G22" t="s">
        <v>589</v>
      </c>
      <c r="H22" t="s">
        <v>590</v>
      </c>
      <c r="P22" t="s">
        <v>847</v>
      </c>
    </row>
    <row r="23" spans="5:16" x14ac:dyDescent="0.2">
      <c r="E23" t="s">
        <v>455</v>
      </c>
      <c r="G23" t="s">
        <v>591</v>
      </c>
      <c r="H23" t="s">
        <v>592</v>
      </c>
      <c r="P23" t="s">
        <v>848</v>
      </c>
    </row>
    <row r="24" spans="5:16" x14ac:dyDescent="0.2">
      <c r="E24" t="s">
        <v>505</v>
      </c>
      <c r="G24" t="s">
        <v>593</v>
      </c>
      <c r="H24" t="s">
        <v>594</v>
      </c>
      <c r="P24" t="s">
        <v>849</v>
      </c>
    </row>
    <row r="25" spans="5:16" x14ac:dyDescent="0.2">
      <c r="E25" t="s">
        <v>411</v>
      </c>
      <c r="G25" t="s">
        <v>595</v>
      </c>
      <c r="H25" t="s">
        <v>596</v>
      </c>
      <c r="P25" t="s">
        <v>850</v>
      </c>
    </row>
    <row r="26" spans="5:16" x14ac:dyDescent="0.2">
      <c r="E26" t="s">
        <v>335</v>
      </c>
      <c r="G26" t="s">
        <v>597</v>
      </c>
      <c r="H26" t="s">
        <v>598</v>
      </c>
      <c r="P26" t="s">
        <v>851</v>
      </c>
    </row>
    <row r="27" spans="5:16" x14ac:dyDescent="0.2">
      <c r="E27" t="s">
        <v>439</v>
      </c>
      <c r="G27" t="s">
        <v>599</v>
      </c>
      <c r="H27" t="s">
        <v>600</v>
      </c>
      <c r="P27" t="s">
        <v>852</v>
      </c>
    </row>
    <row r="28" spans="5:16" x14ac:dyDescent="0.2">
      <c r="E28" t="s">
        <v>412</v>
      </c>
      <c r="G28" t="s">
        <v>601</v>
      </c>
      <c r="H28" t="s">
        <v>602</v>
      </c>
      <c r="P28" t="s">
        <v>853</v>
      </c>
    </row>
    <row r="29" spans="5:16" x14ac:dyDescent="0.2">
      <c r="E29" t="s">
        <v>507</v>
      </c>
      <c r="G29" t="s">
        <v>603</v>
      </c>
      <c r="H29" t="s">
        <v>604</v>
      </c>
      <c r="P29" t="s">
        <v>854</v>
      </c>
    </row>
    <row r="30" spans="5:16" x14ac:dyDescent="0.2">
      <c r="E30" t="s">
        <v>449</v>
      </c>
      <c r="G30" t="s">
        <v>605</v>
      </c>
      <c r="H30" t="s">
        <v>606</v>
      </c>
      <c r="P30" t="s">
        <v>855</v>
      </c>
    </row>
    <row r="31" spans="5:16" x14ac:dyDescent="0.2">
      <c r="E31" t="s">
        <v>488</v>
      </c>
      <c r="G31" t="s">
        <v>607</v>
      </c>
      <c r="H31" t="s">
        <v>608</v>
      </c>
      <c r="P31" t="s">
        <v>856</v>
      </c>
    </row>
    <row r="32" spans="5:16" x14ac:dyDescent="0.2">
      <c r="E32" t="s">
        <v>317</v>
      </c>
      <c r="G32" t="s">
        <v>609</v>
      </c>
      <c r="H32" t="s">
        <v>610</v>
      </c>
      <c r="P32" t="s">
        <v>857</v>
      </c>
    </row>
    <row r="33" spans="5:16" x14ac:dyDescent="0.2">
      <c r="E33" t="s">
        <v>482</v>
      </c>
      <c r="G33" t="s">
        <v>611</v>
      </c>
      <c r="H33" t="s">
        <v>612</v>
      </c>
      <c r="P33" t="s">
        <v>858</v>
      </c>
    </row>
    <row r="34" spans="5:16" x14ac:dyDescent="0.2">
      <c r="E34" t="s">
        <v>385</v>
      </c>
      <c r="G34" t="s">
        <v>613</v>
      </c>
      <c r="H34" t="s">
        <v>614</v>
      </c>
      <c r="P34" t="s">
        <v>859</v>
      </c>
    </row>
    <row r="35" spans="5:16" x14ac:dyDescent="0.2">
      <c r="E35" t="s">
        <v>445</v>
      </c>
      <c r="G35" t="s">
        <v>615</v>
      </c>
      <c r="H35" t="s">
        <v>616</v>
      </c>
      <c r="P35" t="s">
        <v>860</v>
      </c>
    </row>
    <row r="36" spans="5:16" x14ac:dyDescent="0.2">
      <c r="E36" t="s">
        <v>498</v>
      </c>
      <c r="G36" t="s">
        <v>617</v>
      </c>
      <c r="H36" t="s">
        <v>618</v>
      </c>
      <c r="P36" t="s">
        <v>861</v>
      </c>
    </row>
    <row r="37" spans="5:16" x14ac:dyDescent="0.2">
      <c r="E37" t="s">
        <v>486</v>
      </c>
      <c r="G37" t="s">
        <v>619</v>
      </c>
      <c r="H37" t="s">
        <v>620</v>
      </c>
      <c r="P37" t="s">
        <v>862</v>
      </c>
    </row>
    <row r="38" spans="5:16" x14ac:dyDescent="0.2">
      <c r="E38" t="s">
        <v>315</v>
      </c>
      <c r="G38" t="s">
        <v>621</v>
      </c>
      <c r="H38" t="s">
        <v>622</v>
      </c>
      <c r="P38" t="s">
        <v>863</v>
      </c>
    </row>
    <row r="39" spans="5:16" x14ac:dyDescent="0.2">
      <c r="E39" t="s">
        <v>509</v>
      </c>
      <c r="G39" t="s">
        <v>623</v>
      </c>
      <c r="H39" t="s">
        <v>624</v>
      </c>
      <c r="P39" t="s">
        <v>864</v>
      </c>
    </row>
    <row r="40" spans="5:16" x14ac:dyDescent="0.2">
      <c r="E40" t="s">
        <v>408</v>
      </c>
      <c r="G40" t="s">
        <v>625</v>
      </c>
      <c r="H40" t="s">
        <v>626</v>
      </c>
      <c r="P40" t="s">
        <v>865</v>
      </c>
    </row>
    <row r="41" spans="5:16" x14ac:dyDescent="0.2">
      <c r="E41" t="s">
        <v>513</v>
      </c>
      <c r="G41" t="s">
        <v>627</v>
      </c>
      <c r="H41" t="s">
        <v>628</v>
      </c>
      <c r="P41" t="s">
        <v>866</v>
      </c>
    </row>
    <row r="42" spans="5:16" x14ac:dyDescent="0.2">
      <c r="E42" t="s">
        <v>475</v>
      </c>
      <c r="G42" t="s">
        <v>629</v>
      </c>
      <c r="H42" t="s">
        <v>630</v>
      </c>
      <c r="P42" t="s">
        <v>867</v>
      </c>
    </row>
    <row r="43" spans="5:16" x14ac:dyDescent="0.2">
      <c r="E43" t="s">
        <v>372</v>
      </c>
      <c r="G43" t="s">
        <v>631</v>
      </c>
      <c r="H43" t="s">
        <v>632</v>
      </c>
      <c r="P43" t="s">
        <v>868</v>
      </c>
    </row>
    <row r="44" spans="5:16" x14ac:dyDescent="0.2">
      <c r="E44" t="s">
        <v>386</v>
      </c>
      <c r="G44" t="s">
        <v>633</v>
      </c>
      <c r="H44" t="s">
        <v>634</v>
      </c>
      <c r="P44" t="s">
        <v>869</v>
      </c>
    </row>
    <row r="45" spans="5:16" x14ac:dyDescent="0.2">
      <c r="E45" t="s">
        <v>311</v>
      </c>
      <c r="G45" t="s">
        <v>635</v>
      </c>
      <c r="H45" t="s">
        <v>636</v>
      </c>
      <c r="P45" t="s">
        <v>870</v>
      </c>
    </row>
    <row r="46" spans="5:16" x14ac:dyDescent="0.2">
      <c r="E46" t="s">
        <v>420</v>
      </c>
      <c r="G46" t="s">
        <v>637</v>
      </c>
      <c r="H46" t="s">
        <v>638</v>
      </c>
      <c r="P46" t="s">
        <v>871</v>
      </c>
    </row>
    <row r="47" spans="5:16" x14ac:dyDescent="0.2">
      <c r="E47" t="s">
        <v>516</v>
      </c>
      <c r="G47" t="s">
        <v>639</v>
      </c>
      <c r="H47" t="s">
        <v>640</v>
      </c>
      <c r="P47" t="s">
        <v>872</v>
      </c>
    </row>
    <row r="48" spans="5:16" x14ac:dyDescent="0.2">
      <c r="E48" t="s">
        <v>360</v>
      </c>
      <c r="G48" t="s">
        <v>641</v>
      </c>
      <c r="H48" t="s">
        <v>642</v>
      </c>
      <c r="P48" t="s">
        <v>873</v>
      </c>
    </row>
    <row r="49" spans="5:16" x14ac:dyDescent="0.2">
      <c r="E49" t="s">
        <v>304</v>
      </c>
      <c r="G49" t="s">
        <v>643</v>
      </c>
      <c r="H49" t="s">
        <v>644</v>
      </c>
      <c r="P49" t="s">
        <v>874</v>
      </c>
    </row>
    <row r="50" spans="5:16" x14ac:dyDescent="0.2">
      <c r="E50" t="s">
        <v>361</v>
      </c>
      <c r="G50" t="s">
        <v>645</v>
      </c>
      <c r="H50" t="s">
        <v>646</v>
      </c>
      <c r="P50" t="s">
        <v>875</v>
      </c>
    </row>
    <row r="51" spans="5:16" x14ac:dyDescent="0.2">
      <c r="E51" t="s">
        <v>357</v>
      </c>
      <c r="G51" t="s">
        <v>647</v>
      </c>
      <c r="H51" t="s">
        <v>648</v>
      </c>
      <c r="P51" t="s">
        <v>876</v>
      </c>
    </row>
    <row r="52" spans="5:16" x14ac:dyDescent="0.2">
      <c r="E52" t="s">
        <v>328</v>
      </c>
      <c r="G52" t="s">
        <v>649</v>
      </c>
      <c r="H52" t="s">
        <v>650</v>
      </c>
      <c r="P52" t="s">
        <v>877</v>
      </c>
    </row>
    <row r="53" spans="5:16" x14ac:dyDescent="0.2">
      <c r="E53" t="s">
        <v>367</v>
      </c>
      <c r="G53" t="s">
        <v>651</v>
      </c>
      <c r="H53" t="s">
        <v>652</v>
      </c>
      <c r="P53" t="s">
        <v>878</v>
      </c>
    </row>
    <row r="54" spans="5:16" x14ac:dyDescent="0.2">
      <c r="E54" t="s">
        <v>434</v>
      </c>
      <c r="G54" t="s">
        <v>653</v>
      </c>
      <c r="H54" t="s">
        <v>654</v>
      </c>
      <c r="P54" t="s">
        <v>879</v>
      </c>
    </row>
    <row r="55" spans="5:16" x14ac:dyDescent="0.2">
      <c r="E55" t="s">
        <v>323</v>
      </c>
      <c r="G55" t="s">
        <v>655</v>
      </c>
      <c r="H55" t="s">
        <v>656</v>
      </c>
      <c r="P55" t="s">
        <v>880</v>
      </c>
    </row>
    <row r="56" spans="5:16" x14ac:dyDescent="0.2">
      <c r="E56" t="s">
        <v>438</v>
      </c>
      <c r="G56" t="s">
        <v>657</v>
      </c>
      <c r="H56" t="s">
        <v>658</v>
      </c>
      <c r="P56" t="s">
        <v>881</v>
      </c>
    </row>
    <row r="57" spans="5:16" x14ac:dyDescent="0.2">
      <c r="E57" t="s">
        <v>453</v>
      </c>
      <c r="G57" t="s">
        <v>659</v>
      </c>
      <c r="H57" t="s">
        <v>660</v>
      </c>
      <c r="P57" t="s">
        <v>882</v>
      </c>
    </row>
    <row r="58" spans="5:16" x14ac:dyDescent="0.2">
      <c r="E58" t="s">
        <v>400</v>
      </c>
      <c r="G58" t="s">
        <v>661</v>
      </c>
      <c r="H58" t="s">
        <v>662</v>
      </c>
      <c r="P58" t="s">
        <v>883</v>
      </c>
    </row>
    <row r="59" spans="5:16" x14ac:dyDescent="0.2">
      <c r="E59" t="s">
        <v>404</v>
      </c>
      <c r="G59" t="s">
        <v>663</v>
      </c>
      <c r="H59" t="s">
        <v>664</v>
      </c>
      <c r="P59" t="s">
        <v>884</v>
      </c>
    </row>
    <row r="60" spans="5:16" x14ac:dyDescent="0.2">
      <c r="E60" t="s">
        <v>407</v>
      </c>
      <c r="G60" t="s">
        <v>665</v>
      </c>
      <c r="H60" t="s">
        <v>666</v>
      </c>
      <c r="P60" t="s">
        <v>885</v>
      </c>
    </row>
    <row r="61" spans="5:16" x14ac:dyDescent="0.2">
      <c r="E61" t="s">
        <v>497</v>
      </c>
      <c r="G61" t="s">
        <v>667</v>
      </c>
      <c r="H61" t="s">
        <v>668</v>
      </c>
      <c r="P61" t="s">
        <v>886</v>
      </c>
    </row>
    <row r="62" spans="5:16" x14ac:dyDescent="0.2">
      <c r="E62" t="s">
        <v>437</v>
      </c>
      <c r="G62" t="s">
        <v>669</v>
      </c>
      <c r="H62" t="s">
        <v>670</v>
      </c>
      <c r="P62" t="s">
        <v>887</v>
      </c>
    </row>
    <row r="63" spans="5:16" x14ac:dyDescent="0.2">
      <c r="E63" t="s">
        <v>432</v>
      </c>
      <c r="G63" t="s">
        <v>671</v>
      </c>
      <c r="H63" t="s">
        <v>672</v>
      </c>
      <c r="P63" t="s">
        <v>888</v>
      </c>
    </row>
    <row r="64" spans="5:16" x14ac:dyDescent="0.2">
      <c r="E64" t="s">
        <v>380</v>
      </c>
      <c r="G64" t="s">
        <v>673</v>
      </c>
      <c r="H64" t="s">
        <v>674</v>
      </c>
      <c r="P64" t="s">
        <v>889</v>
      </c>
    </row>
    <row r="65" spans="5:16" x14ac:dyDescent="0.2">
      <c r="E65" t="s">
        <v>478</v>
      </c>
      <c r="G65" t="s">
        <v>675</v>
      </c>
      <c r="H65" t="s">
        <v>676</v>
      </c>
      <c r="P65" t="s">
        <v>890</v>
      </c>
    </row>
    <row r="66" spans="5:16" x14ac:dyDescent="0.2">
      <c r="E66" t="s">
        <v>374</v>
      </c>
      <c r="G66" t="s">
        <v>677</v>
      </c>
      <c r="H66" t="s">
        <v>678</v>
      </c>
      <c r="P66" t="s">
        <v>891</v>
      </c>
    </row>
    <row r="67" spans="5:16" x14ac:dyDescent="0.2">
      <c r="E67" t="s">
        <v>458</v>
      </c>
      <c r="G67" t="s">
        <v>679</v>
      </c>
      <c r="H67" t="s">
        <v>680</v>
      </c>
      <c r="P67" t="s">
        <v>892</v>
      </c>
    </row>
    <row r="68" spans="5:16" x14ac:dyDescent="0.2">
      <c r="E68" t="s">
        <v>489</v>
      </c>
      <c r="G68" t="s">
        <v>681</v>
      </c>
      <c r="H68" t="s">
        <v>682</v>
      </c>
      <c r="P68" t="s">
        <v>893</v>
      </c>
    </row>
    <row r="69" spans="5:16" x14ac:dyDescent="0.2">
      <c r="E69" t="s">
        <v>310</v>
      </c>
      <c r="G69" t="s">
        <v>683</v>
      </c>
      <c r="H69" t="s">
        <v>684</v>
      </c>
      <c r="P69" t="s">
        <v>894</v>
      </c>
    </row>
    <row r="70" spans="5:16" x14ac:dyDescent="0.2">
      <c r="E70" t="s">
        <v>403</v>
      </c>
      <c r="G70" t="s">
        <v>685</v>
      </c>
      <c r="H70" t="s">
        <v>686</v>
      </c>
      <c r="P70" t="s">
        <v>895</v>
      </c>
    </row>
    <row r="71" spans="5:16" x14ac:dyDescent="0.2">
      <c r="E71" t="s">
        <v>369</v>
      </c>
      <c r="G71" t="s">
        <v>687</v>
      </c>
      <c r="H71" t="s">
        <v>688</v>
      </c>
      <c r="P71" t="s">
        <v>896</v>
      </c>
    </row>
    <row r="72" spans="5:16" x14ac:dyDescent="0.2">
      <c r="E72" t="s">
        <v>320</v>
      </c>
      <c r="G72" t="s">
        <v>689</v>
      </c>
      <c r="H72" t="s">
        <v>690</v>
      </c>
      <c r="P72" t="s">
        <v>897</v>
      </c>
    </row>
    <row r="73" spans="5:16" x14ac:dyDescent="0.2">
      <c r="E73" t="s">
        <v>452</v>
      </c>
      <c r="G73" t="s">
        <v>691</v>
      </c>
      <c r="H73" t="s">
        <v>692</v>
      </c>
      <c r="P73" t="s">
        <v>898</v>
      </c>
    </row>
    <row r="74" spans="5:16" x14ac:dyDescent="0.2">
      <c r="E74" t="s">
        <v>358</v>
      </c>
      <c r="G74" t="s">
        <v>693</v>
      </c>
      <c r="H74" t="s">
        <v>694</v>
      </c>
      <c r="P74" t="s">
        <v>899</v>
      </c>
    </row>
    <row r="75" spans="5:16" x14ac:dyDescent="0.2">
      <c r="E75" t="s">
        <v>321</v>
      </c>
      <c r="G75" t="s">
        <v>695</v>
      </c>
      <c r="H75" t="s">
        <v>696</v>
      </c>
      <c r="P75" t="s">
        <v>900</v>
      </c>
    </row>
    <row r="76" spans="5:16" x14ac:dyDescent="0.2">
      <c r="E76" t="s">
        <v>533</v>
      </c>
      <c r="G76" t="s">
        <v>697</v>
      </c>
      <c r="H76" t="s">
        <v>698</v>
      </c>
      <c r="P76" t="s">
        <v>901</v>
      </c>
    </row>
    <row r="77" spans="5:16" x14ac:dyDescent="0.2">
      <c r="E77" t="s">
        <v>451</v>
      </c>
      <c r="G77" t="s">
        <v>699</v>
      </c>
      <c r="H77" t="s">
        <v>700</v>
      </c>
      <c r="P77" t="s">
        <v>902</v>
      </c>
    </row>
    <row r="78" spans="5:16" x14ac:dyDescent="0.2">
      <c r="E78" t="s">
        <v>495</v>
      </c>
      <c r="G78" t="s">
        <v>701</v>
      </c>
      <c r="H78" t="s">
        <v>702</v>
      </c>
      <c r="P78" t="s">
        <v>903</v>
      </c>
    </row>
    <row r="79" spans="5:16" x14ac:dyDescent="0.2">
      <c r="E79" t="s">
        <v>470</v>
      </c>
      <c r="G79" t="s">
        <v>703</v>
      </c>
      <c r="H79" t="s">
        <v>704</v>
      </c>
      <c r="P79" t="s">
        <v>904</v>
      </c>
    </row>
    <row r="80" spans="5:16" x14ac:dyDescent="0.2">
      <c r="E80" t="s">
        <v>329</v>
      </c>
      <c r="G80" t="s">
        <v>705</v>
      </c>
      <c r="H80" t="s">
        <v>706</v>
      </c>
      <c r="P80" t="s">
        <v>905</v>
      </c>
    </row>
    <row r="81" spans="5:16" x14ac:dyDescent="0.2">
      <c r="E81" t="s">
        <v>346</v>
      </c>
      <c r="G81" t="s">
        <v>707</v>
      </c>
      <c r="H81" t="s">
        <v>708</v>
      </c>
      <c r="P81" t="s">
        <v>906</v>
      </c>
    </row>
    <row r="82" spans="5:16" x14ac:dyDescent="0.2">
      <c r="E82" t="s">
        <v>484</v>
      </c>
      <c r="G82" t="s">
        <v>709</v>
      </c>
      <c r="H82" t="s">
        <v>710</v>
      </c>
      <c r="P82" t="s">
        <v>907</v>
      </c>
    </row>
    <row r="83" spans="5:16" x14ac:dyDescent="0.2">
      <c r="E83" t="s">
        <v>463</v>
      </c>
      <c r="G83" t="s">
        <v>711</v>
      </c>
      <c r="H83" t="s">
        <v>712</v>
      </c>
      <c r="P83" t="s">
        <v>908</v>
      </c>
    </row>
    <row r="84" spans="5:16" x14ac:dyDescent="0.2">
      <c r="E84" t="s">
        <v>506</v>
      </c>
      <c r="G84" t="s">
        <v>713</v>
      </c>
      <c r="H84" t="s">
        <v>714</v>
      </c>
      <c r="P84" t="s">
        <v>909</v>
      </c>
    </row>
    <row r="85" spans="5:16" x14ac:dyDescent="0.2">
      <c r="E85" t="s">
        <v>524</v>
      </c>
      <c r="G85" t="s">
        <v>715</v>
      </c>
      <c r="H85" t="s">
        <v>716</v>
      </c>
      <c r="P85" t="s">
        <v>910</v>
      </c>
    </row>
    <row r="86" spans="5:16" x14ac:dyDescent="0.2">
      <c r="E86" t="s">
        <v>433</v>
      </c>
      <c r="G86" t="s">
        <v>717</v>
      </c>
      <c r="H86" t="s">
        <v>718</v>
      </c>
      <c r="P86" t="s">
        <v>911</v>
      </c>
    </row>
    <row r="87" spans="5:16" x14ac:dyDescent="0.2">
      <c r="E87" t="s">
        <v>522</v>
      </c>
      <c r="G87" t="s">
        <v>719</v>
      </c>
      <c r="H87" t="s">
        <v>720</v>
      </c>
      <c r="P87" t="s">
        <v>912</v>
      </c>
    </row>
    <row r="88" spans="5:16" x14ac:dyDescent="0.2">
      <c r="E88" t="s">
        <v>390</v>
      </c>
      <c r="G88" t="s">
        <v>721</v>
      </c>
      <c r="H88" t="s">
        <v>722</v>
      </c>
      <c r="P88" t="s">
        <v>913</v>
      </c>
    </row>
    <row r="89" spans="5:16" x14ac:dyDescent="0.2">
      <c r="E89" t="s">
        <v>501</v>
      </c>
      <c r="G89" t="s">
        <v>723</v>
      </c>
      <c r="H89" t="s">
        <v>724</v>
      </c>
      <c r="P89" t="s">
        <v>914</v>
      </c>
    </row>
    <row r="90" spans="5:16" x14ac:dyDescent="0.2">
      <c r="E90" t="s">
        <v>473</v>
      </c>
      <c r="G90" t="s">
        <v>725</v>
      </c>
      <c r="H90" t="s">
        <v>726</v>
      </c>
      <c r="P90" t="s">
        <v>915</v>
      </c>
    </row>
    <row r="91" spans="5:16" x14ac:dyDescent="0.2">
      <c r="E91" t="s">
        <v>529</v>
      </c>
      <c r="G91" t="s">
        <v>727</v>
      </c>
      <c r="H91" t="s">
        <v>728</v>
      </c>
    </row>
    <row r="92" spans="5:16" x14ac:dyDescent="0.2">
      <c r="E92" t="s">
        <v>477</v>
      </c>
      <c r="G92" t="s">
        <v>729</v>
      </c>
      <c r="H92" t="s">
        <v>730</v>
      </c>
    </row>
    <row r="93" spans="5:16" x14ac:dyDescent="0.2">
      <c r="E93" t="s">
        <v>436</v>
      </c>
      <c r="G93" t="s">
        <v>731</v>
      </c>
      <c r="H93" t="s">
        <v>732</v>
      </c>
    </row>
    <row r="94" spans="5:16" x14ac:dyDescent="0.2">
      <c r="E94" t="s">
        <v>528</v>
      </c>
      <c r="G94" t="s">
        <v>733</v>
      </c>
      <c r="H94" t="s">
        <v>734</v>
      </c>
    </row>
    <row r="95" spans="5:16" x14ac:dyDescent="0.2">
      <c r="E95" t="s">
        <v>508</v>
      </c>
      <c r="G95" t="s">
        <v>735</v>
      </c>
      <c r="H95" t="s">
        <v>736</v>
      </c>
    </row>
    <row r="96" spans="5:16" x14ac:dyDescent="0.2">
      <c r="E96" t="s">
        <v>388</v>
      </c>
      <c r="G96" t="s">
        <v>737</v>
      </c>
      <c r="H96" t="s">
        <v>738</v>
      </c>
    </row>
    <row r="97" spans="5:7" x14ac:dyDescent="0.2">
      <c r="E97" t="s">
        <v>534</v>
      </c>
      <c r="G97" t="s">
        <v>739</v>
      </c>
    </row>
    <row r="98" spans="5:7" x14ac:dyDescent="0.2">
      <c r="E98" t="s">
        <v>429</v>
      </c>
      <c r="G98" t="s">
        <v>740</v>
      </c>
    </row>
    <row r="99" spans="5:7" x14ac:dyDescent="0.2">
      <c r="E99" t="s">
        <v>343</v>
      </c>
      <c r="G99" t="s">
        <v>741</v>
      </c>
    </row>
    <row r="100" spans="5:7" x14ac:dyDescent="0.2">
      <c r="E100" t="s">
        <v>366</v>
      </c>
      <c r="G100" t="s">
        <v>742</v>
      </c>
    </row>
    <row r="101" spans="5:7" x14ac:dyDescent="0.2">
      <c r="E101" t="s">
        <v>362</v>
      </c>
      <c r="G101" t="s">
        <v>743</v>
      </c>
    </row>
    <row r="102" spans="5:7" x14ac:dyDescent="0.2">
      <c r="E102" t="s">
        <v>330</v>
      </c>
      <c r="G102" t="s">
        <v>744</v>
      </c>
    </row>
    <row r="103" spans="5:7" x14ac:dyDescent="0.2">
      <c r="E103" t="s">
        <v>530</v>
      </c>
      <c r="G103" t="s">
        <v>745</v>
      </c>
    </row>
    <row r="104" spans="5:7" x14ac:dyDescent="0.2">
      <c r="E104" t="s">
        <v>454</v>
      </c>
      <c r="G104" t="s">
        <v>746</v>
      </c>
    </row>
    <row r="105" spans="5:7" x14ac:dyDescent="0.2">
      <c r="E105" t="s">
        <v>487</v>
      </c>
      <c r="G105" t="s">
        <v>747</v>
      </c>
    </row>
    <row r="106" spans="5:7" x14ac:dyDescent="0.2">
      <c r="E106" t="s">
        <v>325</v>
      </c>
      <c r="G106" t="s">
        <v>748</v>
      </c>
    </row>
    <row r="107" spans="5:7" x14ac:dyDescent="0.2">
      <c r="E107" t="s">
        <v>375</v>
      </c>
      <c r="G107" t="s">
        <v>749</v>
      </c>
    </row>
    <row r="108" spans="5:7" x14ac:dyDescent="0.2">
      <c r="E108" t="s">
        <v>476</v>
      </c>
      <c r="G108" t="s">
        <v>750</v>
      </c>
    </row>
    <row r="109" spans="5:7" x14ac:dyDescent="0.2">
      <c r="E109" t="s">
        <v>472</v>
      </c>
      <c r="G109" t="s">
        <v>751</v>
      </c>
    </row>
    <row r="110" spans="5:7" x14ac:dyDescent="0.2">
      <c r="E110" t="s">
        <v>523</v>
      </c>
      <c r="G110" t="s">
        <v>752</v>
      </c>
    </row>
    <row r="111" spans="5:7" x14ac:dyDescent="0.2">
      <c r="E111" t="s">
        <v>532</v>
      </c>
      <c r="G111" t="s">
        <v>753</v>
      </c>
    </row>
    <row r="112" spans="5:7" x14ac:dyDescent="0.2">
      <c r="E112" t="s">
        <v>450</v>
      </c>
      <c r="G112" t="s">
        <v>754</v>
      </c>
    </row>
    <row r="113" spans="5:7" x14ac:dyDescent="0.2">
      <c r="E113" t="s">
        <v>393</v>
      </c>
      <c r="G113" t="s">
        <v>755</v>
      </c>
    </row>
    <row r="114" spans="5:7" x14ac:dyDescent="0.2">
      <c r="E114" t="s">
        <v>428</v>
      </c>
      <c r="G114" t="s">
        <v>756</v>
      </c>
    </row>
    <row r="115" spans="5:7" x14ac:dyDescent="0.2">
      <c r="E115" t="s">
        <v>401</v>
      </c>
      <c r="G115" t="s">
        <v>757</v>
      </c>
    </row>
    <row r="116" spans="5:7" x14ac:dyDescent="0.2">
      <c r="E116" t="s">
        <v>327</v>
      </c>
      <c r="G116" t="s">
        <v>758</v>
      </c>
    </row>
    <row r="117" spans="5:7" x14ac:dyDescent="0.2">
      <c r="E117" t="s">
        <v>441</v>
      </c>
      <c r="G117" t="s">
        <v>546</v>
      </c>
    </row>
    <row r="118" spans="5:7" x14ac:dyDescent="0.2">
      <c r="E118" t="s">
        <v>363</v>
      </c>
      <c r="G118" t="s">
        <v>759</v>
      </c>
    </row>
    <row r="119" spans="5:7" x14ac:dyDescent="0.2">
      <c r="E119" t="s">
        <v>334</v>
      </c>
      <c r="G119" t="s">
        <v>760</v>
      </c>
    </row>
    <row r="120" spans="5:7" x14ac:dyDescent="0.2">
      <c r="E120" t="s">
        <v>359</v>
      </c>
      <c r="G120" t="s">
        <v>761</v>
      </c>
    </row>
    <row r="121" spans="5:7" x14ac:dyDescent="0.2">
      <c r="E121" t="s">
        <v>398</v>
      </c>
      <c r="G121" t="s">
        <v>762</v>
      </c>
    </row>
    <row r="122" spans="5:7" x14ac:dyDescent="0.2">
      <c r="E122" t="s">
        <v>514</v>
      </c>
      <c r="G122" t="s">
        <v>763</v>
      </c>
    </row>
    <row r="123" spans="5:7" x14ac:dyDescent="0.2">
      <c r="E123" t="s">
        <v>387</v>
      </c>
      <c r="G123" t="s">
        <v>764</v>
      </c>
    </row>
    <row r="124" spans="5:7" x14ac:dyDescent="0.2">
      <c r="E124" t="s">
        <v>415</v>
      </c>
      <c r="G124" t="s">
        <v>765</v>
      </c>
    </row>
    <row r="125" spans="5:7" x14ac:dyDescent="0.2">
      <c r="E125" t="s">
        <v>448</v>
      </c>
      <c r="G125" t="s">
        <v>766</v>
      </c>
    </row>
    <row r="126" spans="5:7" x14ac:dyDescent="0.2">
      <c r="E126" t="s">
        <v>326</v>
      </c>
      <c r="G126" t="s">
        <v>767</v>
      </c>
    </row>
    <row r="127" spans="5:7" x14ac:dyDescent="0.2">
      <c r="E127" t="s">
        <v>406</v>
      </c>
      <c r="G127" t="s">
        <v>768</v>
      </c>
    </row>
    <row r="128" spans="5:7" x14ac:dyDescent="0.2">
      <c r="E128" t="s">
        <v>527</v>
      </c>
      <c r="G128" t="s">
        <v>769</v>
      </c>
    </row>
    <row r="129" spans="5:7" x14ac:dyDescent="0.2">
      <c r="E129" t="s">
        <v>511</v>
      </c>
      <c r="G129" t="s">
        <v>770</v>
      </c>
    </row>
    <row r="130" spans="5:7" x14ac:dyDescent="0.2">
      <c r="E130" t="s">
        <v>319</v>
      </c>
      <c r="G130" t="s">
        <v>771</v>
      </c>
    </row>
    <row r="131" spans="5:7" x14ac:dyDescent="0.2">
      <c r="E131" t="s">
        <v>483</v>
      </c>
      <c r="G131" t="s">
        <v>772</v>
      </c>
    </row>
    <row r="132" spans="5:7" x14ac:dyDescent="0.2">
      <c r="E132" t="s">
        <v>504</v>
      </c>
      <c r="G132" t="s">
        <v>773</v>
      </c>
    </row>
    <row r="133" spans="5:7" x14ac:dyDescent="0.2">
      <c r="E133" t="s">
        <v>347</v>
      </c>
      <c r="G133" t="s">
        <v>774</v>
      </c>
    </row>
    <row r="134" spans="5:7" x14ac:dyDescent="0.2">
      <c r="E134" t="s">
        <v>354</v>
      </c>
      <c r="G134" t="s">
        <v>775</v>
      </c>
    </row>
    <row r="135" spans="5:7" x14ac:dyDescent="0.2">
      <c r="E135" t="s">
        <v>389</v>
      </c>
      <c r="G135" t="s">
        <v>776</v>
      </c>
    </row>
    <row r="136" spans="5:7" x14ac:dyDescent="0.2">
      <c r="E136" t="s">
        <v>399</v>
      </c>
      <c r="G136" t="s">
        <v>777</v>
      </c>
    </row>
    <row r="137" spans="5:7" x14ac:dyDescent="0.2">
      <c r="E137" t="s">
        <v>345</v>
      </c>
      <c r="G137" t="s">
        <v>778</v>
      </c>
    </row>
    <row r="138" spans="5:7" x14ac:dyDescent="0.2">
      <c r="E138" t="s">
        <v>457</v>
      </c>
      <c r="G138" t="s">
        <v>779</v>
      </c>
    </row>
    <row r="139" spans="5:7" x14ac:dyDescent="0.2">
      <c r="E139" t="s">
        <v>427</v>
      </c>
      <c r="G139" t="s">
        <v>780</v>
      </c>
    </row>
    <row r="140" spans="5:7" x14ac:dyDescent="0.2">
      <c r="E140" t="s">
        <v>331</v>
      </c>
      <c r="G140" t="s">
        <v>781</v>
      </c>
    </row>
    <row r="141" spans="5:7" x14ac:dyDescent="0.2">
      <c r="E141" t="s">
        <v>413</v>
      </c>
      <c r="G141" t="s">
        <v>782</v>
      </c>
    </row>
    <row r="142" spans="5:7" x14ac:dyDescent="0.2">
      <c r="E142" t="s">
        <v>313</v>
      </c>
      <c r="G142" t="s">
        <v>783</v>
      </c>
    </row>
    <row r="143" spans="5:7" x14ac:dyDescent="0.2">
      <c r="E143" t="s">
        <v>418</v>
      </c>
      <c r="G143" t="s">
        <v>784</v>
      </c>
    </row>
    <row r="144" spans="5:7" x14ac:dyDescent="0.2">
      <c r="E144" t="s">
        <v>468</v>
      </c>
      <c r="G144" t="s">
        <v>785</v>
      </c>
    </row>
    <row r="145" spans="5:7" x14ac:dyDescent="0.2">
      <c r="E145" t="s">
        <v>500</v>
      </c>
      <c r="G145" t="s">
        <v>786</v>
      </c>
    </row>
    <row r="146" spans="5:7" x14ac:dyDescent="0.2">
      <c r="E146" t="s">
        <v>368</v>
      </c>
      <c r="G146" t="s">
        <v>787</v>
      </c>
    </row>
    <row r="147" spans="5:7" x14ac:dyDescent="0.2">
      <c r="E147" t="s">
        <v>383</v>
      </c>
      <c r="G147" t="s">
        <v>788</v>
      </c>
    </row>
    <row r="148" spans="5:7" x14ac:dyDescent="0.2">
      <c r="E148" t="s">
        <v>496</v>
      </c>
      <c r="G148" t="s">
        <v>789</v>
      </c>
    </row>
    <row r="149" spans="5:7" x14ac:dyDescent="0.2">
      <c r="E149" t="s">
        <v>303</v>
      </c>
      <c r="G149" t="s">
        <v>790</v>
      </c>
    </row>
    <row r="150" spans="5:7" x14ac:dyDescent="0.2">
      <c r="E150" t="s">
        <v>316</v>
      </c>
      <c r="G150" t="s">
        <v>791</v>
      </c>
    </row>
    <row r="151" spans="5:7" x14ac:dyDescent="0.2">
      <c r="E151" t="s">
        <v>424</v>
      </c>
      <c r="G151" t="s">
        <v>792</v>
      </c>
    </row>
    <row r="152" spans="5:7" x14ac:dyDescent="0.2">
      <c r="E152" t="s">
        <v>426</v>
      </c>
    </row>
    <row r="153" spans="5:7" x14ac:dyDescent="0.2">
      <c r="E153" t="s">
        <v>365</v>
      </c>
    </row>
    <row r="154" spans="5:7" x14ac:dyDescent="0.2">
      <c r="E154" t="s">
        <v>464</v>
      </c>
    </row>
    <row r="155" spans="5:7" x14ac:dyDescent="0.2">
      <c r="E155" t="s">
        <v>306</v>
      </c>
    </row>
    <row r="156" spans="5:7" x14ac:dyDescent="0.2">
      <c r="E156" t="s">
        <v>503</v>
      </c>
    </row>
    <row r="157" spans="5:7" x14ac:dyDescent="0.2">
      <c r="E157" t="s">
        <v>339</v>
      </c>
    </row>
    <row r="158" spans="5:7" x14ac:dyDescent="0.2">
      <c r="E158" t="s">
        <v>459</v>
      </c>
    </row>
    <row r="159" spans="5:7" x14ac:dyDescent="0.2">
      <c r="E159" t="s">
        <v>535</v>
      </c>
    </row>
    <row r="160" spans="5:7" x14ac:dyDescent="0.2">
      <c r="E160" t="s">
        <v>469</v>
      </c>
    </row>
    <row r="161" spans="5:5" x14ac:dyDescent="0.2">
      <c r="E161" t="s">
        <v>531</v>
      </c>
    </row>
    <row r="162" spans="5:5" x14ac:dyDescent="0.2">
      <c r="E162" t="s">
        <v>312</v>
      </c>
    </row>
    <row r="163" spans="5:5" x14ac:dyDescent="0.2">
      <c r="E163" t="s">
        <v>340</v>
      </c>
    </row>
    <row r="164" spans="5:5" x14ac:dyDescent="0.2">
      <c r="E164" t="s">
        <v>355</v>
      </c>
    </row>
    <row r="165" spans="5:5" x14ac:dyDescent="0.2">
      <c r="E165" t="s">
        <v>536</v>
      </c>
    </row>
    <row r="166" spans="5:5" x14ac:dyDescent="0.2">
      <c r="E166" t="s">
        <v>417</v>
      </c>
    </row>
    <row r="167" spans="5:5" x14ac:dyDescent="0.2">
      <c r="E167" t="s">
        <v>356</v>
      </c>
    </row>
    <row r="168" spans="5:5" x14ac:dyDescent="0.2">
      <c r="E168" t="s">
        <v>461</v>
      </c>
    </row>
    <row r="169" spans="5:5" x14ac:dyDescent="0.2">
      <c r="E169" t="s">
        <v>430</v>
      </c>
    </row>
    <row r="170" spans="5:5" x14ac:dyDescent="0.2">
      <c r="E170" t="s">
        <v>349</v>
      </c>
    </row>
    <row r="171" spans="5:5" x14ac:dyDescent="0.2">
      <c r="E171" t="s">
        <v>474</v>
      </c>
    </row>
    <row r="172" spans="5:5" x14ac:dyDescent="0.2">
      <c r="E172" t="s">
        <v>307</v>
      </c>
    </row>
    <row r="173" spans="5:5" x14ac:dyDescent="0.2">
      <c r="E173" t="s">
        <v>462</v>
      </c>
    </row>
    <row r="174" spans="5:5" x14ac:dyDescent="0.2">
      <c r="E174" t="s">
        <v>435</v>
      </c>
    </row>
    <row r="175" spans="5:5" x14ac:dyDescent="0.2">
      <c r="E175" t="s">
        <v>336</v>
      </c>
    </row>
    <row r="176" spans="5:5" x14ac:dyDescent="0.2">
      <c r="E176" t="s">
        <v>353</v>
      </c>
    </row>
    <row r="177" spans="5:5" x14ac:dyDescent="0.2">
      <c r="E177" t="s">
        <v>423</v>
      </c>
    </row>
    <row r="178" spans="5:5" x14ac:dyDescent="0.2">
      <c r="E178" t="s">
        <v>373</v>
      </c>
    </row>
    <row r="179" spans="5:5" x14ac:dyDescent="0.2">
      <c r="E179" t="s">
        <v>378</v>
      </c>
    </row>
    <row r="180" spans="5:5" x14ac:dyDescent="0.2">
      <c r="E180" t="s">
        <v>519</v>
      </c>
    </row>
    <row r="181" spans="5:5" x14ac:dyDescent="0.2">
      <c r="E181" t="s">
        <v>338</v>
      </c>
    </row>
    <row r="182" spans="5:5" x14ac:dyDescent="0.2">
      <c r="E182" t="s">
        <v>364</v>
      </c>
    </row>
    <row r="183" spans="5:5" x14ac:dyDescent="0.2">
      <c r="E183" t="s">
        <v>409</v>
      </c>
    </row>
    <row r="184" spans="5:5" x14ac:dyDescent="0.2">
      <c r="E184" t="s">
        <v>444</v>
      </c>
    </row>
    <row r="185" spans="5:5" x14ac:dyDescent="0.2">
      <c r="E185" t="s">
        <v>410</v>
      </c>
    </row>
    <row r="186" spans="5:5" x14ac:dyDescent="0.2">
      <c r="E186" t="s">
        <v>314</v>
      </c>
    </row>
    <row r="187" spans="5:5" x14ac:dyDescent="0.2">
      <c r="E187" t="s">
        <v>370</v>
      </c>
    </row>
    <row r="188" spans="5:5" x14ac:dyDescent="0.2">
      <c r="E188" t="s">
        <v>351</v>
      </c>
    </row>
    <row r="189" spans="5:5" x14ac:dyDescent="0.2">
      <c r="E189" t="s">
        <v>419</v>
      </c>
    </row>
    <row r="190" spans="5:5" x14ac:dyDescent="0.2">
      <c r="E190" t="s">
        <v>371</v>
      </c>
    </row>
    <row r="191" spans="5:5" x14ac:dyDescent="0.2">
      <c r="E191" t="s">
        <v>510</v>
      </c>
    </row>
    <row r="192" spans="5:5" x14ac:dyDescent="0.2">
      <c r="E192" t="s">
        <v>537</v>
      </c>
    </row>
    <row r="193" spans="5:5" x14ac:dyDescent="0.2">
      <c r="E193" t="s">
        <v>344</v>
      </c>
    </row>
    <row r="194" spans="5:5" x14ac:dyDescent="0.2">
      <c r="E194" t="s">
        <v>350</v>
      </c>
    </row>
    <row r="195" spans="5:5" x14ac:dyDescent="0.2">
      <c r="E195" t="s">
        <v>446</v>
      </c>
    </row>
    <row r="196" spans="5:5" x14ac:dyDescent="0.2">
      <c r="E196" t="s">
        <v>492</v>
      </c>
    </row>
    <row r="197" spans="5:5" x14ac:dyDescent="0.2">
      <c r="E197" t="s">
        <v>384</v>
      </c>
    </row>
    <row r="198" spans="5:5" x14ac:dyDescent="0.2">
      <c r="E198" t="s">
        <v>324</v>
      </c>
    </row>
    <row r="199" spans="5:5" x14ac:dyDescent="0.2">
      <c r="E199" t="s">
        <v>481</v>
      </c>
    </row>
    <row r="200" spans="5:5" x14ac:dyDescent="0.2">
      <c r="E200" t="s">
        <v>518</v>
      </c>
    </row>
    <row r="201" spans="5:5" x14ac:dyDescent="0.2">
      <c r="E201" t="s">
        <v>491</v>
      </c>
    </row>
    <row r="202" spans="5:5" x14ac:dyDescent="0.2">
      <c r="E202" t="s">
        <v>521</v>
      </c>
    </row>
    <row r="203" spans="5:5" x14ac:dyDescent="0.2">
      <c r="E203" t="s">
        <v>63</v>
      </c>
    </row>
    <row r="204" spans="5:5" x14ac:dyDescent="0.2">
      <c r="E204" t="s">
        <v>348</v>
      </c>
    </row>
    <row r="205" spans="5:5" x14ac:dyDescent="0.2">
      <c r="E205" t="s">
        <v>485</v>
      </c>
    </row>
    <row r="206" spans="5:5" x14ac:dyDescent="0.2">
      <c r="E206" t="s">
        <v>517</v>
      </c>
    </row>
    <row r="207" spans="5:5" x14ac:dyDescent="0.2">
      <c r="E207" t="s">
        <v>402</v>
      </c>
    </row>
    <row r="208" spans="5:5" x14ac:dyDescent="0.2">
      <c r="E208" t="s">
        <v>318</v>
      </c>
    </row>
    <row r="209" spans="5:5" x14ac:dyDescent="0.2">
      <c r="E209" t="s">
        <v>499</v>
      </c>
    </row>
    <row r="210" spans="5:5" x14ac:dyDescent="0.2">
      <c r="E210" t="s">
        <v>381</v>
      </c>
    </row>
    <row r="211" spans="5:5" x14ac:dyDescent="0.2">
      <c r="E211" t="s">
        <v>494</v>
      </c>
    </row>
    <row r="212" spans="5:5" x14ac:dyDescent="0.2">
      <c r="E212" t="s">
        <v>467</v>
      </c>
    </row>
    <row r="213" spans="5:5" x14ac:dyDescent="0.2">
      <c r="E213" t="s">
        <v>394</v>
      </c>
    </row>
    <row r="214" spans="5:5" x14ac:dyDescent="0.2">
      <c r="E214" t="s">
        <v>422</v>
      </c>
    </row>
    <row r="215" spans="5:5" x14ac:dyDescent="0.2">
      <c r="E215" t="s">
        <v>490</v>
      </c>
    </row>
    <row r="216" spans="5:5" x14ac:dyDescent="0.2">
      <c r="E216" t="s">
        <v>479</v>
      </c>
    </row>
    <row r="217" spans="5:5" x14ac:dyDescent="0.2">
      <c r="E217" t="s">
        <v>493</v>
      </c>
    </row>
    <row r="218" spans="5:5" x14ac:dyDescent="0.2">
      <c r="E218" t="s">
        <v>480</v>
      </c>
    </row>
    <row r="219" spans="5:5" x14ac:dyDescent="0.2">
      <c r="E219" t="s">
        <v>308</v>
      </c>
    </row>
    <row r="220" spans="5:5" x14ac:dyDescent="0.2">
      <c r="E220" t="s">
        <v>465</v>
      </c>
    </row>
    <row r="221" spans="5:5" x14ac:dyDescent="0.2">
      <c r="E221" t="s">
        <v>526</v>
      </c>
    </row>
    <row r="222" spans="5:5" x14ac:dyDescent="0.2">
      <c r="E222" t="s">
        <v>460</v>
      </c>
    </row>
    <row r="223" spans="5:5" x14ac:dyDescent="0.2">
      <c r="E223" t="s">
        <v>456</v>
      </c>
    </row>
    <row r="224" spans="5:5" x14ac:dyDescent="0.2">
      <c r="E224" t="s">
        <v>520</v>
      </c>
    </row>
    <row r="225" spans="5:5" x14ac:dyDescent="0.2">
      <c r="E225" t="s">
        <v>447</v>
      </c>
    </row>
    <row r="226" spans="5:5" x14ac:dyDescent="0.2">
      <c r="E226" t="s">
        <v>443</v>
      </c>
    </row>
    <row r="227" spans="5:5" x14ac:dyDescent="0.2">
      <c r="E227" t="s">
        <v>471</v>
      </c>
    </row>
    <row r="228" spans="5:5" x14ac:dyDescent="0.2">
      <c r="E228" t="s">
        <v>379</v>
      </c>
    </row>
    <row r="229" spans="5:5" x14ac:dyDescent="0.2">
      <c r="E229" t="s">
        <v>515</v>
      </c>
    </row>
    <row r="230" spans="5:5" x14ac:dyDescent="0.2">
      <c r="E230" t="s">
        <v>396</v>
      </c>
    </row>
    <row r="231" spans="5:5" x14ac:dyDescent="0.2">
      <c r="E231" t="s">
        <v>525</v>
      </c>
    </row>
    <row r="232" spans="5:5" x14ac:dyDescent="0.2">
      <c r="E232" t="s">
        <v>442</v>
      </c>
    </row>
    <row r="233" spans="5:5" x14ac:dyDescent="0.2">
      <c r="E233" t="s">
        <v>395</v>
      </c>
    </row>
    <row r="234" spans="5:5" x14ac:dyDescent="0.2">
      <c r="E234" t="s">
        <v>322</v>
      </c>
    </row>
    <row r="235" spans="5:5" x14ac:dyDescent="0.2">
      <c r="E235" t="s">
        <v>392</v>
      </c>
    </row>
    <row r="236" spans="5:5" x14ac:dyDescent="0.2">
      <c r="E236" t="s">
        <v>425</v>
      </c>
    </row>
    <row r="237" spans="5:5" x14ac:dyDescent="0.2">
      <c r="E237" t="s">
        <v>333</v>
      </c>
    </row>
  </sheetData>
  <sortState ref="E2:E237">
    <sortCondition ref="E2:E237"/>
  </sortState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W39"/>
  <sheetViews>
    <sheetView workbookViewId="0">
      <selection activeCell="E10" sqref="E10"/>
    </sheetView>
  </sheetViews>
  <sheetFormatPr defaultRowHeight="15" x14ac:dyDescent="0.25"/>
  <cols>
    <col min="1" max="1" width="67.33203125" style="14" customWidth="1"/>
    <col min="2" max="16384" width="9.33203125" style="14"/>
  </cols>
  <sheetData>
    <row r="2" spans="1:1" x14ac:dyDescent="0.25">
      <c r="A2" s="14" t="str">
        <f>RExec(A4:A39,)</f>
        <v>#RExec# 0.81449</v>
      </c>
    </row>
    <row r="4" spans="1:1" x14ac:dyDescent="0.25">
      <c r="A4" s="14" t="s">
        <v>258</v>
      </c>
    </row>
    <row r="5" spans="1:1" x14ac:dyDescent="0.25">
      <c r="A5" s="14" t="str">
        <f>"level = """&amp;LOWER(map_level) &amp; """"</f>
        <v>level = "county"</v>
      </c>
    </row>
    <row r="6" spans="1:1" x14ac:dyDescent="0.25">
      <c r="A6" s="14" t="s">
        <v>259</v>
      </c>
    </row>
    <row r="7" spans="1:1" x14ac:dyDescent="0.25">
      <c r="A7" s="14" t="s">
        <v>260</v>
      </c>
    </row>
    <row r="8" spans="1:1" x14ac:dyDescent="0.25">
      <c r="A8" s="14" t="s">
        <v>261</v>
      </c>
    </row>
    <row r="9" spans="1:1" x14ac:dyDescent="0.25">
      <c r="A9" s="14" t="s">
        <v>262</v>
      </c>
    </row>
    <row r="11" spans="1:1" x14ac:dyDescent="0.25">
      <c r="A11" s="14" t="s">
        <v>263</v>
      </c>
    </row>
    <row r="12" spans="1:1" x14ac:dyDescent="0.25">
      <c r="A12" s="14" t="s">
        <v>264</v>
      </c>
    </row>
    <row r="13" spans="1:1" x14ac:dyDescent="0.25">
      <c r="A13" s="14" t="s">
        <v>265</v>
      </c>
    </row>
    <row r="14" spans="1:1" x14ac:dyDescent="0.25">
      <c r="A14" s="14" t="s">
        <v>266</v>
      </c>
    </row>
    <row r="16" spans="1:1" x14ac:dyDescent="0.25">
      <c r="A16" s="14" t="s">
        <v>267</v>
      </c>
    </row>
    <row r="19" spans="1:23" x14ac:dyDescent="0.25">
      <c r="A19" s="14" t="s">
        <v>268</v>
      </c>
    </row>
    <row r="20" spans="1:23" x14ac:dyDescent="0.25">
      <c r="A20" s="14" t="s">
        <v>269</v>
      </c>
    </row>
    <row r="21" spans="1:23" x14ac:dyDescent="0.25">
      <c r="A21" s="14" t="s">
        <v>270</v>
      </c>
    </row>
    <row r="22" spans="1:23" x14ac:dyDescent="0.25">
      <c r="A22" s="14" t="str">
        <f>"xlc[""map_progress""] = ""Geocoding to " &amp; map_level &amp; " level"""</f>
        <v>xlc["map_progress"] = "Geocoding to County level"</v>
      </c>
    </row>
    <row r="24" spans="1:23" x14ac:dyDescent="0.25">
      <c r="W24" s="14">
        <v>1</v>
      </c>
    </row>
    <row r="25" spans="1:23" x14ac:dyDescent="0.25">
      <c r="A25" s="14" t="s">
        <v>271</v>
      </c>
    </row>
    <row r="26" spans="1:23" x14ac:dyDescent="0.25">
      <c r="A26" s="14" t="s">
        <v>272</v>
      </c>
    </row>
    <row r="27" spans="1:23" x14ac:dyDescent="0.25">
      <c r="A27" s="14" t="s">
        <v>273</v>
      </c>
    </row>
    <row r="28" spans="1:23" x14ac:dyDescent="0.25">
      <c r="A28" s="14" t="s">
        <v>274</v>
      </c>
    </row>
    <row r="30" spans="1:23" x14ac:dyDescent="0.25">
      <c r="A30" s="14" t="s">
        <v>275</v>
      </c>
    </row>
    <row r="31" spans="1:23" x14ac:dyDescent="0.25">
      <c r="A31" s="14" t="s">
        <v>276</v>
      </c>
    </row>
    <row r="33" spans="1:1" x14ac:dyDescent="0.25">
      <c r="A33" s="14" t="s">
        <v>277</v>
      </c>
    </row>
    <row r="35" spans="1:1" x14ac:dyDescent="0.25">
      <c r="A35" s="14" t="s">
        <v>278</v>
      </c>
    </row>
    <row r="36" spans="1:1" x14ac:dyDescent="0.25">
      <c r="A36" s="14" t="s">
        <v>279</v>
      </c>
    </row>
    <row r="37" spans="1:1" x14ac:dyDescent="0.25">
      <c r="A37" s="14" t="s">
        <v>280</v>
      </c>
    </row>
    <row r="38" spans="1:1" x14ac:dyDescent="0.25">
      <c r="A38" s="14" t="s">
        <v>281</v>
      </c>
    </row>
    <row r="39" spans="1:1" x14ac:dyDescent="0.25">
      <c r="A39" s="14" t="s">
        <v>260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6"/>
  <sheetViews>
    <sheetView workbookViewId="0">
      <selection activeCell="O26" sqref="O26"/>
    </sheetView>
  </sheetViews>
  <sheetFormatPr defaultRowHeight="11.25" x14ac:dyDescent="0.2"/>
  <sheetData>
    <row r="1" spans="1:1" ht="15" x14ac:dyDescent="0.25">
      <c r="A1" s="14" t="str">
        <f>RExec(A3:A38,)</f>
        <v>#RExec# 0.4140327</v>
      </c>
    </row>
    <row r="3" spans="1:1" x14ac:dyDescent="0.2">
      <c r="A3" t="s">
        <v>282</v>
      </c>
    </row>
    <row r="4" spans="1:1" x14ac:dyDescent="0.2">
      <c r="A4" t="s">
        <v>264</v>
      </c>
    </row>
    <row r="5" spans="1:1" x14ac:dyDescent="0.2">
      <c r="A5" t="s">
        <v>265</v>
      </c>
    </row>
    <row r="6" spans="1:1" x14ac:dyDescent="0.2">
      <c r="A6" t="s">
        <v>266</v>
      </c>
    </row>
    <row r="8" spans="1:1" x14ac:dyDescent="0.2">
      <c r="A8" t="s">
        <v>283</v>
      </c>
    </row>
    <row r="9" spans="1:1" x14ac:dyDescent="0.2">
      <c r="A9" t="s">
        <v>284</v>
      </c>
    </row>
    <row r="10" spans="1:1" x14ac:dyDescent="0.2">
      <c r="A10" t="s">
        <v>285</v>
      </c>
    </row>
    <row r="11" spans="1:1" x14ac:dyDescent="0.2">
      <c r="A11" t="s">
        <v>286</v>
      </c>
    </row>
    <row r="13" spans="1:1" x14ac:dyDescent="0.2">
      <c r="A13" t="s">
        <v>287</v>
      </c>
    </row>
    <row r="15" spans="1:1" x14ac:dyDescent="0.2">
      <c r="A15" t="s">
        <v>288</v>
      </c>
    </row>
    <row r="16" spans="1:1" x14ac:dyDescent="0.2">
      <c r="A16" t="s">
        <v>289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502"/>
  <sheetViews>
    <sheetView topLeftCell="A22" workbookViewId="0">
      <selection activeCell="F45" sqref="F45"/>
    </sheetView>
  </sheetViews>
  <sheetFormatPr defaultRowHeight="11.25" x14ac:dyDescent="0.2"/>
  <cols>
    <col min="1" max="1" width="34" customWidth="1"/>
  </cols>
  <sheetData>
    <row r="1" spans="1:5" x14ac:dyDescent="0.2">
      <c r="A1" t="s">
        <v>290</v>
      </c>
      <c r="B1" t="s">
        <v>252</v>
      </c>
      <c r="C1" t="s">
        <v>291</v>
      </c>
      <c r="D1" t="s">
        <v>64</v>
      </c>
      <c r="E1" t="s">
        <v>143</v>
      </c>
    </row>
    <row r="2" spans="1:5" x14ac:dyDescent="0.2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">
      <c r="A3" s="80">
        <v>6.6668888962965403E-6</v>
      </c>
      <c r="B3">
        <v>3.1625206675646401E-4</v>
      </c>
      <c r="C3">
        <v>2.3616868755283401E-4</v>
      </c>
      <c r="D3">
        <v>2.8552635494952499E-3</v>
      </c>
      <c r="E3">
        <v>2.1601080306235098E-3</v>
      </c>
    </row>
    <row r="4" spans="1:5" x14ac:dyDescent="0.2">
      <c r="A4" s="80">
        <v>1.3333777792593099E-5</v>
      </c>
      <c r="B4">
        <v>6.3330688279760296E-4</v>
      </c>
      <c r="C4">
        <v>4.7599033650436E-4</v>
      </c>
      <c r="D4">
        <v>5.6830384022832602E-3</v>
      </c>
      <c r="E4">
        <v>4.3341955866624503E-3</v>
      </c>
    </row>
    <row r="5" spans="1:5" x14ac:dyDescent="0.2">
      <c r="A5" s="80">
        <v>2.0000666688889599E-5</v>
      </c>
      <c r="B5">
        <v>9.5116444871606799E-4</v>
      </c>
      <c r="C5">
        <v>7.1943565646988598E-4</v>
      </c>
      <c r="D5">
        <v>8.4834533376018702E-3</v>
      </c>
      <c r="E5">
        <v>6.5212333503736602E-3</v>
      </c>
    </row>
    <row r="6" spans="1:5" x14ac:dyDescent="0.2">
      <c r="A6" s="80">
        <v>2.6667555585186199E-5</v>
      </c>
      <c r="B6">
        <v>1.26982476510451E-3</v>
      </c>
      <c r="C6">
        <v>9.6647535706472095E-4</v>
      </c>
      <c r="D6">
        <v>1.1256637134688901E-2</v>
      </c>
      <c r="E6">
        <v>8.72019200401398E-3</v>
      </c>
    </row>
    <row r="7" spans="1:5" x14ac:dyDescent="0.2">
      <c r="A7" s="80">
        <v>3.3334444481482703E-5</v>
      </c>
      <c r="B7">
        <v>1.58928783255558E-3</v>
      </c>
      <c r="C7">
        <v>1.21708014790417E-3</v>
      </c>
      <c r="D7">
        <v>1.4002718572782199E-2</v>
      </c>
      <c r="E7">
        <v>1.09300422298402E-2</v>
      </c>
    </row>
    <row r="8" spans="1:5" x14ac:dyDescent="0.2">
      <c r="A8" s="80">
        <v>4.00013333777793E-5</v>
      </c>
      <c r="B8">
        <v>1.9095536516619399E-3</v>
      </c>
      <c r="C8">
        <v>1.4712207386035499E-3</v>
      </c>
      <c r="D8">
        <v>1.6721826431119701E-2</v>
      </c>
      <c r="E8">
        <v>1.3149754710109301E-2</v>
      </c>
    </row>
    <row r="9" spans="1:5" x14ac:dyDescent="0.2">
      <c r="A9" s="80">
        <v>4.6668222274075801E-5</v>
      </c>
      <c r="B9">
        <v>2.2306222230162199E-3</v>
      </c>
      <c r="C9">
        <v>1.72886783877816E-3</v>
      </c>
      <c r="D9">
        <v>1.94140894889391E-2</v>
      </c>
      <c r="E9">
        <v>1.5378300127078E-2</v>
      </c>
    </row>
    <row r="10" spans="1:5" x14ac:dyDescent="0.2">
      <c r="A10" s="80">
        <v>5.3335111170372302E-5</v>
      </c>
      <c r="B10">
        <v>2.5524935472110901E-3</v>
      </c>
      <c r="C10">
        <v>1.9899921580433201E-3</v>
      </c>
      <c r="D10">
        <v>2.2079636525478199E-2</v>
      </c>
      <c r="E10">
        <v>1.7614649163003201E-2</v>
      </c>
    </row>
    <row r="11" spans="1:5" x14ac:dyDescent="0.2">
      <c r="A11" s="80">
        <v>6.0002000066668899E-5</v>
      </c>
      <c r="B11">
        <v>2.8751676248392E-3</v>
      </c>
      <c r="C11">
        <v>2.2545644060143299E-3</v>
      </c>
      <c r="D11">
        <v>2.4718596319975101E-2</v>
      </c>
      <c r="E11">
        <v>1.9857772500141702E-2</v>
      </c>
    </row>
    <row r="12" spans="1:5" x14ac:dyDescent="0.2">
      <c r="A12" s="80">
        <v>6.6668888962965407E-5</v>
      </c>
      <c r="B12">
        <v>3.1986444564932001E-3</v>
      </c>
      <c r="C12">
        <v>2.5225552923064999E-3</v>
      </c>
      <c r="D12">
        <v>2.7331097651667399E-2</v>
      </c>
      <c r="E12">
        <v>2.2106640820750301E-2</v>
      </c>
    </row>
    <row r="13" spans="1:5" x14ac:dyDescent="0.2">
      <c r="A13" s="80">
        <v>7.3335777859262003E-5</v>
      </c>
      <c r="B13">
        <v>3.5229240427657399E-3</v>
      </c>
      <c r="C13">
        <v>2.7939355265351401E-3</v>
      </c>
      <c r="D13">
        <v>2.9917269299792999E-2</v>
      </c>
      <c r="E13">
        <v>2.4360224807085998E-2</v>
      </c>
    </row>
    <row r="14" spans="1:5" x14ac:dyDescent="0.2">
      <c r="A14" s="80">
        <v>8.0002666755558504E-5</v>
      </c>
      <c r="B14">
        <v>3.8480063842494701E-3</v>
      </c>
      <c r="C14">
        <v>3.0686758183155602E-3</v>
      </c>
      <c r="D14">
        <v>3.2477240043589803E-2</v>
      </c>
      <c r="E14">
        <v>2.66174951414055E-2</v>
      </c>
    </row>
    <row r="15" spans="1:5" x14ac:dyDescent="0.2">
      <c r="A15" s="80">
        <v>8.6669555651855101E-5</v>
      </c>
      <c r="B15">
        <v>4.1738914815370497E-3</v>
      </c>
      <c r="C15">
        <v>3.3467468772630602E-3</v>
      </c>
      <c r="D15">
        <v>3.50111386622955E-2</v>
      </c>
      <c r="E15">
        <v>2.88774225059657E-2</v>
      </c>
    </row>
    <row r="16" spans="1:5" x14ac:dyDescent="0.2">
      <c r="A16" s="80">
        <v>9.3336444548151602E-5</v>
      </c>
      <c r="B16">
        <v>4.5005793352211202E-3</v>
      </c>
      <c r="C16">
        <v>3.6281194129929701E-3</v>
      </c>
      <c r="D16">
        <v>3.7519093935148101E-2</v>
      </c>
      <c r="E16">
        <v>3.1138977583023399E-2</v>
      </c>
    </row>
    <row r="17" spans="1:5" x14ac:dyDescent="0.2">
      <c r="A17">
        <v>1.0000333344444799E-4</v>
      </c>
      <c r="B17">
        <v>4.8280699458943298E-3</v>
      </c>
      <c r="C17">
        <v>3.9127641351205701E-3</v>
      </c>
      <c r="D17">
        <v>4.00012346413854E-2</v>
      </c>
      <c r="E17">
        <v>3.3401131054835498E-2</v>
      </c>
    </row>
    <row r="18" spans="1:5" x14ac:dyDescent="0.2">
      <c r="A18">
        <v>1.06670222340745E-4</v>
      </c>
      <c r="B18">
        <v>5.1563097145779398E-3</v>
      </c>
      <c r="C18">
        <v>4.2006406475941704E-3</v>
      </c>
      <c r="D18">
        <v>4.2457692702180097E-2</v>
      </c>
      <c r="E18">
        <v>3.5662745434702499E-2</v>
      </c>
    </row>
    <row r="19" spans="1:5" x14ac:dyDescent="0.2">
      <c r="A19">
        <v>1.13337111237041E-4</v>
      </c>
      <c r="B19">
        <v>5.4850309653639E-3</v>
      </c>
      <c r="C19">
        <v>4.4916641982780097E-3</v>
      </c>
      <c r="D19">
        <v>4.4888612587607103E-2</v>
      </c>
      <c r="E19">
        <v>3.7922251208627203E-2</v>
      </c>
    </row>
    <row r="20" spans="1:5" x14ac:dyDescent="0.2">
      <c r="A20">
        <v>1.20004000133338E-4</v>
      </c>
      <c r="B20">
        <v>5.8139125833305098E-3</v>
      </c>
      <c r="C20">
        <v>4.7857389626364197E-3</v>
      </c>
      <c r="D20">
        <v>4.7294141900264701E-2</v>
      </c>
      <c r="E20">
        <v>4.0177971017676499E-2</v>
      </c>
    </row>
    <row r="21" spans="1:5" x14ac:dyDescent="0.2">
      <c r="A21">
        <v>1.2667088902963399E-4</v>
      </c>
      <c r="B21">
        <v>6.1426334535560701E-3</v>
      </c>
      <c r="C21">
        <v>5.0827691161337103E-3</v>
      </c>
      <c r="D21">
        <v>4.9674428242750902E-2</v>
      </c>
      <c r="E21">
        <v>4.2428227502917498E-2</v>
      </c>
    </row>
    <row r="22" spans="1:5" x14ac:dyDescent="0.2">
      <c r="A22">
        <v>1.33337777925931E-4</v>
      </c>
      <c r="B22">
        <v>6.4708724611188904E-3</v>
      </c>
      <c r="C22">
        <v>5.3826588342341898E-3</v>
      </c>
      <c r="D22">
        <v>5.20296192176639E-2</v>
      </c>
      <c r="E22">
        <v>4.4671343305417298E-2</v>
      </c>
    </row>
    <row r="23" spans="1:5" x14ac:dyDescent="0.2">
      <c r="A23">
        <v>1.4000466682222699E-4</v>
      </c>
      <c r="B23">
        <v>6.7983084910972604E-3</v>
      </c>
      <c r="C23">
        <v>5.6853122924021603E-3</v>
      </c>
      <c r="D23">
        <v>5.4359862427601803E-2</v>
      </c>
      <c r="E23">
        <v>4.6905641066242801E-2</v>
      </c>
    </row>
    <row r="24" spans="1:5" x14ac:dyDescent="0.2">
      <c r="A24">
        <v>1.4667155571852401E-4</v>
      </c>
      <c r="B24">
        <v>7.1246204285695097E-3</v>
      </c>
      <c r="C24">
        <v>5.9906336661019501E-3</v>
      </c>
      <c r="D24">
        <v>5.6665305475162797E-2</v>
      </c>
      <c r="E24">
        <v>4.9129443426461097E-2</v>
      </c>
    </row>
    <row r="25" spans="1:5" x14ac:dyDescent="0.2">
      <c r="A25">
        <v>1.53338444614821E-4</v>
      </c>
      <c r="B25">
        <v>7.44948715861392E-3</v>
      </c>
      <c r="C25">
        <v>6.2985271307978699E-3</v>
      </c>
      <c r="D25">
        <v>5.8946095962945103E-2</v>
      </c>
      <c r="E25">
        <v>5.1341073027139097E-2</v>
      </c>
    </row>
    <row r="26" spans="1:5" x14ac:dyDescent="0.2">
      <c r="A26">
        <v>1.6000533351111701E-4</v>
      </c>
      <c r="B26">
        <v>7.7725875663088003E-3</v>
      </c>
      <c r="C26">
        <v>6.6088968619542297E-3</v>
      </c>
      <c r="D26">
        <v>6.1202381493546801E-2</v>
      </c>
      <c r="E26">
        <v>5.3538852509344002E-2</v>
      </c>
    </row>
    <row r="27" spans="1:5" x14ac:dyDescent="0.2">
      <c r="A27">
        <v>1.66672222407414E-4</v>
      </c>
      <c r="B27">
        <v>8.09360053673246E-3</v>
      </c>
      <c r="C27">
        <v>6.9216470350353396E-3</v>
      </c>
      <c r="D27">
        <v>6.3434309669565994E-2</v>
      </c>
      <c r="E27">
        <v>5.5721104514142701E-2</v>
      </c>
    </row>
    <row r="28" spans="1:5" x14ac:dyDescent="0.2">
      <c r="A28">
        <v>1.7333911130371001E-4</v>
      </c>
      <c r="B28">
        <v>8.4122049549632E-3</v>
      </c>
      <c r="C28">
        <v>7.2366818255055199E-3</v>
      </c>
      <c r="D28">
        <v>6.5642028093600896E-2</v>
      </c>
      <c r="E28">
        <v>5.7886151682602402E-2</v>
      </c>
    </row>
    <row r="29" spans="1:5" x14ac:dyDescent="0.2">
      <c r="A29">
        <v>1.80006000200007E-4</v>
      </c>
      <c r="B29">
        <v>8.7280797060793197E-3</v>
      </c>
      <c r="C29">
        <v>7.5539054088290796E-3</v>
      </c>
      <c r="D29">
        <v>6.7825684368249706E-2</v>
      </c>
      <c r="E29">
        <v>6.0032316655789897E-2</v>
      </c>
    </row>
    <row r="30" spans="1:5" x14ac:dyDescent="0.2">
      <c r="A30">
        <v>1.8667288909630299E-4</v>
      </c>
      <c r="B30">
        <v>9.0409036751591208E-3</v>
      </c>
      <c r="C30">
        <v>7.8732219604703193E-3</v>
      </c>
      <c r="D30">
        <v>6.9985426096110401E-2</v>
      </c>
      <c r="E30">
        <v>6.2157922074772297E-2</v>
      </c>
    </row>
    <row r="31" spans="1:5" x14ac:dyDescent="0.2">
      <c r="A31">
        <v>1.933397779926E-4</v>
      </c>
      <c r="B31">
        <v>9.3503557472809206E-3</v>
      </c>
      <c r="C31">
        <v>8.1945356558935697E-3</v>
      </c>
      <c r="D31">
        <v>7.2121400879781306E-2</v>
      </c>
      <c r="E31">
        <v>6.4261290580616706E-2</v>
      </c>
    </row>
    <row r="32" spans="1:5" x14ac:dyDescent="0.2">
      <c r="A32">
        <v>2.0000666688889599E-4</v>
      </c>
      <c r="B32">
        <v>9.6561148075232708E-3</v>
      </c>
      <c r="C32">
        <v>8.5177506705631408E-3</v>
      </c>
      <c r="D32">
        <v>7.4233756321860495E-2</v>
      </c>
      <c r="E32">
        <v>6.6340744814390007E-2</v>
      </c>
    </row>
    <row r="33" spans="1:5" x14ac:dyDescent="0.2">
      <c r="A33">
        <v>2.0667355578519301E-4</v>
      </c>
      <c r="B33">
        <v>9.9581281408174897E-3</v>
      </c>
      <c r="C33">
        <v>8.8427711799433407E-3</v>
      </c>
      <c r="D33">
        <v>7.6322640024946195E-2</v>
      </c>
      <c r="E33">
        <v>6.83946074171594E-2</v>
      </c>
    </row>
    <row r="34" spans="1:5" x14ac:dyDescent="0.2">
      <c r="A34">
        <v>2.1334044468148899E-4</v>
      </c>
      <c r="B34">
        <v>1.0257413415537899E-2</v>
      </c>
      <c r="C34">
        <v>9.1695013594984796E-3</v>
      </c>
      <c r="D34">
        <v>7.8388199591636398E-2</v>
      </c>
      <c r="E34">
        <v>7.0421201029991706E-2</v>
      </c>
    </row>
    <row r="35" spans="1:5" x14ac:dyDescent="0.2">
      <c r="A35">
        <v>2.2000733357778601E-4</v>
      </c>
      <c r="B35">
        <v>1.05552550943346E-2</v>
      </c>
      <c r="C35">
        <v>9.4978453846928709E-3</v>
      </c>
      <c r="D35">
        <v>8.0430582624529401E-2</v>
      </c>
      <c r="E35">
        <v>7.2418848293954202E-2</v>
      </c>
    </row>
    <row r="36" spans="1:5" x14ac:dyDescent="0.2">
      <c r="A36">
        <v>2.26674222474082E-4</v>
      </c>
      <c r="B36">
        <v>1.0852937639857599E-2</v>
      </c>
      <c r="C36">
        <v>9.8277074309908296E-3</v>
      </c>
      <c r="D36">
        <v>8.2449936726223305E-2</v>
      </c>
      <c r="E36">
        <v>7.4385871850113694E-2</v>
      </c>
    </row>
    <row r="37" spans="1:5" x14ac:dyDescent="0.2">
      <c r="A37">
        <v>2.3334111137037901E-4</v>
      </c>
      <c r="B37">
        <v>1.11517455147569E-2</v>
      </c>
      <c r="C37">
        <v>1.0158991673856701E-2</v>
      </c>
      <c r="D37">
        <v>8.4446409499316297E-2</v>
      </c>
      <c r="E37">
        <v>7.6320594339537307E-2</v>
      </c>
    </row>
    <row r="38" spans="1:5" x14ac:dyDescent="0.2">
      <c r="A38">
        <v>2.40008000266676E-4</v>
      </c>
      <c r="B38">
        <v>1.14529631816827E-2</v>
      </c>
      <c r="C38">
        <v>1.04916022887547E-2</v>
      </c>
      <c r="D38">
        <v>8.6420148546406395E-2</v>
      </c>
      <c r="E38">
        <v>7.8221338403292096E-2</v>
      </c>
    </row>
    <row r="39" spans="1:5" x14ac:dyDescent="0.2">
      <c r="A39">
        <v>2.4667488916297199E-4</v>
      </c>
      <c r="B39">
        <v>1.17578751032848E-2</v>
      </c>
      <c r="C39">
        <v>1.0825443451149301E-2</v>
      </c>
      <c r="D39">
        <v>8.8371301470091895E-2</v>
      </c>
      <c r="E39">
        <v>8.0086426682444894E-2</v>
      </c>
    </row>
    <row r="40" spans="1:5" x14ac:dyDescent="0.2">
      <c r="A40">
        <v>2.53341778059269E-4</v>
      </c>
      <c r="B40">
        <v>1.20677657422135E-2</v>
      </c>
      <c r="C40">
        <v>1.11604193365046E-2</v>
      </c>
      <c r="D40">
        <v>9.0300015872970901E-2</v>
      </c>
      <c r="E40">
        <v>8.1914181818062995E-2</v>
      </c>
    </row>
    <row r="41" spans="1:5" x14ac:dyDescent="0.2">
      <c r="A41">
        <v>2.6000866695556499E-4</v>
      </c>
      <c r="B41">
        <v>1.23839195611187E-2</v>
      </c>
      <c r="C41">
        <v>1.1496434120285099E-2</v>
      </c>
      <c r="D41">
        <v>9.2206439357641598E-2</v>
      </c>
      <c r="E41">
        <v>8.37029264512133E-2</v>
      </c>
    </row>
    <row r="42" spans="1:5" x14ac:dyDescent="0.2">
      <c r="A42">
        <v>2.6667555585186201E-4</v>
      </c>
      <c r="B42">
        <v>1.2707621022650399E-2</v>
      </c>
      <c r="C42">
        <v>1.1833391977955099E-2</v>
      </c>
      <c r="D42">
        <v>9.4090719526702005E-2</v>
      </c>
      <c r="E42">
        <v>8.5450983222962795E-2</v>
      </c>
    </row>
    <row r="43" spans="1:5" x14ac:dyDescent="0.2">
      <c r="A43">
        <v>2.7334244474815799E-4</v>
      </c>
      <c r="B43">
        <v>1.3040154589458799E-2</v>
      </c>
      <c r="C43">
        <v>1.21711970849788E-2</v>
      </c>
      <c r="D43">
        <v>9.5953003982750404E-2</v>
      </c>
      <c r="E43">
        <v>8.7156674774378606E-2</v>
      </c>
    </row>
    <row r="44" spans="1:5" x14ac:dyDescent="0.2">
      <c r="A44">
        <v>2.8000933364445501E-4</v>
      </c>
      <c r="B44">
        <v>1.33828047241938E-2</v>
      </c>
      <c r="C44">
        <v>1.2509753616820499E-2</v>
      </c>
      <c r="D44">
        <v>9.7793440328384898E-2</v>
      </c>
      <c r="E44">
        <v>8.8818323746527594E-2</v>
      </c>
    </row>
    <row r="45" spans="1:5" x14ac:dyDescent="0.2">
      <c r="A45">
        <v>2.86676222540751E-4</v>
      </c>
      <c r="B45">
        <v>1.37368558895056E-2</v>
      </c>
      <c r="C45">
        <v>1.28489657489447E-2</v>
      </c>
      <c r="D45">
        <v>9.96121761662037E-2</v>
      </c>
      <c r="E45">
        <v>9.0434252780476995E-2</v>
      </c>
    </row>
    <row r="46" spans="1:5" x14ac:dyDescent="0.2">
      <c r="A46">
        <v>2.9334311143704801E-4</v>
      </c>
      <c r="B46">
        <v>1.41035925480441E-2</v>
      </c>
      <c r="C46">
        <v>1.31887376568155E-2</v>
      </c>
      <c r="D46">
        <v>0.101409359098805</v>
      </c>
      <c r="E46">
        <v>9.2002784517293698E-2</v>
      </c>
    </row>
    <row r="47" spans="1:5" x14ac:dyDescent="0.2">
      <c r="A47">
        <v>3.00010000333344E-4</v>
      </c>
      <c r="B47">
        <v>1.44842991624581E-2</v>
      </c>
      <c r="C47">
        <v>1.3528973515897399E-2</v>
      </c>
      <c r="D47">
        <v>0.103185136728787</v>
      </c>
      <c r="E47">
        <v>9.3522241598046396E-2</v>
      </c>
    </row>
    <row r="48" spans="1:5" x14ac:dyDescent="0.2">
      <c r="A48">
        <v>3.0667688922964101E-4</v>
      </c>
      <c r="B48">
        <v>1.4879895505511701E-2</v>
      </c>
      <c r="C48">
        <v>1.3869577501654601E-2</v>
      </c>
      <c r="D48">
        <v>0.10493965665874699</v>
      </c>
      <c r="E48">
        <v>9.4991452967381707E-2</v>
      </c>
    </row>
    <row r="49" spans="1:5" x14ac:dyDescent="0.2">
      <c r="A49">
        <v>3.1334377812593798E-4</v>
      </c>
      <c r="B49">
        <v>1.5289849140080899E-2</v>
      </c>
      <c r="C49">
        <v>1.42104537895514E-2</v>
      </c>
      <c r="D49">
        <v>0.106673066491284</v>
      </c>
      <c r="E49">
        <v>9.6411263691293006E-2</v>
      </c>
    </row>
    <row r="50" spans="1:5" x14ac:dyDescent="0.2">
      <c r="A50">
        <v>3.2001066702223402E-4</v>
      </c>
      <c r="B50">
        <v>1.57132662066377E-2</v>
      </c>
      <c r="C50">
        <v>1.45515065550521E-2</v>
      </c>
      <c r="D50">
        <v>0.108385513828996</v>
      </c>
      <c r="E50">
        <v>9.7783020603066206E-2</v>
      </c>
    </row>
    <row r="51" spans="1:5" x14ac:dyDescent="0.2">
      <c r="A51">
        <v>3.2667755591853098E-4</v>
      </c>
      <c r="B51">
        <v>1.6149252845654199E-2</v>
      </c>
      <c r="C51">
        <v>1.48926399736212E-2</v>
      </c>
      <c r="D51">
        <v>0.11007714627448199</v>
      </c>
      <c r="E51">
        <v>9.9108070535987705E-2</v>
      </c>
    </row>
    <row r="52" spans="1:5" x14ac:dyDescent="0.2">
      <c r="A52">
        <v>3.3334444481482702E-4</v>
      </c>
      <c r="B52">
        <v>1.6596915197602501E-2</v>
      </c>
      <c r="C52">
        <v>1.5233758220722799E-2</v>
      </c>
      <c r="D52">
        <v>0.111748111430339</v>
      </c>
      <c r="E52">
        <v>0.100387760323344</v>
      </c>
    </row>
    <row r="53" spans="1:5" x14ac:dyDescent="0.2">
      <c r="A53">
        <v>3.4001133371112398E-4</v>
      </c>
      <c r="B53">
        <v>1.7055359402954599E-2</v>
      </c>
      <c r="C53">
        <v>1.5574765471821199E-2</v>
      </c>
      <c r="D53">
        <v>0.113398556899165</v>
      </c>
      <c r="E53">
        <v>0.10162343679841999</v>
      </c>
    </row>
    <row r="54" spans="1:5" x14ac:dyDescent="0.2">
      <c r="A54">
        <v>3.4667822260742002E-4</v>
      </c>
      <c r="B54">
        <v>1.7523691602182499E-2</v>
      </c>
      <c r="C54">
        <v>1.5915565902380899E-2</v>
      </c>
      <c r="D54">
        <v>0.115028630283559</v>
      </c>
      <c r="E54">
        <v>0.102816446794503</v>
      </c>
    </row>
    <row r="55" spans="1:5" x14ac:dyDescent="0.2">
      <c r="A55">
        <v>3.5334511150371698E-4</v>
      </c>
      <c r="B55">
        <v>1.8001017935758298E-2</v>
      </c>
      <c r="C55">
        <v>1.6256063687866099E-2</v>
      </c>
      <c r="D55">
        <v>0.116638479186118</v>
      </c>
      <c r="E55">
        <v>0.103968137144879</v>
      </c>
    </row>
    <row r="56" spans="1:5" x14ac:dyDescent="0.2">
      <c r="A56">
        <v>3.6001200040001303E-4</v>
      </c>
      <c r="B56">
        <v>1.8486444544154101E-2</v>
      </c>
      <c r="C56">
        <v>1.6596163003741098E-2</v>
      </c>
      <c r="D56">
        <v>0.118228251209441</v>
      </c>
      <c r="E56">
        <v>0.105079854682834</v>
      </c>
    </row>
    <row r="57" spans="1:5" x14ac:dyDescent="0.2">
      <c r="A57">
        <v>3.6667888929630999E-4</v>
      </c>
      <c r="B57">
        <v>1.8979077567841798E-2</v>
      </c>
      <c r="C57">
        <v>1.69357680254703E-2</v>
      </c>
      <c r="D57">
        <v>0.11979809395612701</v>
      </c>
      <c r="E57">
        <v>0.106152946241655</v>
      </c>
    </row>
    <row r="58" spans="1:5" x14ac:dyDescent="0.2">
      <c r="A58">
        <v>3.7334577819260597E-4</v>
      </c>
      <c r="B58">
        <v>1.9478023147293501E-2</v>
      </c>
      <c r="C58">
        <v>1.72747829285179E-2</v>
      </c>
      <c r="D58">
        <v>0.121348155028773</v>
      </c>
      <c r="E58">
        <v>0.107188758654626</v>
      </c>
    </row>
    <row r="59" spans="1:5" x14ac:dyDescent="0.2">
      <c r="A59">
        <v>3.8001266708890299E-4</v>
      </c>
      <c r="B59">
        <v>1.99823874229813E-2</v>
      </c>
      <c r="C59">
        <v>1.7613111888348201E-2</v>
      </c>
      <c r="D59">
        <v>0.12287858202997699</v>
      </c>
      <c r="E59">
        <v>0.108188638755036</v>
      </c>
    </row>
    <row r="60" spans="1:5" x14ac:dyDescent="0.2">
      <c r="A60">
        <v>3.8667955598520001E-4</v>
      </c>
      <c r="B60">
        <v>2.04912765353771E-2</v>
      </c>
      <c r="C60">
        <v>1.7950659080425702E-2</v>
      </c>
      <c r="D60">
        <v>0.124389522562337</v>
      </c>
      <c r="E60">
        <v>0.10915393337616899</v>
      </c>
    </row>
    <row r="61" spans="1:5" x14ac:dyDescent="0.2">
      <c r="A61">
        <v>3.9334644488149599E-4</v>
      </c>
      <c r="B61">
        <v>2.1003796624953101E-2</v>
      </c>
      <c r="C61">
        <v>1.8287328680214501E-2</v>
      </c>
      <c r="D61">
        <v>0.12588112422845199</v>
      </c>
      <c r="E61">
        <v>0.110085989351312</v>
      </c>
    </row>
    <row r="62" spans="1:5" x14ac:dyDescent="0.2">
      <c r="A62">
        <v>4.0001333377779301E-4</v>
      </c>
      <c r="B62">
        <v>2.1519053832181299E-2</v>
      </c>
      <c r="C62">
        <v>1.8623024863178999E-2</v>
      </c>
      <c r="D62">
        <v>0.127353534630921</v>
      </c>
      <c r="E62">
        <v>0.110986153513751</v>
      </c>
    </row>
    <row r="63" spans="1:5" x14ac:dyDescent="0.2">
      <c r="A63">
        <v>4.06680222674089E-4</v>
      </c>
      <c r="B63">
        <v>2.2036154297533798E-2</v>
      </c>
      <c r="C63">
        <v>1.89576518047836E-2</v>
      </c>
      <c r="D63">
        <v>0.12880690137233899</v>
      </c>
      <c r="E63">
        <v>0.11185577269677199</v>
      </c>
    </row>
    <row r="64" spans="1:5" x14ac:dyDescent="0.2">
      <c r="A64">
        <v>4.1334711157038601E-4</v>
      </c>
      <c r="B64">
        <v>2.2554204161482499E-2</v>
      </c>
      <c r="C64">
        <v>1.9291113680492501E-2</v>
      </c>
      <c r="D64">
        <v>0.130241372055308</v>
      </c>
      <c r="E64">
        <v>0.11269619373366099</v>
      </c>
    </row>
    <row r="65" spans="1:5" x14ac:dyDescent="0.2">
      <c r="A65">
        <v>4.20014000466682E-4</v>
      </c>
      <c r="B65">
        <v>2.3072309564499498E-2</v>
      </c>
      <c r="C65">
        <v>1.9623314665770001E-2</v>
      </c>
      <c r="D65">
        <v>0.131657094282423</v>
      </c>
      <c r="E65">
        <v>0.113508763457706</v>
      </c>
    </row>
    <row r="66" spans="1:5" x14ac:dyDescent="0.2">
      <c r="A66">
        <v>4.2668088936297901E-4</v>
      </c>
      <c r="B66">
        <v>2.3589576647056899E-2</v>
      </c>
      <c r="C66">
        <v>1.99541589360804E-2</v>
      </c>
      <c r="D66">
        <v>0.133054215656284</v>
      </c>
      <c r="E66">
        <v>0.114294828702191</v>
      </c>
    </row>
    <row r="67" spans="1:5" x14ac:dyDescent="0.2">
      <c r="A67">
        <v>4.33347778259275E-4</v>
      </c>
      <c r="B67">
        <v>2.41051115496267E-2</v>
      </c>
      <c r="C67">
        <v>2.0283550666888198E-2</v>
      </c>
      <c r="D67">
        <v>0.134432883779488</v>
      </c>
      <c r="E67">
        <v>0.115055736300402</v>
      </c>
    </row>
    <row r="68" spans="1:5" x14ac:dyDescent="0.2">
      <c r="A68">
        <v>4.4001466715557202E-4</v>
      </c>
      <c r="B68">
        <v>2.4618020412681001E-2</v>
      </c>
      <c r="C68">
        <v>2.0611394033657499E-2</v>
      </c>
      <c r="D68">
        <v>0.13579324625463399</v>
      </c>
      <c r="E68">
        <v>0.115792833085627</v>
      </c>
    </row>
    <row r="69" spans="1:5" x14ac:dyDescent="0.2">
      <c r="A69">
        <v>4.46681556051868E-4</v>
      </c>
      <c r="B69">
        <v>2.5127409376691699E-2</v>
      </c>
      <c r="C69">
        <v>2.0937593211852699E-2</v>
      </c>
      <c r="D69">
        <v>0.13713545068432001</v>
      </c>
      <c r="E69">
        <v>0.116507465891152</v>
      </c>
    </row>
    <row r="70" spans="1:5" x14ac:dyDescent="0.2">
      <c r="A70">
        <v>4.5334844494816502E-4</v>
      </c>
      <c r="B70">
        <v>2.5632384582131001E-2</v>
      </c>
      <c r="C70">
        <v>2.1262052376938099E-2</v>
      </c>
      <c r="D70">
        <v>0.13845964467114399</v>
      </c>
      <c r="E70">
        <v>0.117200981550261</v>
      </c>
    </row>
    <row r="71" spans="1:5" x14ac:dyDescent="0.2">
      <c r="A71">
        <v>4.6001533384446101E-4</v>
      </c>
      <c r="B71">
        <v>2.6132052169470898E-2</v>
      </c>
      <c r="C71">
        <v>2.1584675704378001E-2</v>
      </c>
      <c r="D71">
        <v>0.139765975817704</v>
      </c>
      <c r="E71">
        <v>0.117874726896243</v>
      </c>
    </row>
    <row r="72" spans="1:5" x14ac:dyDescent="0.2">
      <c r="A72">
        <v>4.6668222274075802E-4</v>
      </c>
      <c r="B72">
        <v>2.6625518279183399E-2</v>
      </c>
      <c r="C72">
        <v>2.1905367369636702E-2</v>
      </c>
      <c r="D72">
        <v>0.14105459172659801</v>
      </c>
      <c r="E72">
        <v>0.118530048762381</v>
      </c>
    </row>
    <row r="73" spans="1:5" x14ac:dyDescent="0.2">
      <c r="A73">
        <v>4.7334911163705499E-4</v>
      </c>
      <c r="B73">
        <v>2.7111889051740501E-2</v>
      </c>
      <c r="C73">
        <v>2.2224031548178601E-2</v>
      </c>
      <c r="D73">
        <v>0.142325640000425</v>
      </c>
      <c r="E73">
        <v>0.119168293981964</v>
      </c>
    </row>
    <row r="74" spans="1:5" x14ac:dyDescent="0.2">
      <c r="A74">
        <v>4.8001600053335103E-4</v>
      </c>
      <c r="B74">
        <v>2.7590270627614401E-2</v>
      </c>
      <c r="C74">
        <v>2.2540572415467999E-2</v>
      </c>
      <c r="D74">
        <v>0.14357926824178199</v>
      </c>
      <c r="E74">
        <v>0.11979080938827701</v>
      </c>
    </row>
    <row r="75" spans="1:5" x14ac:dyDescent="0.2">
      <c r="A75">
        <v>4.8668288942964799E-4</v>
      </c>
      <c r="B75">
        <v>2.8059769147277001E-2</v>
      </c>
      <c r="C75">
        <v>2.2854894146969101E-2</v>
      </c>
      <c r="D75">
        <v>0.14481562405326801</v>
      </c>
      <c r="E75">
        <v>0.120398941814607</v>
      </c>
    </row>
    <row r="76" spans="1:5" x14ac:dyDescent="0.2">
      <c r="A76">
        <v>4.9334977832594397E-4</v>
      </c>
      <c r="B76">
        <v>2.8519490751200499E-2</v>
      </c>
      <c r="C76">
        <v>2.3166900918146299E-2</v>
      </c>
      <c r="D76">
        <v>0.14603485503748101</v>
      </c>
      <c r="E76">
        <v>0.120994038094238</v>
      </c>
    </row>
    <row r="77" spans="1:5" x14ac:dyDescent="0.2">
      <c r="A77">
        <v>5.0001666722224104E-4</v>
      </c>
      <c r="B77">
        <v>2.8968541579859598E-2</v>
      </c>
      <c r="C77">
        <v>2.34764969044641E-2</v>
      </c>
      <c r="D77">
        <v>0.14723710879701901</v>
      </c>
      <c r="E77">
        <v>0.12157744506045499</v>
      </c>
    </row>
    <row r="78" spans="1:5" x14ac:dyDescent="0.2">
      <c r="A78">
        <v>5.0668355611853703E-4</v>
      </c>
      <c r="B78">
        <v>2.94062106956627E-2</v>
      </c>
      <c r="C78">
        <v>2.37836049616405E-2</v>
      </c>
      <c r="D78">
        <v>0.14842253293448099</v>
      </c>
      <c r="E78">
        <v>0.122150307413291</v>
      </c>
    </row>
    <row r="79" spans="1:5" x14ac:dyDescent="0.2">
      <c r="A79">
        <v>5.1335044501483399E-4</v>
      </c>
      <c r="B79">
        <v>2.9832513381663501E-2</v>
      </c>
      <c r="C79">
        <v>2.4088222108099099E-2</v>
      </c>
      <c r="D79">
        <v>0.149591275052464</v>
      </c>
      <c r="E79">
        <v>0.12271296736104501</v>
      </c>
    </row>
    <row r="80" spans="1:5" x14ac:dyDescent="0.2">
      <c r="A80">
        <v>5.2001733391112998E-4</v>
      </c>
      <c r="B80">
        <v>3.02476451195017E-2</v>
      </c>
      <c r="C80">
        <v>2.4390363764404802E-2</v>
      </c>
      <c r="D80">
        <v>0.150743482753566</v>
      </c>
      <c r="E80">
        <v>0.123265567988134</v>
      </c>
    </row>
    <row r="81" spans="1:5" x14ac:dyDescent="0.2">
      <c r="A81">
        <v>5.2668422280742705E-4</v>
      </c>
      <c r="B81">
        <v>3.0651801390817201E-2</v>
      </c>
      <c r="C81">
        <v>2.4690045351122202E-2</v>
      </c>
      <c r="D81">
        <v>0.15187930364038599</v>
      </c>
      <c r="E81">
        <v>0.123808252378974</v>
      </c>
    </row>
    <row r="82" spans="1:5" x14ac:dyDescent="0.2">
      <c r="A82">
        <v>5.3335111170372304E-4</v>
      </c>
      <c r="B82">
        <v>3.1045177677249701E-2</v>
      </c>
      <c r="C82">
        <v>2.49872822888162E-2</v>
      </c>
      <c r="D82">
        <v>0.152998885315521</v>
      </c>
      <c r="E82">
        <v>0.124341163617981</v>
      </c>
    </row>
    <row r="83" spans="1:5" x14ac:dyDescent="0.2">
      <c r="A83">
        <v>5.4001800060002E-4</v>
      </c>
      <c r="B83">
        <v>3.1427969460439201E-2</v>
      </c>
      <c r="C83">
        <v>2.52820899980515E-2</v>
      </c>
      <c r="D83">
        <v>0.15410237538157101</v>
      </c>
      <c r="E83">
        <v>0.12486444478957</v>
      </c>
    </row>
    <row r="84" spans="1:5" x14ac:dyDescent="0.2">
      <c r="A84">
        <v>5.4668488949631696E-4</v>
      </c>
      <c r="B84">
        <v>3.1800372222025503E-2</v>
      </c>
      <c r="C84">
        <v>2.5574483899393E-2</v>
      </c>
      <c r="D84">
        <v>0.155189921441133</v>
      </c>
      <c r="E84">
        <v>0.125378238978159</v>
      </c>
    </row>
    <row r="85" spans="1:5" x14ac:dyDescent="0.2">
      <c r="A85">
        <v>5.5335177839261295E-4</v>
      </c>
      <c r="B85">
        <v>3.2162581443648301E-2</v>
      </c>
      <c r="C85">
        <v>2.5864479413405399E-2</v>
      </c>
      <c r="D85">
        <v>0.156261671096805</v>
      </c>
      <c r="E85">
        <v>0.12588268926816201</v>
      </c>
    </row>
    <row r="86" spans="1:5" x14ac:dyDescent="0.2">
      <c r="A86">
        <v>5.6001866728891002E-4</v>
      </c>
      <c r="B86">
        <v>3.2514792606947403E-2</v>
      </c>
      <c r="C86">
        <v>2.6152091960653399E-2</v>
      </c>
      <c r="D86">
        <v>0.15731777195118499</v>
      </c>
      <c r="E86">
        <v>0.126377938743997</v>
      </c>
    </row>
    <row r="87" spans="1:5" x14ac:dyDescent="0.2">
      <c r="A87">
        <v>5.66685556185206E-4</v>
      </c>
      <c r="B87">
        <v>3.28572011935628E-2</v>
      </c>
      <c r="C87">
        <v>2.6437336961701901E-2</v>
      </c>
      <c r="D87">
        <v>0.15835837160687199</v>
      </c>
      <c r="E87">
        <v>0.126864130490079</v>
      </c>
    </row>
    <row r="88" spans="1:5" x14ac:dyDescent="0.2">
      <c r="A88">
        <v>5.7335244508150297E-4</v>
      </c>
      <c r="B88">
        <v>3.3190002685134203E-2</v>
      </c>
      <c r="C88">
        <v>2.6720229837115701E-2</v>
      </c>
      <c r="D88">
        <v>0.159383617666464</v>
      </c>
      <c r="E88">
        <v>0.12734140759082399</v>
      </c>
    </row>
    <row r="89" spans="1:5" x14ac:dyDescent="0.2">
      <c r="A89">
        <v>5.8001933397779895E-4</v>
      </c>
      <c r="B89">
        <v>3.3513392563301499E-2</v>
      </c>
      <c r="C89">
        <v>2.70007860074594E-2</v>
      </c>
      <c r="D89">
        <v>0.16039365773255801</v>
      </c>
      <c r="E89">
        <v>0.12780991313064899</v>
      </c>
    </row>
    <row r="90" spans="1:5" x14ac:dyDescent="0.2">
      <c r="A90">
        <v>5.8668622287409602E-4</v>
      </c>
      <c r="B90">
        <v>3.3827566309704397E-2</v>
      </c>
      <c r="C90">
        <v>2.7279020893297999E-2</v>
      </c>
      <c r="D90">
        <v>0.161388639407754</v>
      </c>
      <c r="E90">
        <v>0.128269790193969</v>
      </c>
    </row>
    <row r="91" spans="1:5" x14ac:dyDescent="0.2">
      <c r="A91">
        <v>5.9335311177039201E-4</v>
      </c>
      <c r="B91">
        <v>3.4132719405982802E-2</v>
      </c>
      <c r="C91">
        <v>2.7554949915196102E-2</v>
      </c>
      <c r="D91">
        <v>0.162368710294648</v>
      </c>
      <c r="E91">
        <v>0.12872118186520101</v>
      </c>
    </row>
    <row r="92" spans="1:5" x14ac:dyDescent="0.2">
      <c r="A92">
        <v>6.0002000066668897E-4</v>
      </c>
      <c r="B92">
        <v>3.4429047333776601E-2</v>
      </c>
      <c r="C92">
        <v>2.7828588493718599E-2</v>
      </c>
      <c r="D92">
        <v>0.16333401799584099</v>
      </c>
      <c r="E92">
        <v>0.12916423122876</v>
      </c>
    </row>
    <row r="93" spans="1:5" x14ac:dyDescent="0.2">
      <c r="A93">
        <v>6.0668688956298604E-4</v>
      </c>
      <c r="B93">
        <v>3.4716745574725399E-2</v>
      </c>
      <c r="C93">
        <v>2.80999520494301E-2</v>
      </c>
      <c r="D93">
        <v>0.16428471011392801</v>
      </c>
      <c r="E93">
        <v>0.12959908136906301</v>
      </c>
    </row>
    <row r="94" spans="1:5" x14ac:dyDescent="0.2">
      <c r="A94">
        <v>6.1335377845928203E-4</v>
      </c>
      <c r="B94">
        <v>3.4996009610469302E-2</v>
      </c>
      <c r="C94">
        <v>2.8369056002895601E-2</v>
      </c>
      <c r="D94">
        <v>0.16522093425150899</v>
      </c>
      <c r="E94">
        <v>0.13002587537052501</v>
      </c>
    </row>
    <row r="95" spans="1:5" x14ac:dyDescent="0.2">
      <c r="A95">
        <v>6.2002066735557899E-4</v>
      </c>
      <c r="B95">
        <v>3.5267034922647898E-2</v>
      </c>
      <c r="C95">
        <v>2.8635915774679801E-2</v>
      </c>
      <c r="D95">
        <v>0.16614283801118199</v>
      </c>
      <c r="E95">
        <v>0.130444756317563</v>
      </c>
    </row>
    <row r="96" spans="1:5" x14ac:dyDescent="0.2">
      <c r="A96">
        <v>6.2668755625187498E-4</v>
      </c>
      <c r="B96">
        <v>3.5530016992901099E-2</v>
      </c>
      <c r="C96">
        <v>2.8900546785347501E-2</v>
      </c>
      <c r="D96">
        <v>0.16705056899554499</v>
      </c>
      <c r="E96">
        <v>0.130855867294593</v>
      </c>
    </row>
    <row r="97" spans="1:5" x14ac:dyDescent="0.2">
      <c r="A97">
        <v>6.3335444514817205E-4</v>
      </c>
      <c r="B97">
        <v>3.5785151302868697E-2</v>
      </c>
      <c r="C97">
        <v>2.9162964455463299E-2</v>
      </c>
      <c r="D97">
        <v>0.16794427480719601</v>
      </c>
      <c r="E97">
        <v>0.13125935138603101</v>
      </c>
    </row>
    <row r="98" spans="1:5" x14ac:dyDescent="0.2">
      <c r="A98">
        <v>6.4002133404446803E-4</v>
      </c>
      <c r="B98">
        <v>3.60326333341906E-2</v>
      </c>
      <c r="C98">
        <v>2.9423184205592201E-2</v>
      </c>
      <c r="D98">
        <v>0.16882410304873299</v>
      </c>
      <c r="E98">
        <v>0.131655351676293</v>
      </c>
    </row>
    <row r="99" spans="1:5" x14ac:dyDescent="0.2">
      <c r="A99">
        <v>6.46688222940765E-4</v>
      </c>
      <c r="B99">
        <v>3.6272658568506602E-2</v>
      </c>
      <c r="C99">
        <v>2.9681221456298899E-2</v>
      </c>
      <c r="D99">
        <v>0.169690201322754</v>
      </c>
      <c r="E99">
        <v>0.13204401124979501</v>
      </c>
    </row>
    <row r="100" spans="1:5" x14ac:dyDescent="0.2">
      <c r="A100">
        <v>6.5335511183706098E-4</v>
      </c>
      <c r="B100">
        <v>3.6505422487456397E-2</v>
      </c>
      <c r="C100">
        <v>2.9937091628148199E-2</v>
      </c>
      <c r="D100">
        <v>0.17054271723185799</v>
      </c>
      <c r="E100">
        <v>0.13242547319095299</v>
      </c>
    </row>
    <row r="101" spans="1:5" x14ac:dyDescent="0.2">
      <c r="A101">
        <v>6.6002200073335805E-4</v>
      </c>
      <c r="B101">
        <v>3.673112057268E-2</v>
      </c>
      <c r="C101">
        <v>3.0190810141704799E-2</v>
      </c>
      <c r="D101">
        <v>0.17138179837864301</v>
      </c>
      <c r="E101">
        <v>0.13279988058418299</v>
      </c>
    </row>
    <row r="102" spans="1:5" x14ac:dyDescent="0.2">
      <c r="A102">
        <v>6.6668888962965404E-4</v>
      </c>
      <c r="B102">
        <v>3.6949948305817E-2</v>
      </c>
      <c r="C102">
        <v>3.04423924175335E-2</v>
      </c>
      <c r="D102">
        <v>0.17220759236570601</v>
      </c>
      <c r="E102">
        <v>0.13316737651390201</v>
      </c>
    </row>
    <row r="103" spans="1:5" x14ac:dyDescent="0.2">
      <c r="A103">
        <v>6.73355778525951E-4</v>
      </c>
      <c r="B103">
        <v>3.7162101168507503E-2</v>
      </c>
      <c r="C103">
        <v>3.0691853876199101E-2</v>
      </c>
      <c r="D103">
        <v>0.17302024679564701</v>
      </c>
      <c r="E103">
        <v>0.13352810406452501</v>
      </c>
    </row>
    <row r="104" spans="1:5" x14ac:dyDescent="0.2">
      <c r="A104">
        <v>6.8002266742224699E-4</v>
      </c>
      <c r="B104">
        <v>3.7367774642391098E-2</v>
      </c>
      <c r="C104">
        <v>3.0939209938266401E-2</v>
      </c>
      <c r="D104">
        <v>0.173819909271062</v>
      </c>
      <c r="E104">
        <v>0.13388220632046799</v>
      </c>
    </row>
    <row r="105" spans="1:5" x14ac:dyDescent="0.2">
      <c r="A105">
        <v>6.8668955631854395E-4</v>
      </c>
      <c r="B105">
        <v>3.7567164209107697E-2</v>
      </c>
      <c r="C105">
        <v>3.11844760243002E-2</v>
      </c>
      <c r="D105">
        <v>0.17460672739455099</v>
      </c>
      <c r="E105">
        <v>0.134229826366147</v>
      </c>
    </row>
    <row r="106" spans="1:5" x14ac:dyDescent="0.2">
      <c r="A106">
        <v>6.9335644521484102E-4</v>
      </c>
      <c r="B106">
        <v>3.7760465350297097E-2</v>
      </c>
      <c r="C106">
        <v>3.1427667554865202E-2</v>
      </c>
      <c r="D106">
        <v>0.17538084876871099</v>
      </c>
      <c r="E106">
        <v>0.13457110728598001</v>
      </c>
    </row>
    <row r="107" spans="1:5" x14ac:dyDescent="0.2">
      <c r="A107">
        <v>7.0002333411113701E-4</v>
      </c>
      <c r="B107">
        <v>3.7947873547599202E-2</v>
      </c>
      <c r="C107">
        <v>3.1668799950526301E-2</v>
      </c>
      <c r="D107">
        <v>0.176142420996141</v>
      </c>
      <c r="E107">
        <v>0.13490619216437999</v>
      </c>
    </row>
    <row r="108" spans="1:5" x14ac:dyDescent="0.2">
      <c r="A108">
        <v>7.0669022300743397E-4</v>
      </c>
      <c r="B108">
        <v>3.8129584282653797E-2</v>
      </c>
      <c r="C108">
        <v>3.1907888631848097E-2</v>
      </c>
      <c r="D108">
        <v>0.17689159167943799</v>
      </c>
      <c r="E108">
        <v>0.13523522408576599</v>
      </c>
    </row>
    <row r="109" spans="1:5" x14ac:dyDescent="0.2">
      <c r="A109">
        <v>7.1335711190372996E-4</v>
      </c>
      <c r="B109">
        <v>3.8305793037100598E-2</v>
      </c>
      <c r="C109">
        <v>3.2144949019395498E-2</v>
      </c>
      <c r="D109">
        <v>0.17762850842120201</v>
      </c>
      <c r="E109">
        <v>0.135558346134552</v>
      </c>
    </row>
    <row r="110" spans="1:5" x14ac:dyDescent="0.2">
      <c r="A110">
        <v>7.2002400080002703E-4</v>
      </c>
      <c r="B110">
        <v>3.8476695292579501E-2</v>
      </c>
      <c r="C110">
        <v>3.2379996533733302E-2</v>
      </c>
      <c r="D110">
        <v>0.17835331882402899</v>
      </c>
      <c r="E110">
        <v>0.13587570139515501</v>
      </c>
    </row>
    <row r="111" spans="1:5" x14ac:dyDescent="0.2">
      <c r="A111">
        <v>7.2669088969632301E-4</v>
      </c>
      <c r="B111">
        <v>3.8642486530730401E-2</v>
      </c>
      <c r="C111">
        <v>3.2613046595426097E-2</v>
      </c>
      <c r="D111">
        <v>0.17906617049051801</v>
      </c>
      <c r="E111">
        <v>0.13618743295199101</v>
      </c>
    </row>
    <row r="112" spans="1:5" x14ac:dyDescent="0.2">
      <c r="A112">
        <v>7.3335777859261997E-4</v>
      </c>
      <c r="B112">
        <v>3.8803362233193001E-2</v>
      </c>
      <c r="C112">
        <v>3.2844114625038903E-2</v>
      </c>
      <c r="D112">
        <v>0.17976721102326801</v>
      </c>
      <c r="E112">
        <v>0.136493683889476</v>
      </c>
    </row>
    <row r="113" spans="1:5" x14ac:dyDescent="0.2">
      <c r="A113">
        <v>7.4002466748891596E-4</v>
      </c>
      <c r="B113">
        <v>3.8959517881607203E-2</v>
      </c>
      <c r="C113">
        <v>3.30732160431364E-2</v>
      </c>
      <c r="D113">
        <v>0.18045658802487699</v>
      </c>
      <c r="E113">
        <v>0.13679459729202501</v>
      </c>
    </row>
    <row r="114" spans="1:5" x14ac:dyDescent="0.2">
      <c r="A114">
        <v>7.4669155638521303E-4</v>
      </c>
      <c r="B114">
        <v>3.91111489576128E-2</v>
      </c>
      <c r="C114">
        <v>3.3300366270283301E-2</v>
      </c>
      <c r="D114">
        <v>0.18113444909794099</v>
      </c>
      <c r="E114">
        <v>0.13709031624405599</v>
      </c>
    </row>
    <row r="115" spans="1:5" x14ac:dyDescent="0.2">
      <c r="A115">
        <v>7.5335844528150902E-4</v>
      </c>
      <c r="B115">
        <v>3.9258450942849597E-2</v>
      </c>
      <c r="C115">
        <v>3.35255807270445E-2</v>
      </c>
      <c r="D115">
        <v>0.18180094184506099</v>
      </c>
      <c r="E115">
        <v>0.13738098382998401</v>
      </c>
    </row>
    <row r="116" spans="1:5" x14ac:dyDescent="0.2">
      <c r="A116">
        <v>7.6002533417780598E-4</v>
      </c>
      <c r="B116">
        <v>3.9401619318957498E-2</v>
      </c>
      <c r="C116">
        <v>3.3748874833984699E-2</v>
      </c>
      <c r="D116">
        <v>0.18245621386883401</v>
      </c>
      <c r="E116">
        <v>0.137666743134226</v>
      </c>
    </row>
    <row r="117" spans="1:5" x14ac:dyDescent="0.2">
      <c r="A117">
        <v>7.6669222307410305E-4</v>
      </c>
      <c r="B117">
        <v>3.9540849567576197E-2</v>
      </c>
      <c r="C117">
        <v>3.3970264011668597E-2</v>
      </c>
      <c r="D117">
        <v>0.18310041277185701</v>
      </c>
      <c r="E117">
        <v>0.13794773724119599</v>
      </c>
    </row>
    <row r="118" spans="1:5" x14ac:dyDescent="0.2">
      <c r="A118">
        <v>7.7335911197039904E-4</v>
      </c>
      <c r="B118">
        <v>3.9676337170345598E-2</v>
      </c>
      <c r="C118">
        <v>3.4189763680661199E-2</v>
      </c>
      <c r="D118">
        <v>0.18373368615673</v>
      </c>
      <c r="E118">
        <v>0.138224109235312</v>
      </c>
    </row>
    <row r="119" spans="1:5" x14ac:dyDescent="0.2">
      <c r="A119">
        <v>7.80026000866696E-4</v>
      </c>
      <c r="B119">
        <v>3.9808277608905401E-2</v>
      </c>
      <c r="C119">
        <v>3.4407389261527102E-2</v>
      </c>
      <c r="D119">
        <v>0.184356181626051</v>
      </c>
      <c r="E119">
        <v>0.13849600220098901</v>
      </c>
    </row>
    <row r="120" spans="1:5" x14ac:dyDescent="0.2">
      <c r="A120">
        <v>7.8669288976299199E-4</v>
      </c>
      <c r="B120">
        <v>3.9936866364895698E-2</v>
      </c>
      <c r="C120">
        <v>3.4623156174831103E-2</v>
      </c>
      <c r="D120">
        <v>0.18496804678241599</v>
      </c>
      <c r="E120">
        <v>0.138763559222644</v>
      </c>
    </row>
    <row r="121" spans="1:5" x14ac:dyDescent="0.2">
      <c r="A121">
        <v>7.9335977865928895E-4</v>
      </c>
      <c r="B121">
        <v>4.0062298919956003E-2</v>
      </c>
      <c r="C121">
        <v>3.4837079841138097E-2</v>
      </c>
      <c r="D121">
        <v>0.18556942922842601</v>
      </c>
      <c r="E121">
        <v>0.139026923384692</v>
      </c>
    </row>
    <row r="122" spans="1:5" x14ac:dyDescent="0.2">
      <c r="A122">
        <v>8.0002666755558504E-4</v>
      </c>
      <c r="B122">
        <v>4.01847707557264E-2</v>
      </c>
      <c r="C122">
        <v>3.5049175681012699E-2</v>
      </c>
      <c r="D122">
        <v>0.186160476566677</v>
      </c>
      <c r="E122">
        <v>0.13928623777155</v>
      </c>
    </row>
    <row r="123" spans="1:5" x14ac:dyDescent="0.2">
      <c r="A123">
        <v>8.06693556451882E-4</v>
      </c>
      <c r="B123">
        <v>4.0304477353846499E-2</v>
      </c>
      <c r="C123">
        <v>3.5259459115019799E-2</v>
      </c>
      <c r="D123">
        <v>0.186741336399768</v>
      </c>
      <c r="E123">
        <v>0.13954164546763401</v>
      </c>
    </row>
    <row r="124" spans="1:5" x14ac:dyDescent="0.2">
      <c r="A124">
        <v>8.1336044534817799E-4</v>
      </c>
      <c r="B124">
        <v>4.0421614195956301E-2</v>
      </c>
      <c r="C124">
        <v>3.5467945563724103E-2</v>
      </c>
      <c r="D124">
        <v>0.18731215633029799</v>
      </c>
      <c r="E124">
        <v>0.13979328955735901</v>
      </c>
    </row>
    <row r="125" spans="1:5" x14ac:dyDescent="0.2">
      <c r="A125">
        <v>8.2002733424447495E-4</v>
      </c>
      <c r="B125">
        <v>4.0536376763695398E-2</v>
      </c>
      <c r="C125">
        <v>3.5674650447690498E-2</v>
      </c>
      <c r="D125">
        <v>0.187873083960863</v>
      </c>
      <c r="E125">
        <v>0.14004131312514301</v>
      </c>
    </row>
    <row r="126" spans="1:5" x14ac:dyDescent="0.2">
      <c r="A126">
        <v>8.2669422314077105E-4</v>
      </c>
      <c r="B126">
        <v>4.0648960538703899E-2</v>
      </c>
      <c r="C126">
        <v>3.5879589187483601E-2</v>
      </c>
      <c r="D126">
        <v>0.188424266894063</v>
      </c>
      <c r="E126">
        <v>0.14028585925539999</v>
      </c>
    </row>
    <row r="127" spans="1:5" x14ac:dyDescent="0.2">
      <c r="A127">
        <v>8.3336111203706801E-4</v>
      </c>
      <c r="B127">
        <v>4.0759561002621403E-2</v>
      </c>
      <c r="C127">
        <v>3.6082777203668301E-2</v>
      </c>
      <c r="D127">
        <v>0.188965852732496</v>
      </c>
      <c r="E127">
        <v>0.140527071032547</v>
      </c>
    </row>
    <row r="128" spans="1:5" x14ac:dyDescent="0.2">
      <c r="A128">
        <v>8.4002800093336497E-4</v>
      </c>
      <c r="B128">
        <v>4.0868373637087799E-2</v>
      </c>
      <c r="C128">
        <v>3.62842299168094E-2</v>
      </c>
      <c r="D128">
        <v>0.189497989078759</v>
      </c>
      <c r="E128">
        <v>0.140765091541</v>
      </c>
    </row>
    <row r="129" spans="1:5" x14ac:dyDescent="0.2">
      <c r="A129">
        <v>8.4669488982966096E-4</v>
      </c>
      <c r="B129">
        <v>4.0975593923743003E-2</v>
      </c>
      <c r="C129">
        <v>3.64839627474716E-2</v>
      </c>
      <c r="D129">
        <v>0.19002082353545199</v>
      </c>
      <c r="E129">
        <v>0.141000063865176</v>
      </c>
    </row>
    <row r="130" spans="1:5" x14ac:dyDescent="0.2">
      <c r="A130">
        <v>8.5336177872595803E-4</v>
      </c>
      <c r="B130">
        <v>4.1081417344226698E-2</v>
      </c>
      <c r="C130">
        <v>3.6681991116219698E-2</v>
      </c>
      <c r="D130">
        <v>0.190534503705171</v>
      </c>
      <c r="E130">
        <v>0.14123213108948901</v>
      </c>
    </row>
    <row r="131" spans="1:5" x14ac:dyDescent="0.2">
      <c r="A131">
        <v>8.6002866762225402E-4</v>
      </c>
      <c r="B131">
        <v>4.1186039380178702E-2</v>
      </c>
      <c r="C131">
        <v>3.6878330443618497E-2</v>
      </c>
      <c r="D131">
        <v>0.191039177190515</v>
      </c>
      <c r="E131">
        <v>0.141461436298357</v>
      </c>
    </row>
    <row r="132" spans="1:5" x14ac:dyDescent="0.2">
      <c r="A132">
        <v>8.6669555651855098E-4</v>
      </c>
      <c r="B132">
        <v>4.1289655513239001E-2</v>
      </c>
      <c r="C132">
        <v>3.7072996150232802E-2</v>
      </c>
      <c r="D132">
        <v>0.19153499159408299</v>
      </c>
      <c r="E132">
        <v>0.14168812257619501</v>
      </c>
    </row>
    <row r="133" spans="1:5" x14ac:dyDescent="0.2">
      <c r="A133">
        <v>8.7336244541484696E-4</v>
      </c>
      <c r="B133">
        <v>4.1392461225047202E-2</v>
      </c>
      <c r="C133">
        <v>3.72660036566273E-2</v>
      </c>
      <c r="D133">
        <v>0.19202209451847199</v>
      </c>
      <c r="E133">
        <v>0.14191233300741901</v>
      </c>
    </row>
    <row r="134" spans="1:5" x14ac:dyDescent="0.2">
      <c r="A134">
        <v>8.8002933431114403E-4</v>
      </c>
      <c r="B134">
        <v>4.1494651997243302E-2</v>
      </c>
      <c r="C134">
        <v>3.7457368383366801E-2</v>
      </c>
      <c r="D134">
        <v>0.192500633566281</v>
      </c>
      <c r="E134">
        <v>0.14213421067644599</v>
      </c>
    </row>
    <row r="135" spans="1:5" x14ac:dyDescent="0.2">
      <c r="A135">
        <v>8.8669622320744002E-4</v>
      </c>
      <c r="B135">
        <v>4.1596423311467103E-2</v>
      </c>
      <c r="C135">
        <v>3.7647105751016097E-2</v>
      </c>
      <c r="D135">
        <v>0.19297075634010799</v>
      </c>
      <c r="E135">
        <v>0.14235389866769199</v>
      </c>
    </row>
    <row r="136" spans="1:5" x14ac:dyDescent="0.2">
      <c r="A136">
        <v>8.9336311210373698E-4</v>
      </c>
      <c r="B136">
        <v>4.1697970649358297E-2</v>
      </c>
      <c r="C136">
        <v>3.7835231180139997E-2</v>
      </c>
      <c r="D136">
        <v>0.19343261044255</v>
      </c>
      <c r="E136">
        <v>0.14257154006557199</v>
      </c>
    </row>
    <row r="137" spans="1:5" x14ac:dyDescent="0.2">
      <c r="A137">
        <v>9.0003000100003297E-4</v>
      </c>
      <c r="B137">
        <v>4.1799489492556803E-2</v>
      </c>
      <c r="C137">
        <v>3.80217600913033E-2</v>
      </c>
      <c r="D137">
        <v>0.19388634347620701</v>
      </c>
      <c r="E137">
        <v>0.14278727795450299</v>
      </c>
    </row>
    <row r="138" spans="1:5" x14ac:dyDescent="0.2">
      <c r="A138">
        <v>9.0669688989633004E-4</v>
      </c>
      <c r="B138">
        <v>4.1901175322702502E-2</v>
      </c>
      <c r="C138">
        <v>3.8206707905070601E-2</v>
      </c>
      <c r="D138">
        <v>0.19433210304367601</v>
      </c>
      <c r="E138">
        <v>0.14300125541889999</v>
      </c>
    </row>
    <row r="139" spans="1:5" x14ac:dyDescent="0.2">
      <c r="A139">
        <v>9.1336377879262603E-4</v>
      </c>
      <c r="B139">
        <v>4.2003223621435097E-2</v>
      </c>
      <c r="C139">
        <v>3.83900900420069E-2</v>
      </c>
      <c r="D139">
        <v>0.194770036747555</v>
      </c>
      <c r="E139">
        <v>0.14321361554317999</v>
      </c>
    </row>
    <row r="140" spans="1:5" x14ac:dyDescent="0.2">
      <c r="A140">
        <v>9.2003066768892299E-4</v>
      </c>
      <c r="B140">
        <v>4.21058298703944E-2</v>
      </c>
      <c r="C140">
        <v>3.8571921922676902E-2</v>
      </c>
      <c r="D140">
        <v>0.19520029219044199</v>
      </c>
      <c r="E140">
        <v>0.143424501411759</v>
      </c>
    </row>
    <row r="141" spans="1:5" x14ac:dyDescent="0.2">
      <c r="A141">
        <v>9.2669755658521995E-4</v>
      </c>
      <c r="B141">
        <v>4.22091895512203E-2</v>
      </c>
      <c r="C141">
        <v>3.8752218967645399E-2</v>
      </c>
      <c r="D141">
        <v>0.195623016974937</v>
      </c>
      <c r="E141">
        <v>0.143634056109054</v>
      </c>
    </row>
    <row r="142" spans="1:5" x14ac:dyDescent="0.2">
      <c r="A142">
        <v>9.3336444548151605E-4</v>
      </c>
      <c r="B142">
        <v>4.23134981455527E-2</v>
      </c>
      <c r="C142">
        <v>3.8930996597477001E-2</v>
      </c>
      <c r="D142">
        <v>0.19603835870363601</v>
      </c>
      <c r="E142">
        <v>0.143842422719479</v>
      </c>
    </row>
    <row r="143" spans="1:5" x14ac:dyDescent="0.2">
      <c r="A143">
        <v>9.4003133437781301E-4</v>
      </c>
      <c r="B143">
        <v>4.2418951135031302E-2</v>
      </c>
      <c r="C143">
        <v>3.9108270232736699E-2</v>
      </c>
      <c r="D143">
        <v>0.19644646497913801</v>
      </c>
      <c r="E143">
        <v>0.14404974432745099</v>
      </c>
    </row>
    <row r="144" spans="1:5" x14ac:dyDescent="0.2">
      <c r="A144">
        <v>9.4669822327410899E-4</v>
      </c>
      <c r="B144">
        <v>4.2525744001295898E-2</v>
      </c>
      <c r="C144">
        <v>3.9284055293989199E-2</v>
      </c>
      <c r="D144">
        <v>0.19684748340404201</v>
      </c>
      <c r="E144">
        <v>0.144256164017386</v>
      </c>
    </row>
    <row r="145" spans="1:5" x14ac:dyDescent="0.2">
      <c r="A145">
        <v>9.5336511217040596E-4</v>
      </c>
      <c r="B145">
        <v>4.2634072225986398E-2</v>
      </c>
      <c r="C145">
        <v>3.9458367201799301E-2</v>
      </c>
      <c r="D145">
        <v>0.197241561580944</v>
      </c>
      <c r="E145">
        <v>0.14446182487370099</v>
      </c>
    </row>
    <row r="146" spans="1:5" x14ac:dyDescent="0.2">
      <c r="A146">
        <v>9.6003200106670205E-4</v>
      </c>
      <c r="B146">
        <v>4.2744131290742601E-2</v>
      </c>
      <c r="C146">
        <v>3.96312213767318E-2</v>
      </c>
      <c r="D146">
        <v>0.19762884711244399</v>
      </c>
      <c r="E146">
        <v>0.14466686998080999</v>
      </c>
    </row>
    <row r="147" spans="1:5" x14ac:dyDescent="0.2">
      <c r="A147">
        <v>9.6669888996299901E-4</v>
      </c>
      <c r="B147">
        <v>4.2856116677204299E-2</v>
      </c>
      <c r="C147">
        <v>3.98026332393513E-2</v>
      </c>
      <c r="D147">
        <v>0.19800948760114001</v>
      </c>
      <c r="E147">
        <v>0.14487144242313199</v>
      </c>
    </row>
    <row r="148" spans="1:5" x14ac:dyDescent="0.2">
      <c r="A148">
        <v>9.73365778859295E-4</v>
      </c>
      <c r="B148">
        <v>4.2970223867011298E-2</v>
      </c>
      <c r="C148">
        <v>3.9972618210222799E-2</v>
      </c>
      <c r="D148">
        <v>0.19838363064962899</v>
      </c>
      <c r="E148">
        <v>0.14507568528508</v>
      </c>
    </row>
    <row r="149" spans="1:5" x14ac:dyDescent="0.2">
      <c r="A149">
        <v>9.8003266775559196E-4</v>
      </c>
      <c r="B149">
        <v>4.30866483418035E-2</v>
      </c>
      <c r="C149">
        <v>4.0141191709910998E-2</v>
      </c>
      <c r="D149">
        <v>0.19875142386051001</v>
      </c>
      <c r="E149">
        <v>0.14527974165107199</v>
      </c>
    </row>
    <row r="150" spans="1:5" x14ac:dyDescent="0.2">
      <c r="A150">
        <v>9.8669955665188795E-4</v>
      </c>
      <c r="B150">
        <v>4.3205585583220699E-2</v>
      </c>
      <c r="C150">
        <v>4.0308369158980603E-2</v>
      </c>
      <c r="D150">
        <v>0.199113014836382</v>
      </c>
      <c r="E150">
        <v>0.14548375460552401</v>
      </c>
    </row>
    <row r="151" spans="1:5" x14ac:dyDescent="0.2">
      <c r="A151">
        <v>9.9336644554818502E-4</v>
      </c>
      <c r="B151">
        <v>4.3327231072902699E-2</v>
      </c>
      <c r="C151">
        <v>4.0474165977996503E-2</v>
      </c>
      <c r="D151">
        <v>0.199468551179841</v>
      </c>
      <c r="E151">
        <v>0.14568786723285099</v>
      </c>
    </row>
    <row r="152" spans="1:5" x14ac:dyDescent="0.2">
      <c r="A152">
        <v>1.0000333344444799E-3</v>
      </c>
      <c r="B152">
        <v>4.3451780292484199E-2</v>
      </c>
      <c r="C152">
        <v>4.0638597587523403E-2</v>
      </c>
      <c r="D152">
        <v>0.19981818049348701</v>
      </c>
      <c r="E152">
        <v>0.14589222261746701</v>
      </c>
    </row>
    <row r="153" spans="1:5" x14ac:dyDescent="0.2">
      <c r="A153">
        <v>1.00670022334078E-3</v>
      </c>
      <c r="B153">
        <v>4.3579386789681498E-2</v>
      </c>
      <c r="C153">
        <v>4.0801679408126103E-2</v>
      </c>
      <c r="D153">
        <v>0.20016205037991699</v>
      </c>
      <c r="E153">
        <v>0.14609693522689499</v>
      </c>
    </row>
    <row r="154" spans="1:5" x14ac:dyDescent="0.2">
      <c r="A154">
        <v>1.0133671122370699E-3</v>
      </c>
      <c r="B154">
        <v>4.37100388737207E-2</v>
      </c>
      <c r="C154">
        <v>4.0963426860369301E-2</v>
      </c>
      <c r="D154">
        <v>0.20050030844173</v>
      </c>
      <c r="E154">
        <v>0.14630200676525501</v>
      </c>
    </row>
    <row r="155" spans="1:5" x14ac:dyDescent="0.2">
      <c r="A155">
        <v>1.02003400113337E-3</v>
      </c>
      <c r="B155">
        <v>4.38436841592343E-2</v>
      </c>
      <c r="C155">
        <v>4.1123855364818003E-2</v>
      </c>
      <c r="D155">
        <v>0.20083310228152301</v>
      </c>
      <c r="E155">
        <v>0.14650741116552901</v>
      </c>
    </row>
    <row r="156" spans="1:5" x14ac:dyDescent="0.2">
      <c r="A156">
        <v>1.0267008900296699E-3</v>
      </c>
      <c r="B156">
        <v>4.3980270260854597E-2</v>
      </c>
      <c r="C156">
        <v>4.1282980342036701E-2</v>
      </c>
      <c r="D156">
        <v>0.201160579501896</v>
      </c>
      <c r="E156">
        <v>0.146713122360697</v>
      </c>
    </row>
    <row r="157" spans="1:5" x14ac:dyDescent="0.2">
      <c r="A157">
        <v>1.0333677789259601E-3</v>
      </c>
      <c r="B157">
        <v>4.4119744793214198E-2</v>
      </c>
      <c r="C157">
        <v>4.1440817212590401E-2</v>
      </c>
      <c r="D157">
        <v>0.20148288770544501</v>
      </c>
      <c r="E157">
        <v>0.14691911428374299</v>
      </c>
    </row>
    <row r="158" spans="1:5" x14ac:dyDescent="0.2">
      <c r="A158">
        <v>1.04003466782226E-3</v>
      </c>
      <c r="B158">
        <v>4.4262055370945602E-2</v>
      </c>
      <c r="C158">
        <v>4.1597381397043803E-2</v>
      </c>
      <c r="D158">
        <v>0.20180017449477</v>
      </c>
      <c r="E158">
        <v>0.14712536086764599</v>
      </c>
    </row>
    <row r="159" spans="1:5" x14ac:dyDescent="0.2">
      <c r="A159">
        <v>1.0467015567185601E-3</v>
      </c>
      <c r="B159">
        <v>4.4407149608681099E-2</v>
      </c>
      <c r="C159">
        <v>4.17526883159616E-2</v>
      </c>
      <c r="D159">
        <v>0.20211258747246899</v>
      </c>
      <c r="E159">
        <v>0.14733183604538899</v>
      </c>
    </row>
    <row r="160" spans="1:5" x14ac:dyDescent="0.2">
      <c r="A160">
        <v>1.05336844561485E-3</v>
      </c>
      <c r="B160">
        <v>4.45549751210534E-2</v>
      </c>
      <c r="C160">
        <v>4.1906753389908701E-2</v>
      </c>
      <c r="D160">
        <v>0.20242027424113801</v>
      </c>
      <c r="E160">
        <v>0.147538513749953</v>
      </c>
    </row>
    <row r="161" spans="1:5" x14ac:dyDescent="0.2">
      <c r="A161">
        <v>1.0600353345111501E-3</v>
      </c>
      <c r="B161">
        <v>4.4705479522694699E-2</v>
      </c>
      <c r="C161">
        <v>4.2059592039449797E-2</v>
      </c>
      <c r="D161">
        <v>0.20272338240337801</v>
      </c>
      <c r="E161">
        <v>0.14774536791432</v>
      </c>
    </row>
    <row r="162" spans="1:5" x14ac:dyDescent="0.2">
      <c r="A162">
        <v>1.06670222340745E-3</v>
      </c>
      <c r="B162">
        <v>4.4858610428237702E-2</v>
      </c>
      <c r="C162">
        <v>4.2211219685149702E-2</v>
      </c>
      <c r="D162">
        <v>0.20302205956178501</v>
      </c>
      <c r="E162">
        <v>0.147952372471471</v>
      </c>
    </row>
    <row r="163" spans="1:5" x14ac:dyDescent="0.2">
      <c r="A163">
        <v>1.0733691123037401E-3</v>
      </c>
      <c r="B163">
        <v>4.5014315452314699E-2</v>
      </c>
      <c r="C163">
        <v>4.2361651747573101E-2</v>
      </c>
      <c r="D163">
        <v>0.20331645331895801</v>
      </c>
      <c r="E163">
        <v>0.14815950135438699</v>
      </c>
    </row>
    <row r="164" spans="1:5" x14ac:dyDescent="0.2">
      <c r="A164">
        <v>1.08003600120004E-3</v>
      </c>
      <c r="B164">
        <v>4.5172542209558297E-2</v>
      </c>
      <c r="C164">
        <v>4.2510903647284999E-2</v>
      </c>
      <c r="D164">
        <v>0.20360671127749599</v>
      </c>
      <c r="E164">
        <v>0.14836672849605001</v>
      </c>
    </row>
    <row r="165" spans="1:5" x14ac:dyDescent="0.2">
      <c r="A165">
        <v>1.0867028900963401E-3</v>
      </c>
      <c r="B165">
        <v>4.5333238314600802E-2</v>
      </c>
      <c r="C165">
        <v>4.2658990804849903E-2</v>
      </c>
      <c r="D165">
        <v>0.20389298103999501</v>
      </c>
      <c r="E165">
        <v>0.14857402782944201</v>
      </c>
    </row>
    <row r="166" spans="1:5" x14ac:dyDescent="0.2">
      <c r="A166">
        <v>1.09336977899263E-3</v>
      </c>
      <c r="B166">
        <v>4.54963513820748E-2</v>
      </c>
      <c r="C166">
        <v>4.2805928640832797E-2</v>
      </c>
      <c r="D166">
        <v>0.204175410209055</v>
      </c>
      <c r="E166">
        <v>0.14878137328754401</v>
      </c>
    </row>
    <row r="167" spans="1:5" x14ac:dyDescent="0.2">
      <c r="A167">
        <v>1.1000366678889299E-3</v>
      </c>
      <c r="B167">
        <v>4.5661829026612699E-2</v>
      </c>
      <c r="C167">
        <v>4.2951732575798401E-2</v>
      </c>
      <c r="D167">
        <v>0.20445414638727399</v>
      </c>
      <c r="E167">
        <v>0.14898873880333799</v>
      </c>
    </row>
    <row r="168" spans="1:5" x14ac:dyDescent="0.2">
      <c r="A168">
        <v>1.10670355678523E-3</v>
      </c>
      <c r="B168">
        <v>4.5829618862847102E-2</v>
      </c>
      <c r="C168">
        <v>4.3096418030311397E-2</v>
      </c>
      <c r="D168">
        <v>0.204729337177249</v>
      </c>
      <c r="E168">
        <v>0.14919609830980399</v>
      </c>
    </row>
    <row r="169" spans="1:5" x14ac:dyDescent="0.2">
      <c r="A169">
        <v>1.1133704456815199E-3</v>
      </c>
      <c r="B169">
        <v>4.59996685054102E-2</v>
      </c>
      <c r="C169">
        <v>4.3240000424936698E-2</v>
      </c>
      <c r="D169">
        <v>0.20500113018158</v>
      </c>
      <c r="E169">
        <v>0.14940342573992499</v>
      </c>
    </row>
    <row r="170" spans="1:5" x14ac:dyDescent="0.2">
      <c r="A170">
        <v>1.12003733457782E-3</v>
      </c>
      <c r="B170">
        <v>4.6171925568934701E-2</v>
      </c>
      <c r="C170">
        <v>4.3382495180238997E-2</v>
      </c>
      <c r="D170">
        <v>0.205269673002863</v>
      </c>
      <c r="E170">
        <v>0.14961069502668201</v>
      </c>
    </row>
    <row r="171" spans="1:5" x14ac:dyDescent="0.2">
      <c r="A171">
        <v>1.1267042234741199E-3</v>
      </c>
      <c r="B171">
        <v>4.6346337668053003E-2</v>
      </c>
      <c r="C171">
        <v>4.3523917716783198E-2</v>
      </c>
      <c r="D171">
        <v>0.205535113243697</v>
      </c>
      <c r="E171">
        <v>0.14981788010305699</v>
      </c>
    </row>
    <row r="172" spans="1:5" x14ac:dyDescent="0.2">
      <c r="A172">
        <v>1.1333711123704101E-3</v>
      </c>
      <c r="B172">
        <v>4.6522852417397502E-2</v>
      </c>
      <c r="C172">
        <v>4.3664283455133797E-2</v>
      </c>
      <c r="D172">
        <v>0.205797598506681</v>
      </c>
      <c r="E172">
        <v>0.15002495490202999</v>
      </c>
    </row>
    <row r="173" spans="1:5" x14ac:dyDescent="0.2">
      <c r="A173">
        <v>1.1400380012667099E-3</v>
      </c>
      <c r="B173">
        <v>4.6701417431600799E-2</v>
      </c>
      <c r="C173">
        <v>4.3803607815855898E-2</v>
      </c>
      <c r="D173">
        <v>0.20605727639441301</v>
      </c>
      <c r="E173">
        <v>0.15023189335658399</v>
      </c>
    </row>
    <row r="174" spans="1:5" x14ac:dyDescent="0.2">
      <c r="A174">
        <v>1.1467048901630101E-3</v>
      </c>
      <c r="B174">
        <v>4.6881980325295197E-2</v>
      </c>
      <c r="C174">
        <v>4.3941906219514097E-2</v>
      </c>
      <c r="D174">
        <v>0.20631429450948999</v>
      </c>
      <c r="E174">
        <v>0.15043866939969999</v>
      </c>
    </row>
    <row r="175" spans="1:5" x14ac:dyDescent="0.2">
      <c r="A175">
        <v>1.1533717790593E-3</v>
      </c>
      <c r="B175">
        <v>4.7064488713113202E-2</v>
      </c>
      <c r="C175">
        <v>4.4079194086673198E-2</v>
      </c>
      <c r="D175">
        <v>0.20656880045451001</v>
      </c>
      <c r="E175">
        <v>0.15064525696436001</v>
      </c>
    </row>
    <row r="176" spans="1:5" x14ac:dyDescent="0.2">
      <c r="A176">
        <v>1.1600386679556001E-3</v>
      </c>
      <c r="B176">
        <v>4.7248890209687401E-2</v>
      </c>
      <c r="C176">
        <v>4.4215486837897999E-2</v>
      </c>
      <c r="D176">
        <v>0.206820941832073</v>
      </c>
      <c r="E176">
        <v>0.15085162998354501</v>
      </c>
    </row>
    <row r="177" spans="1:5" x14ac:dyDescent="0.2">
      <c r="A177">
        <v>1.1667055568519E-3</v>
      </c>
      <c r="B177">
        <v>4.7435132429650202E-2</v>
      </c>
      <c r="C177">
        <v>4.43507998937532E-2</v>
      </c>
      <c r="D177">
        <v>0.207070866244776</v>
      </c>
      <c r="E177">
        <v>0.15105776239023599</v>
      </c>
    </row>
    <row r="178" spans="1:5" x14ac:dyDescent="0.2">
      <c r="A178">
        <v>1.1733724457481901E-3</v>
      </c>
      <c r="B178">
        <v>4.7623162987633999E-2</v>
      </c>
      <c r="C178">
        <v>4.4485148674803701E-2</v>
      </c>
      <c r="D178">
        <v>0.207318721295217</v>
      </c>
      <c r="E178">
        <v>0.15126362811741501</v>
      </c>
    </row>
    <row r="179" spans="1:5" x14ac:dyDescent="0.2">
      <c r="A179">
        <v>1.18003933464449E-3</v>
      </c>
      <c r="B179">
        <v>4.7812929498271303E-2</v>
      </c>
      <c r="C179">
        <v>4.4618548601614301E-2</v>
      </c>
      <c r="D179">
        <v>0.20756465458599399</v>
      </c>
      <c r="E179">
        <v>0.151469201098063</v>
      </c>
    </row>
    <row r="180" spans="1:5" x14ac:dyDescent="0.2">
      <c r="A180">
        <v>1.1867062235407799E-3</v>
      </c>
      <c r="B180">
        <v>4.8004379576194502E-2</v>
      </c>
      <c r="C180">
        <v>4.4751015094749602E-2</v>
      </c>
      <c r="D180">
        <v>0.207808813719706</v>
      </c>
      <c r="E180">
        <v>0.15167445526516299</v>
      </c>
    </row>
    <row r="181" spans="1:5" x14ac:dyDescent="0.2">
      <c r="A181">
        <v>1.19337311243708E-3</v>
      </c>
      <c r="B181">
        <v>4.8197460836036203E-2</v>
      </c>
      <c r="C181">
        <v>4.4882563574774499E-2</v>
      </c>
      <c r="D181">
        <v>0.20805134629895</v>
      </c>
      <c r="E181">
        <v>0.15187936455169501</v>
      </c>
    </row>
    <row r="182" spans="1:5" x14ac:dyDescent="0.2">
      <c r="A182">
        <v>1.2000400013333799E-3</v>
      </c>
      <c r="B182">
        <v>4.8392120892428801E-2</v>
      </c>
      <c r="C182">
        <v>4.5013209462253803E-2</v>
      </c>
      <c r="D182">
        <v>0.20829239992632601</v>
      </c>
      <c r="E182">
        <v>0.152083902890641</v>
      </c>
    </row>
    <row r="183" spans="1:5" x14ac:dyDescent="0.2">
      <c r="A183">
        <v>1.20670689022967E-3</v>
      </c>
      <c r="B183">
        <v>4.8588307360004801E-2</v>
      </c>
      <c r="C183">
        <v>4.51429681777522E-2</v>
      </c>
      <c r="D183">
        <v>0.20853212220442999</v>
      </c>
      <c r="E183">
        <v>0.15228804421498199</v>
      </c>
    </row>
    <row r="184" spans="1:5" x14ac:dyDescent="0.2">
      <c r="A184">
        <v>1.2133737791259699E-3</v>
      </c>
      <c r="B184">
        <v>4.8785967853396603E-2</v>
      </c>
      <c r="C184">
        <v>4.5271855141834502E-2</v>
      </c>
      <c r="D184">
        <v>0.20877066073586201</v>
      </c>
      <c r="E184">
        <v>0.15249176245770099</v>
      </c>
    </row>
    <row r="185" spans="1:5" x14ac:dyDescent="0.2">
      <c r="A185">
        <v>1.22004066802227E-3</v>
      </c>
      <c r="B185">
        <v>4.8985049987236698E-2</v>
      </c>
      <c r="C185">
        <v>4.5399885775065603E-2</v>
      </c>
      <c r="D185">
        <v>0.20900816312321799</v>
      </c>
      <c r="E185">
        <v>0.15269503155177799</v>
      </c>
    </row>
    <row r="186" spans="1:5" x14ac:dyDescent="0.2">
      <c r="A186">
        <v>1.2267075569185599E-3</v>
      </c>
      <c r="B186">
        <v>4.9185501376157598E-2</v>
      </c>
      <c r="C186">
        <v>4.5527075498010001E-2</v>
      </c>
      <c r="D186">
        <v>0.20924477696909899</v>
      </c>
      <c r="E186">
        <v>0.15289782543019501</v>
      </c>
    </row>
    <row r="187" spans="1:5" x14ac:dyDescent="0.2">
      <c r="A187">
        <v>1.23337444581486E-3</v>
      </c>
      <c r="B187">
        <v>4.9387269634791703E-2</v>
      </c>
      <c r="C187">
        <v>4.5653439731232801E-2</v>
      </c>
      <c r="D187">
        <v>0.20948064987610099</v>
      </c>
      <c r="E187">
        <v>0.15310011802593301</v>
      </c>
    </row>
    <row r="188" spans="1:5" x14ac:dyDescent="0.2">
      <c r="A188">
        <v>1.2400413347111599E-3</v>
      </c>
      <c r="B188">
        <v>4.9590302377771497E-2</v>
      </c>
      <c r="C188">
        <v>4.5778993895298499E-2</v>
      </c>
      <c r="D188">
        <v>0.20971592944682199</v>
      </c>
      <c r="E188">
        <v>0.153301883271974</v>
      </c>
    </row>
    <row r="189" spans="1:5" x14ac:dyDescent="0.2">
      <c r="A189">
        <v>1.2467082236074501E-3</v>
      </c>
      <c r="B189">
        <v>4.9794547219729403E-2</v>
      </c>
      <c r="C189">
        <v>4.5903753410772102E-2</v>
      </c>
      <c r="D189">
        <v>0.209950763283862</v>
      </c>
      <c r="E189">
        <v>0.1535030951013</v>
      </c>
    </row>
    <row r="190" spans="1:5" x14ac:dyDescent="0.2">
      <c r="A190">
        <v>1.25337511250375E-3</v>
      </c>
      <c r="B190">
        <v>4.9999951775298E-2</v>
      </c>
      <c r="C190">
        <v>4.6027733698218297E-2</v>
      </c>
      <c r="D190">
        <v>0.210185298989817</v>
      </c>
      <c r="E190">
        <v>0.15370372744689201</v>
      </c>
    </row>
    <row r="191" spans="1:5" x14ac:dyDescent="0.2">
      <c r="A191">
        <v>1.2600420014000501E-3</v>
      </c>
      <c r="B191">
        <v>5.0206463659109697E-2</v>
      </c>
      <c r="C191">
        <v>4.6150950178201797E-2</v>
      </c>
      <c r="D191">
        <v>0.21041968416728701</v>
      </c>
      <c r="E191">
        <v>0.153903754241731</v>
      </c>
    </row>
    <row r="192" spans="1:5" x14ac:dyDescent="0.2">
      <c r="A192">
        <v>1.26670889029634E-3</v>
      </c>
      <c r="B192">
        <v>5.0414030485796901E-2</v>
      </c>
      <c r="C192">
        <v>4.6273418271287399E-2</v>
      </c>
      <c r="D192">
        <v>0.210654066418869</v>
      </c>
      <c r="E192">
        <v>0.15410314941879899</v>
      </c>
    </row>
    <row r="193" spans="1:5" x14ac:dyDescent="0.2">
      <c r="A193">
        <v>1.2733757791926401E-3</v>
      </c>
      <c r="B193">
        <v>5.0622599869992103E-2</v>
      </c>
      <c r="C193">
        <v>4.6395153398039998E-2</v>
      </c>
      <c r="D193">
        <v>0.21088859334716101</v>
      </c>
      <c r="E193">
        <v>0.15430188691107699</v>
      </c>
    </row>
    <row r="194" spans="1:5" x14ac:dyDescent="0.2">
      <c r="A194">
        <v>1.28004266808894E-3</v>
      </c>
      <c r="B194">
        <v>5.0832119426327801E-2</v>
      </c>
      <c r="C194">
        <v>4.6516170979024198E-2</v>
      </c>
      <c r="D194">
        <v>0.211123412554762</v>
      </c>
      <c r="E194">
        <v>0.15449994065154701</v>
      </c>
    </row>
    <row r="195" spans="1:5" x14ac:dyDescent="0.2">
      <c r="A195">
        <v>1.2867095569852301E-3</v>
      </c>
      <c r="B195">
        <v>5.10425367694365E-2</v>
      </c>
      <c r="C195">
        <v>4.6636486434805002E-2</v>
      </c>
      <c r="D195">
        <v>0.21135867164427</v>
      </c>
      <c r="E195">
        <v>0.15469728457319101</v>
      </c>
    </row>
    <row r="196" spans="1:5" x14ac:dyDescent="0.2">
      <c r="A196">
        <v>1.29337644588153E-3</v>
      </c>
      <c r="B196">
        <v>5.12537995139506E-2</v>
      </c>
      <c r="C196">
        <v>4.6756115185946898E-2</v>
      </c>
      <c r="D196">
        <v>0.21159451821828301</v>
      </c>
      <c r="E196">
        <v>0.15489389260899</v>
      </c>
    </row>
    <row r="197" spans="1:5" x14ac:dyDescent="0.2">
      <c r="A197">
        <v>1.3000433347778301E-3</v>
      </c>
      <c r="B197">
        <v>5.1465855274502502E-2</v>
      </c>
      <c r="C197">
        <v>4.6875072653014903E-2</v>
      </c>
      <c r="D197">
        <v>0.21183109987939899</v>
      </c>
      <c r="E197">
        <v>0.15508973869192499</v>
      </c>
    </row>
    <row r="198" spans="1:5" x14ac:dyDescent="0.2">
      <c r="A198">
        <v>1.30671022367412E-3</v>
      </c>
      <c r="B198">
        <v>5.1678651665724801E-2</v>
      </c>
      <c r="C198">
        <v>4.6993374256573801E-2</v>
      </c>
      <c r="D198">
        <v>0.212068564230216</v>
      </c>
      <c r="E198">
        <v>0.155284796754978</v>
      </c>
    </row>
    <row r="199" spans="1:5" x14ac:dyDescent="0.2">
      <c r="A199">
        <v>1.3133771125704199E-3</v>
      </c>
      <c r="B199">
        <v>5.1892136302249897E-2</v>
      </c>
      <c r="C199">
        <v>4.7111035417188099E-2</v>
      </c>
      <c r="D199">
        <v>0.21230705887333301</v>
      </c>
      <c r="E199">
        <v>0.15547904073113</v>
      </c>
    </row>
    <row r="200" spans="1:5" x14ac:dyDescent="0.2">
      <c r="A200">
        <v>1.32004400146672E-3</v>
      </c>
      <c r="B200">
        <v>5.2106256798710303E-2</v>
      </c>
      <c r="C200">
        <v>4.7228071555422899E-2</v>
      </c>
      <c r="D200">
        <v>0.212546731411347</v>
      </c>
      <c r="E200">
        <v>0.15567244455336299</v>
      </c>
    </row>
    <row r="201" spans="1:5" x14ac:dyDescent="0.2">
      <c r="A201">
        <v>1.3267108903630099E-3</v>
      </c>
      <c r="B201">
        <v>5.2320960769738398E-2</v>
      </c>
      <c r="C201">
        <v>4.7344498091842803E-2</v>
      </c>
      <c r="D201">
        <v>0.212787729446857</v>
      </c>
      <c r="E201">
        <v>0.15586498215465899</v>
      </c>
    </row>
    <row r="202" spans="1:5" x14ac:dyDescent="0.2">
      <c r="A202">
        <v>1.33337777925931E-3</v>
      </c>
      <c r="B202">
        <v>5.2536195829966797E-2</v>
      </c>
      <c r="C202">
        <v>4.7460330447012603E-2</v>
      </c>
      <c r="D202">
        <v>0.21303020058246</v>
      </c>
      <c r="E202">
        <v>0.156056627467999</v>
      </c>
    </row>
    <row r="203" spans="1:5" x14ac:dyDescent="0.2">
      <c r="A203">
        <v>1.3400446681556099E-3</v>
      </c>
      <c r="B203">
        <v>5.2751909594027799E-2</v>
      </c>
      <c r="C203">
        <v>4.7575584041497102E-2</v>
      </c>
      <c r="D203">
        <v>0.21327429242075599</v>
      </c>
      <c r="E203">
        <v>0.156247354426364</v>
      </c>
    </row>
    <row r="204" spans="1:5" x14ac:dyDescent="0.2">
      <c r="A204">
        <v>1.3467115570519001E-3</v>
      </c>
      <c r="B204">
        <v>5.2968049676553899E-2</v>
      </c>
      <c r="C204">
        <v>4.7690274295861097E-2</v>
      </c>
      <c r="D204">
        <v>0.21352015256434201</v>
      </c>
      <c r="E204">
        <v>0.15643713696273501</v>
      </c>
    </row>
    <row r="205" spans="1:5" x14ac:dyDescent="0.2">
      <c r="A205">
        <v>1.3533784459481999E-3</v>
      </c>
      <c r="B205">
        <v>5.3184563692177701E-2</v>
      </c>
      <c r="C205">
        <v>4.7804416630669297E-2</v>
      </c>
      <c r="D205">
        <v>0.21376792861581601</v>
      </c>
      <c r="E205">
        <v>0.15662594901009599</v>
      </c>
    </row>
    <row r="206" spans="1:5" x14ac:dyDescent="0.2">
      <c r="A206">
        <v>1.3600453348444901E-3</v>
      </c>
      <c r="B206">
        <v>5.3401399255531501E-2</v>
      </c>
      <c r="C206">
        <v>4.7918026466486602E-2</v>
      </c>
      <c r="D206">
        <v>0.21401776817777601</v>
      </c>
      <c r="E206">
        <v>0.15681376450142601</v>
      </c>
    </row>
    <row r="207" spans="1:5" x14ac:dyDescent="0.2">
      <c r="A207">
        <v>1.36671222374079E-3</v>
      </c>
      <c r="B207">
        <v>5.3618503981247803E-2</v>
      </c>
      <c r="C207">
        <v>4.8031119223877601E-2</v>
      </c>
      <c r="D207">
        <v>0.21426981885282101</v>
      </c>
      <c r="E207">
        <v>0.157000557369707</v>
      </c>
    </row>
    <row r="208" spans="1:5" x14ac:dyDescent="0.2">
      <c r="A208">
        <v>1.3733791126370901E-3</v>
      </c>
      <c r="B208">
        <v>5.3835825483959099E-2</v>
      </c>
      <c r="C208">
        <v>4.81437103234073E-2</v>
      </c>
      <c r="D208">
        <v>0.214524228243549</v>
      </c>
      <c r="E208">
        <v>0.15718630154792099</v>
      </c>
    </row>
    <row r="209" spans="1:5" x14ac:dyDescent="0.2">
      <c r="A209">
        <v>1.38004600153338E-3</v>
      </c>
      <c r="B209">
        <v>5.40533113782979E-2</v>
      </c>
      <c r="C209">
        <v>4.8255815185640302E-2</v>
      </c>
      <c r="D209">
        <v>0.21478114395255801</v>
      </c>
      <c r="E209">
        <v>0.15737097096905001</v>
      </c>
    </row>
    <row r="210" spans="1:5" x14ac:dyDescent="0.2">
      <c r="A210">
        <v>1.3867128904296801E-3</v>
      </c>
      <c r="B210">
        <v>5.4270909278896703E-2</v>
      </c>
      <c r="C210">
        <v>4.8367449231141398E-2</v>
      </c>
      <c r="D210">
        <v>0.215040713582446</v>
      </c>
      <c r="E210">
        <v>0.15755453956607501</v>
      </c>
    </row>
    <row r="211" spans="1:5" x14ac:dyDescent="0.2">
      <c r="A211">
        <v>1.39337977932598E-3</v>
      </c>
      <c r="B211">
        <v>5.44885668003878E-2</v>
      </c>
      <c r="C211">
        <v>4.8478627880475501E-2</v>
      </c>
      <c r="D211">
        <v>0.215303084735811</v>
      </c>
      <c r="E211">
        <v>0.157736981271976</v>
      </c>
    </row>
    <row r="212" spans="1:5" x14ac:dyDescent="0.2">
      <c r="A212">
        <v>1.4000466682222699E-3</v>
      </c>
      <c r="B212">
        <v>5.4706231557403701E-2</v>
      </c>
      <c r="C212">
        <v>4.85893665542073E-2</v>
      </c>
      <c r="D212">
        <v>0.21556840501525101</v>
      </c>
      <c r="E212">
        <v>0.15791827001973699</v>
      </c>
    </row>
    <row r="213" spans="1:5" x14ac:dyDescent="0.2">
      <c r="A213">
        <v>1.40671355711857E-3</v>
      </c>
      <c r="B213">
        <v>5.4923851164577001E-2</v>
      </c>
      <c r="C213">
        <v>4.8699680672901501E-2</v>
      </c>
      <c r="D213">
        <v>0.21583682202336499</v>
      </c>
      <c r="E213">
        <v>0.15809837974233801</v>
      </c>
    </row>
    <row r="214" spans="1:5" x14ac:dyDescent="0.2">
      <c r="A214">
        <v>1.4133804460148701E-3</v>
      </c>
      <c r="B214">
        <v>5.51413732365401E-2</v>
      </c>
      <c r="C214">
        <v>4.8809585657122997E-2</v>
      </c>
      <c r="D214">
        <v>0.21610848336274999</v>
      </c>
      <c r="E214">
        <v>0.15827728437276101</v>
      </c>
    </row>
    <row r="215" spans="1:5" x14ac:dyDescent="0.2">
      <c r="A215">
        <v>1.42004733491116E-3</v>
      </c>
      <c r="B215">
        <v>5.5358745387925401E-2</v>
      </c>
      <c r="C215">
        <v>4.8919096927436498E-2</v>
      </c>
      <c r="D215">
        <v>0.21638353663600501</v>
      </c>
      <c r="E215">
        <v>0.158454957843987</v>
      </c>
    </row>
    <row r="216" spans="1:5" x14ac:dyDescent="0.2">
      <c r="A216">
        <v>1.4267142238074599E-3</v>
      </c>
      <c r="B216">
        <v>5.5575915233365497E-2</v>
      </c>
      <c r="C216">
        <v>4.9028229904406799E-2</v>
      </c>
      <c r="D216">
        <v>0.21666212944572799</v>
      </c>
      <c r="E216">
        <v>0.158631374088998</v>
      </c>
    </row>
    <row r="217" spans="1:5" x14ac:dyDescent="0.2">
      <c r="A217">
        <v>1.43338111270376E-3</v>
      </c>
      <c r="B217">
        <v>5.5792830387492699E-2</v>
      </c>
      <c r="C217">
        <v>4.9137000008598698E-2</v>
      </c>
      <c r="D217">
        <v>0.21694440939451801</v>
      </c>
      <c r="E217">
        <v>0.15880650704077501</v>
      </c>
    </row>
    <row r="218" spans="1:5" x14ac:dyDescent="0.2">
      <c r="A218">
        <v>1.4400480016000499E-3</v>
      </c>
      <c r="B218">
        <v>5.6009438464939602E-2</v>
      </c>
      <c r="C218">
        <v>4.9245422660577E-2</v>
      </c>
      <c r="D218">
        <v>0.21723052408497101</v>
      </c>
      <c r="E218">
        <v>0.15898033063230099</v>
      </c>
    </row>
    <row r="219" spans="1:5" x14ac:dyDescent="0.2">
      <c r="A219">
        <v>1.44671489049635E-3</v>
      </c>
      <c r="B219">
        <v>5.62256870803386E-2</v>
      </c>
      <c r="C219">
        <v>4.9353513280906397E-2</v>
      </c>
      <c r="D219">
        <v>0.21752062111968701</v>
      </c>
      <c r="E219">
        <v>0.15915281879655499</v>
      </c>
    </row>
    <row r="220" spans="1:5" x14ac:dyDescent="0.2">
      <c r="A220">
        <v>1.4533817793926499E-3</v>
      </c>
      <c r="B220">
        <v>5.6441523848322198E-2</v>
      </c>
      <c r="C220">
        <v>4.9461287290151798E-2</v>
      </c>
      <c r="D220">
        <v>0.217814848101264</v>
      </c>
      <c r="E220">
        <v>0.15932394546652001</v>
      </c>
    </row>
    <row r="221" spans="1:5" x14ac:dyDescent="0.2">
      <c r="A221">
        <v>1.4600486682889401E-3</v>
      </c>
      <c r="B221">
        <v>5.6656896383522802E-2</v>
      </c>
      <c r="C221">
        <v>4.9568760108877799E-2</v>
      </c>
      <c r="D221">
        <v>0.218113352632299</v>
      </c>
      <c r="E221">
        <v>0.15949368457517801</v>
      </c>
    </row>
    <row r="222" spans="1:5" x14ac:dyDescent="0.2">
      <c r="A222">
        <v>1.4667155571852399E-3</v>
      </c>
      <c r="B222">
        <v>5.6871752300572898E-2</v>
      </c>
      <c r="C222">
        <v>4.9675947157649301E-2</v>
      </c>
      <c r="D222">
        <v>0.21841628231539101</v>
      </c>
      <c r="E222">
        <v>0.15966201005550901</v>
      </c>
    </row>
    <row r="223" spans="1:5" x14ac:dyDescent="0.2">
      <c r="A223">
        <v>1.4733824460815401E-3</v>
      </c>
      <c r="B223">
        <v>5.7086039214105003E-2</v>
      </c>
      <c r="C223">
        <v>4.9782863857031102E-2</v>
      </c>
      <c r="D223">
        <v>0.218723784753138</v>
      </c>
      <c r="E223">
        <v>0.159828895840496</v>
      </c>
    </row>
    <row r="224" spans="1:5" x14ac:dyDescent="0.2">
      <c r="A224">
        <v>1.48004933497783E-3</v>
      </c>
      <c r="B224">
        <v>5.7299704738751601E-2</v>
      </c>
      <c r="C224">
        <v>4.9889525627587798E-2</v>
      </c>
      <c r="D224">
        <v>0.21903600754813801</v>
      </c>
      <c r="E224">
        <v>0.15999431586311899</v>
      </c>
    </row>
    <row r="225" spans="1:5" x14ac:dyDescent="0.2">
      <c r="A225">
        <v>1.4867162238741301E-3</v>
      </c>
      <c r="B225">
        <v>5.7512696489144997E-2</v>
      </c>
      <c r="C225">
        <v>4.9995947889884401E-2</v>
      </c>
      <c r="D225">
        <v>0.21935309830298899</v>
      </c>
      <c r="E225">
        <v>0.160158244056361</v>
      </c>
    </row>
    <row r="226" spans="1:5" x14ac:dyDescent="0.2">
      <c r="A226">
        <v>1.49338311277043E-3</v>
      </c>
      <c r="B226">
        <v>5.7724962079917799E-2</v>
      </c>
      <c r="C226">
        <v>5.0102146064485598E-2</v>
      </c>
      <c r="D226">
        <v>0.21967520462029</v>
      </c>
      <c r="E226">
        <v>0.160320654353203</v>
      </c>
    </row>
    <row r="227" spans="1:5" x14ac:dyDescent="0.2">
      <c r="A227">
        <v>1.5000500016667201E-3</v>
      </c>
      <c r="B227">
        <v>5.7936449125707203E-2</v>
      </c>
      <c r="C227">
        <v>5.0208135571956199E-2</v>
      </c>
      <c r="D227">
        <v>0.220002474102618</v>
      </c>
      <c r="E227">
        <v>0.16048152068662899</v>
      </c>
    </row>
    <row r="228" spans="1:5" x14ac:dyDescent="0.2">
      <c r="A228">
        <v>1.50671689056302E-3</v>
      </c>
      <c r="B228">
        <v>5.8147116566378901E-2</v>
      </c>
      <c r="C228">
        <v>5.0313931832860898E-2</v>
      </c>
      <c r="D228">
        <v>0.220335005748344</v>
      </c>
      <c r="E228">
        <v>0.16064082637045701</v>
      </c>
    </row>
    <row r="229" spans="1:5" x14ac:dyDescent="0.2">
      <c r="A229">
        <v>1.5133837794593201E-3</v>
      </c>
      <c r="B229">
        <v>5.8356967634892801E-2</v>
      </c>
      <c r="C229">
        <v>5.0419550267764499E-2</v>
      </c>
      <c r="D229">
        <v>0.220672708464243</v>
      </c>
      <c r="E229">
        <v>0.16079859140703301</v>
      </c>
    </row>
    <row r="230" spans="1:5" x14ac:dyDescent="0.2">
      <c r="A230">
        <v>1.52005066835561E-3</v>
      </c>
      <c r="B230">
        <v>5.8566016391107797E-2</v>
      </c>
      <c r="C230">
        <v>5.0525006297231799E-2</v>
      </c>
      <c r="D230">
        <v>0.22101544469155501</v>
      </c>
      <c r="E230">
        <v>0.16095484476676</v>
      </c>
    </row>
    <row r="231" spans="1:5" x14ac:dyDescent="0.2">
      <c r="A231">
        <v>1.5267175572519099E-3</v>
      </c>
      <c r="B231">
        <v>5.8774276894882599E-2</v>
      </c>
      <c r="C231">
        <v>5.0630315341827603E-2</v>
      </c>
      <c r="D231">
        <v>0.22136307687151699</v>
      </c>
      <c r="E231">
        <v>0.16110961542004501</v>
      </c>
    </row>
    <row r="232" spans="1:5" x14ac:dyDescent="0.2">
      <c r="A232">
        <v>1.53338444614821E-3</v>
      </c>
      <c r="B232">
        <v>5.8981763206076003E-2</v>
      </c>
      <c r="C232">
        <v>5.0735492822116597E-2</v>
      </c>
      <c r="D232">
        <v>0.22171546744536899</v>
      </c>
      <c r="E232">
        <v>0.16126293233729</v>
      </c>
    </row>
    <row r="233" spans="1:5" x14ac:dyDescent="0.2">
      <c r="A233">
        <v>1.5400513350444999E-3</v>
      </c>
      <c r="B233">
        <v>5.91884893845466E-2</v>
      </c>
      <c r="C233">
        <v>5.0840554158663703E-2</v>
      </c>
      <c r="D233">
        <v>0.222072478854347</v>
      </c>
      <c r="E233">
        <v>0.16141482448890099</v>
      </c>
    </row>
    <row r="234" spans="1:5" x14ac:dyDescent="0.2">
      <c r="A234">
        <v>1.5467182239408E-3</v>
      </c>
      <c r="B234">
        <v>5.9394469490153402E-2</v>
      </c>
      <c r="C234">
        <v>5.0945514772033497E-2</v>
      </c>
      <c r="D234">
        <v>0.22243397353969199</v>
      </c>
      <c r="E234">
        <v>0.161565320845282</v>
      </c>
    </row>
    <row r="235" spans="1:5" x14ac:dyDescent="0.2">
      <c r="A235">
        <v>1.5533851128370899E-3</v>
      </c>
      <c r="B235">
        <v>5.9599717582755E-2</v>
      </c>
      <c r="C235">
        <v>5.1050390082790997E-2</v>
      </c>
      <c r="D235">
        <v>0.22279981394264001</v>
      </c>
      <c r="E235">
        <v>0.16171445037683699</v>
      </c>
    </row>
    <row r="236" spans="1:5" x14ac:dyDescent="0.2">
      <c r="A236">
        <v>1.56005200173339E-3</v>
      </c>
      <c r="B236">
        <v>5.9804247722210199E-2</v>
      </c>
      <c r="C236">
        <v>5.1155195511500801E-2</v>
      </c>
      <c r="D236">
        <v>0.22316986250443099</v>
      </c>
      <c r="E236">
        <v>0.16186224205397001</v>
      </c>
    </row>
    <row r="237" spans="1:5" x14ac:dyDescent="0.2">
      <c r="A237">
        <v>1.5667188906296899E-3</v>
      </c>
      <c r="B237">
        <v>6.0008073968377797E-2</v>
      </c>
      <c r="C237">
        <v>5.1259946478727801E-2</v>
      </c>
      <c r="D237">
        <v>0.22354398166630199</v>
      </c>
      <c r="E237">
        <v>0.162008724847087</v>
      </c>
    </row>
    <row r="238" spans="1:5" x14ac:dyDescent="0.2">
      <c r="A238">
        <v>1.5733857795259801E-3</v>
      </c>
      <c r="B238">
        <v>6.0211210381116501E-2</v>
      </c>
      <c r="C238">
        <v>5.1364658405036699E-2</v>
      </c>
      <c r="D238">
        <v>0.223922033869493</v>
      </c>
      <c r="E238">
        <v>0.16215392772659101</v>
      </c>
    </row>
    <row r="239" spans="1:5" x14ac:dyDescent="0.2">
      <c r="A239">
        <v>1.58005266842228E-3</v>
      </c>
      <c r="B239">
        <v>6.0413671020285199E-2</v>
      </c>
      <c r="C239">
        <v>5.1469346710992299E-2</v>
      </c>
      <c r="D239">
        <v>0.224303881555241</v>
      </c>
      <c r="E239">
        <v>0.162297879662887</v>
      </c>
    </row>
    <row r="240" spans="1:5" x14ac:dyDescent="0.2">
      <c r="A240">
        <v>1.5867195573185801E-3</v>
      </c>
      <c r="B240">
        <v>6.0615469945742503E-2</v>
      </c>
      <c r="C240">
        <v>5.1574026817159398E-2</v>
      </c>
      <c r="D240">
        <v>0.22468938716478501</v>
      </c>
      <c r="E240">
        <v>0.16244060962637799</v>
      </c>
    </row>
    <row r="241" spans="1:5" x14ac:dyDescent="0.2">
      <c r="A241">
        <v>1.59338644621487E-3</v>
      </c>
      <c r="B241">
        <v>6.0816621217347197E-2</v>
      </c>
      <c r="C241">
        <v>5.1678714144102703E-2</v>
      </c>
      <c r="D241">
        <v>0.225078413139363</v>
      </c>
      <c r="E241">
        <v>0.162582146587471</v>
      </c>
    </row>
    <row r="242" spans="1:5" x14ac:dyDescent="0.2">
      <c r="A242">
        <v>1.6000533351111701E-3</v>
      </c>
      <c r="B242">
        <v>6.1017138894958203E-2</v>
      </c>
      <c r="C242">
        <v>5.1783424112387101E-2</v>
      </c>
      <c r="D242">
        <v>0.225470821920213</v>
      </c>
      <c r="E242">
        <v>0.16272251951656899</v>
      </c>
    </row>
    <row r="243" spans="1:5" x14ac:dyDescent="0.2">
      <c r="A243">
        <v>1.60672022400747E-3</v>
      </c>
      <c r="B243">
        <v>6.1217037038434098E-2</v>
      </c>
      <c r="C243">
        <v>5.1888172142577203E-2</v>
      </c>
      <c r="D243">
        <v>0.22586647594857501</v>
      </c>
      <c r="E243">
        <v>0.16286175738407599</v>
      </c>
    </row>
    <row r="244" spans="1:5" x14ac:dyDescent="0.2">
      <c r="A244">
        <v>1.6133871129037601E-3</v>
      </c>
      <c r="B244">
        <v>6.1416329707633797E-2</v>
      </c>
      <c r="C244">
        <v>5.1992973655238001E-2</v>
      </c>
      <c r="D244">
        <v>0.22626523766568499</v>
      </c>
      <c r="E244">
        <v>0.16299988916039601</v>
      </c>
    </row>
    <row r="245" spans="1:5" x14ac:dyDescent="0.2">
      <c r="A245">
        <v>1.62005400180006E-3</v>
      </c>
      <c r="B245">
        <v>6.1615030962416002E-2</v>
      </c>
      <c r="C245">
        <v>5.2097844070934103E-2</v>
      </c>
      <c r="D245">
        <v>0.22666696951278301</v>
      </c>
      <c r="E245">
        <v>0.16313694381593499</v>
      </c>
    </row>
    <row r="246" spans="1:5" x14ac:dyDescent="0.2">
      <c r="A246">
        <v>1.6267208906963601E-3</v>
      </c>
      <c r="B246">
        <v>6.18131548626394E-2</v>
      </c>
      <c r="C246">
        <v>5.2202798810230398E-2</v>
      </c>
      <c r="D246">
        <v>0.22707153393110699</v>
      </c>
      <c r="E246">
        <v>0.16327295032109701</v>
      </c>
    </row>
    <row r="247" spans="1:5" x14ac:dyDescent="0.2">
      <c r="A247">
        <v>1.63338777959265E-3</v>
      </c>
      <c r="B247">
        <v>6.2010715468162801E-2</v>
      </c>
      <c r="C247">
        <v>5.23078532936916E-2</v>
      </c>
      <c r="D247">
        <v>0.227478793361896</v>
      </c>
      <c r="E247">
        <v>0.163407937646286</v>
      </c>
    </row>
    <row r="248" spans="1:5" x14ac:dyDescent="0.2">
      <c r="A248">
        <v>1.6400546684889499E-3</v>
      </c>
      <c r="B248">
        <v>6.2207726838845102E-2</v>
      </c>
      <c r="C248">
        <v>5.2413022941882499E-2</v>
      </c>
      <c r="D248">
        <v>0.22788861024638701</v>
      </c>
      <c r="E248">
        <v>0.16354193476190601</v>
      </c>
    </row>
    <row r="249" spans="1:5" x14ac:dyDescent="0.2">
      <c r="A249">
        <v>1.64672155738525E-3</v>
      </c>
      <c r="B249">
        <v>6.24042030345449E-2</v>
      </c>
      <c r="C249">
        <v>5.2518323175367802E-2</v>
      </c>
      <c r="D249">
        <v>0.22830084702581899</v>
      </c>
      <c r="E249">
        <v>0.16367497063836101</v>
      </c>
    </row>
    <row r="250" spans="1:5" x14ac:dyDescent="0.2">
      <c r="A250">
        <v>1.6533884462815399E-3</v>
      </c>
      <c r="B250">
        <v>6.2600158115120999E-2</v>
      </c>
      <c r="C250">
        <v>5.2623769414712501E-2</v>
      </c>
      <c r="D250">
        <v>0.22871536614143001</v>
      </c>
      <c r="E250">
        <v>0.16380707424605701</v>
      </c>
    </row>
    <row r="251" spans="1:5" x14ac:dyDescent="0.2">
      <c r="A251">
        <v>1.66005533517784E-3</v>
      </c>
      <c r="B251">
        <v>6.2795606140432197E-2</v>
      </c>
      <c r="C251">
        <v>5.2729377080481102E-2</v>
      </c>
      <c r="D251">
        <v>0.22913203003445901</v>
      </c>
      <c r="E251">
        <v>0.163938274555398</v>
      </c>
    </row>
    <row r="252" spans="1:5" x14ac:dyDescent="0.2">
      <c r="A252">
        <v>1.6667222240741399E-3</v>
      </c>
      <c r="B252">
        <v>6.2990561170337203E-2</v>
      </c>
      <c r="C252">
        <v>5.2835161593238603E-2</v>
      </c>
      <c r="D252">
        <v>0.22955070114614401</v>
      </c>
      <c r="E252">
        <v>0.16406860053678701</v>
      </c>
    </row>
    <row r="253" spans="1:5" x14ac:dyDescent="0.2">
      <c r="A253">
        <v>1.6733891129704301E-3</v>
      </c>
      <c r="B253">
        <v>6.3185037264694904E-2</v>
      </c>
      <c r="C253">
        <v>5.29411383735496E-2</v>
      </c>
      <c r="D253">
        <v>0.229971241917724</v>
      </c>
      <c r="E253">
        <v>0.16419808116063001</v>
      </c>
    </row>
    <row r="254" spans="1:5" x14ac:dyDescent="0.2">
      <c r="A254">
        <v>1.6800560018667299E-3</v>
      </c>
      <c r="B254">
        <v>6.3379048483363898E-2</v>
      </c>
      <c r="C254">
        <v>5.3047322841979098E-2</v>
      </c>
      <c r="D254">
        <v>0.23039351479043599</v>
      </c>
      <c r="E254">
        <v>0.164326745397331</v>
      </c>
    </row>
    <row r="255" spans="1:5" x14ac:dyDescent="0.2">
      <c r="A255">
        <v>1.6867228907630301E-3</v>
      </c>
      <c r="B255">
        <v>6.35726088862031E-2</v>
      </c>
      <c r="C255">
        <v>5.3153730419091598E-2</v>
      </c>
      <c r="D255">
        <v>0.23081738220551901</v>
      </c>
      <c r="E255">
        <v>0.16445462221729301</v>
      </c>
    </row>
    <row r="256" spans="1:5" x14ac:dyDescent="0.2">
      <c r="A256">
        <v>1.69338977965932E-3</v>
      </c>
      <c r="B256">
        <v>6.3765732533071204E-2</v>
      </c>
      <c r="C256">
        <v>5.3260376525452201E-2</v>
      </c>
      <c r="D256">
        <v>0.23124270660421201</v>
      </c>
      <c r="E256">
        <v>0.16458174059092301</v>
      </c>
    </row>
    <row r="257" spans="1:5" x14ac:dyDescent="0.2">
      <c r="A257">
        <v>1.7000566685556201E-3</v>
      </c>
      <c r="B257">
        <v>6.3958433483827001E-2</v>
      </c>
      <c r="C257">
        <v>5.3367276581625302E-2</v>
      </c>
      <c r="D257">
        <v>0.231669350427753</v>
      </c>
      <c r="E257">
        <v>0.16470812948862301</v>
      </c>
    </row>
    <row r="258" spans="1:5" x14ac:dyDescent="0.2">
      <c r="A258">
        <v>1.70672355745192E-3</v>
      </c>
      <c r="B258">
        <v>6.41507257983292E-2</v>
      </c>
      <c r="C258">
        <v>5.3474446008176003E-2</v>
      </c>
      <c r="D258">
        <v>0.23209717611737901</v>
      </c>
      <c r="E258">
        <v>0.16483381788079801</v>
      </c>
    </row>
    <row r="259" spans="1:5" x14ac:dyDescent="0.2">
      <c r="A259">
        <v>1.7133904463482101E-3</v>
      </c>
      <c r="B259">
        <v>6.4342623536436605E-2</v>
      </c>
      <c r="C259">
        <v>5.3581900225668999E-2</v>
      </c>
      <c r="D259">
        <v>0.232526046114331</v>
      </c>
      <c r="E259">
        <v>0.164958834737854</v>
      </c>
    </row>
    <row r="260" spans="1:5" x14ac:dyDescent="0.2">
      <c r="A260">
        <v>1.72005733524451E-3</v>
      </c>
      <c r="B260">
        <v>6.4534140758007993E-2</v>
      </c>
      <c r="C260">
        <v>5.3689654654668899E-2</v>
      </c>
      <c r="D260">
        <v>0.23295582285984501</v>
      </c>
      <c r="E260">
        <v>0.165083209030193</v>
      </c>
    </row>
    <row r="261" spans="1:5" x14ac:dyDescent="0.2">
      <c r="A261">
        <v>1.7267242241407999E-3</v>
      </c>
      <c r="B261">
        <v>6.4725291522902101E-2</v>
      </c>
      <c r="C261">
        <v>5.3797724715740701E-2</v>
      </c>
      <c r="D261">
        <v>0.233386368795161</v>
      </c>
      <c r="E261">
        <v>0.16520696972822099</v>
      </c>
    </row>
    <row r="262" spans="1:5" x14ac:dyDescent="0.2">
      <c r="A262">
        <v>1.7333911130371E-3</v>
      </c>
      <c r="B262">
        <v>6.4916089890977705E-2</v>
      </c>
      <c r="C262">
        <v>5.3906125829449099E-2</v>
      </c>
      <c r="D262">
        <v>0.233817546361516</v>
      </c>
      <c r="E262">
        <v>0.16533014580234201</v>
      </c>
    </row>
    <row r="263" spans="1:5" x14ac:dyDescent="0.2">
      <c r="A263">
        <v>1.7400580019333999E-3</v>
      </c>
      <c r="B263">
        <v>6.5106549922093596E-2</v>
      </c>
      <c r="C263">
        <v>5.40148734163588E-2</v>
      </c>
      <c r="D263">
        <v>0.234249218000149</v>
      </c>
      <c r="E263">
        <v>0.16545276622296101</v>
      </c>
    </row>
    <row r="264" spans="1:5" x14ac:dyDescent="0.2">
      <c r="A264">
        <v>1.74672489082969E-3</v>
      </c>
      <c r="B264">
        <v>6.5296685676108496E-2</v>
      </c>
      <c r="C264">
        <v>5.4123982897034698E-2</v>
      </c>
      <c r="D264">
        <v>0.23468124615229799</v>
      </c>
      <c r="E264">
        <v>0.16557485996048099</v>
      </c>
    </row>
    <row r="265" spans="1:5" x14ac:dyDescent="0.2">
      <c r="A265">
        <v>1.7533917797259899E-3</v>
      </c>
      <c r="B265">
        <v>6.5486511212881196E-2</v>
      </c>
      <c r="C265">
        <v>5.42334696920415E-2</v>
      </c>
      <c r="D265">
        <v>0.235113493259202</v>
      </c>
      <c r="E265">
        <v>0.165696455985307</v>
      </c>
    </row>
    <row r="266" spans="1:5" x14ac:dyDescent="0.2">
      <c r="A266">
        <v>1.76005866862229E-3</v>
      </c>
      <c r="B266">
        <v>6.5676040592270404E-2</v>
      </c>
      <c r="C266">
        <v>5.4343349221943997E-2</v>
      </c>
      <c r="D266">
        <v>0.23554582176209901</v>
      </c>
      <c r="E266">
        <v>0.16581758326784399</v>
      </c>
    </row>
    <row r="267" spans="1:5" x14ac:dyDescent="0.2">
      <c r="A267">
        <v>1.7667255575185799E-3</v>
      </c>
      <c r="B267">
        <v>6.5865287874134995E-2</v>
      </c>
      <c r="C267">
        <v>5.4453636907307E-2</v>
      </c>
      <c r="D267">
        <v>0.235978094102228</v>
      </c>
      <c r="E267">
        <v>0.16593827077849499</v>
      </c>
    </row>
    <row r="268" spans="1:5" x14ac:dyDescent="0.2">
      <c r="A268">
        <v>1.77339244641488E-3</v>
      </c>
      <c r="B268">
        <v>6.6054267118333704E-2</v>
      </c>
      <c r="C268">
        <v>5.4564348168695299E-2</v>
      </c>
      <c r="D268">
        <v>0.23641017272082601</v>
      </c>
      <c r="E268">
        <v>0.16605854748766599</v>
      </c>
    </row>
    <row r="269" spans="1:5" x14ac:dyDescent="0.2">
      <c r="A269">
        <v>1.7800593353111799E-3</v>
      </c>
      <c r="B269">
        <v>6.6242992384725197E-2</v>
      </c>
      <c r="C269">
        <v>5.4675498426673602E-2</v>
      </c>
      <c r="D269">
        <v>0.23684192005913199</v>
      </c>
      <c r="E269">
        <v>0.16617844236576099</v>
      </c>
    </row>
    <row r="270" spans="1:5" x14ac:dyDescent="0.2">
      <c r="A270">
        <v>1.7867262242074701E-3</v>
      </c>
      <c r="B270">
        <v>6.6431477733168307E-2</v>
      </c>
      <c r="C270">
        <v>5.4787103101806699E-2</v>
      </c>
      <c r="D270">
        <v>0.237273198558384</v>
      </c>
      <c r="E270">
        <v>0.16629798438318399</v>
      </c>
    </row>
    <row r="271" spans="1:5" x14ac:dyDescent="0.2">
      <c r="A271">
        <v>1.79339311310377E-3</v>
      </c>
      <c r="B271">
        <v>6.6619737223521797E-2</v>
      </c>
      <c r="C271">
        <v>5.48991776146594E-2</v>
      </c>
      <c r="D271">
        <v>0.23770387065982199</v>
      </c>
      <c r="E271">
        <v>0.16641720251033901</v>
      </c>
    </row>
    <row r="272" spans="1:5" x14ac:dyDescent="0.2">
      <c r="A272">
        <v>1.8000600020000701E-3</v>
      </c>
      <c r="B272">
        <v>6.6807784915644403E-2</v>
      </c>
      <c r="C272">
        <v>5.50117373857964E-2</v>
      </c>
      <c r="D272">
        <v>0.238133798804682</v>
      </c>
      <c r="E272">
        <v>0.16653612571763199</v>
      </c>
    </row>
    <row r="273" spans="1:5" x14ac:dyDescent="0.2">
      <c r="A273">
        <v>1.80672689089636E-3</v>
      </c>
      <c r="B273">
        <v>6.6995634869394999E-2</v>
      </c>
      <c r="C273">
        <v>5.5124797835782703E-2</v>
      </c>
      <c r="D273">
        <v>0.238562845434205</v>
      </c>
      <c r="E273">
        <v>0.16665478297546499</v>
      </c>
    </row>
    <row r="274" spans="1:5" x14ac:dyDescent="0.2">
      <c r="A274">
        <v>1.8133937797926601E-3</v>
      </c>
      <c r="B274">
        <v>6.7183301144632196E-2</v>
      </c>
      <c r="C274">
        <v>5.5238374385182802E-2</v>
      </c>
      <c r="D274">
        <v>0.23899087298962601</v>
      </c>
      <c r="E274">
        <v>0.166773203254244</v>
      </c>
    </row>
    <row r="275" spans="1:5" x14ac:dyDescent="0.2">
      <c r="A275">
        <v>1.82006066868896E-3</v>
      </c>
      <c r="B275">
        <v>6.7370797801214896E-2</v>
      </c>
      <c r="C275">
        <v>5.5352482454561598E-2</v>
      </c>
      <c r="D275">
        <v>0.23941774391218701</v>
      </c>
      <c r="E275">
        <v>0.166891415524374</v>
      </c>
    </row>
    <row r="276" spans="1:5" x14ac:dyDescent="0.2">
      <c r="A276">
        <v>1.8267275575852501E-3</v>
      </c>
      <c r="B276">
        <v>6.7558138899001696E-2</v>
      </c>
      <c r="C276">
        <v>5.5467137464484E-2</v>
      </c>
      <c r="D276">
        <v>0.239843320643123</v>
      </c>
      <c r="E276">
        <v>0.16700944875625801</v>
      </c>
    </row>
    <row r="277" spans="1:5" x14ac:dyDescent="0.2">
      <c r="A277">
        <v>1.83339444648155E-3</v>
      </c>
      <c r="B277">
        <v>6.7745338497851595E-2</v>
      </c>
      <c r="C277">
        <v>5.5582354835514498E-2</v>
      </c>
      <c r="D277">
        <v>0.24026746562367499</v>
      </c>
      <c r="E277">
        <v>0.16712733192029999</v>
      </c>
    </row>
    <row r="278" spans="1:5" x14ac:dyDescent="0.2">
      <c r="A278">
        <v>1.8400613353778501E-3</v>
      </c>
      <c r="B278">
        <v>6.7932410657623093E-2</v>
      </c>
      <c r="C278">
        <v>5.5698149988218197E-2</v>
      </c>
      <c r="D278">
        <v>0.24069004129508001</v>
      </c>
      <c r="E278">
        <v>0.16724509398690601</v>
      </c>
    </row>
    <row r="279" spans="1:5" x14ac:dyDescent="0.2">
      <c r="A279">
        <v>1.84672822427414E-3</v>
      </c>
      <c r="B279">
        <v>6.8119369438175204E-2</v>
      </c>
      <c r="C279">
        <v>5.5814538343159602E-2</v>
      </c>
      <c r="D279">
        <v>0.24111091009857599</v>
      </c>
      <c r="E279">
        <v>0.16736276392648</v>
      </c>
    </row>
    <row r="280" spans="1:5" x14ac:dyDescent="0.2">
      <c r="A280">
        <v>1.8533951131704399E-3</v>
      </c>
      <c r="B280">
        <v>6.8306228899366495E-2</v>
      </c>
      <c r="C280">
        <v>5.59315353209036E-2</v>
      </c>
      <c r="D280">
        <v>0.241529934475403</v>
      </c>
      <c r="E280">
        <v>0.16748037070942601</v>
      </c>
    </row>
    <row r="281" spans="1:5" x14ac:dyDescent="0.2">
      <c r="A281">
        <v>1.86006200206674E-3</v>
      </c>
      <c r="B281">
        <v>6.8493003101055897E-2</v>
      </c>
      <c r="C281">
        <v>5.6049156342015002E-2</v>
      </c>
      <c r="D281">
        <v>0.241946976866797</v>
      </c>
      <c r="E281">
        <v>0.167597943306148</v>
      </c>
    </row>
    <row r="282" spans="1:5" x14ac:dyDescent="0.2">
      <c r="A282">
        <v>1.8667288909630299E-3</v>
      </c>
      <c r="B282">
        <v>6.8679706103102006E-2</v>
      </c>
      <c r="C282">
        <v>5.61674168270586E-2</v>
      </c>
      <c r="D282">
        <v>0.24236189971399899</v>
      </c>
      <c r="E282">
        <v>0.16771551068705101</v>
      </c>
    </row>
    <row r="283" spans="1:5" x14ac:dyDescent="0.2">
      <c r="A283">
        <v>1.87339577985933E-3</v>
      </c>
      <c r="B283">
        <v>6.8866351965363698E-2</v>
      </c>
      <c r="C283">
        <v>5.6286332196599002E-2</v>
      </c>
      <c r="D283">
        <v>0.242774565458245</v>
      </c>
      <c r="E283">
        <v>0.16783310182253999</v>
      </c>
    </row>
    <row r="284" spans="1:5" x14ac:dyDescent="0.2">
      <c r="A284">
        <v>1.8800626687556299E-3</v>
      </c>
      <c r="B284">
        <v>6.9052954747699694E-2</v>
      </c>
      <c r="C284">
        <v>5.6405917871201201E-2</v>
      </c>
      <c r="D284">
        <v>0.243184836540775</v>
      </c>
      <c r="E284">
        <v>0.16795074568301799</v>
      </c>
    </row>
    <row r="285" spans="1:5" x14ac:dyDescent="0.2">
      <c r="A285">
        <v>1.8867295576519201E-3</v>
      </c>
      <c r="B285">
        <v>6.9239528509968798E-2</v>
      </c>
      <c r="C285">
        <v>5.6526189271429897E-2</v>
      </c>
      <c r="D285">
        <v>0.243592575402827</v>
      </c>
      <c r="E285">
        <v>0.16806847123888999</v>
      </c>
    </row>
    <row r="286" spans="1:5" x14ac:dyDescent="0.2">
      <c r="A286">
        <v>1.8933964465482199E-3</v>
      </c>
      <c r="B286">
        <v>6.9426087312029802E-2</v>
      </c>
      <c r="C286">
        <v>5.6647161817849803E-2</v>
      </c>
      <c r="D286">
        <v>0.24399764448563899</v>
      </c>
      <c r="E286">
        <v>0.16818630746056101</v>
      </c>
    </row>
    <row r="287" spans="1:5" x14ac:dyDescent="0.2">
      <c r="A287">
        <v>1.90006333544452E-3</v>
      </c>
      <c r="B287">
        <v>6.9612645213741303E-2</v>
      </c>
      <c r="C287">
        <v>5.6768850931025801E-2</v>
      </c>
      <c r="D287">
        <v>0.24439990623044899</v>
      </c>
      <c r="E287">
        <v>0.168304283318434</v>
      </c>
    </row>
    <row r="288" spans="1:5" x14ac:dyDescent="0.2">
      <c r="A288">
        <v>1.90673022434081E-3</v>
      </c>
      <c r="B288">
        <v>6.97992162749623E-2</v>
      </c>
      <c r="C288">
        <v>5.68912720315225E-2</v>
      </c>
      <c r="D288">
        <v>0.244799223078496</v>
      </c>
      <c r="E288">
        <v>0.168422427782915</v>
      </c>
    </row>
    <row r="289" spans="1:5" x14ac:dyDescent="0.2">
      <c r="A289">
        <v>1.9133971132371101E-3</v>
      </c>
      <c r="B289">
        <v>6.9985814555551404E-2</v>
      </c>
      <c r="C289">
        <v>5.7014440539904898E-2</v>
      </c>
      <c r="D289">
        <v>0.24519545747101801</v>
      </c>
      <c r="E289">
        <v>0.16854076982440699</v>
      </c>
    </row>
    <row r="290" spans="1:5" x14ac:dyDescent="0.2">
      <c r="A290">
        <v>1.9200640021334E-3</v>
      </c>
      <c r="B290">
        <v>7.0172454115367294E-2</v>
      </c>
      <c r="C290">
        <v>5.7138371876737599E-2</v>
      </c>
      <c r="D290">
        <v>0.245588471849254</v>
      </c>
      <c r="E290">
        <v>0.16865933841331601</v>
      </c>
    </row>
    <row r="291" spans="1:5" x14ac:dyDescent="0.2">
      <c r="A291">
        <v>1.9267308910297001E-3</v>
      </c>
      <c r="B291">
        <v>7.0359149014268998E-2</v>
      </c>
      <c r="C291">
        <v>5.7263081462585498E-2</v>
      </c>
      <c r="D291">
        <v>0.24597812865444199</v>
      </c>
      <c r="E291">
        <v>0.16877816252004499</v>
      </c>
    </row>
    <row r="292" spans="1:5" x14ac:dyDescent="0.2">
      <c r="A292">
        <v>1.933397779926E-3</v>
      </c>
      <c r="B292">
        <v>7.0545913312115099E-2</v>
      </c>
      <c r="C292">
        <v>5.7388584718013301E-2</v>
      </c>
      <c r="D292">
        <v>0.24636429032781901</v>
      </c>
      <c r="E292">
        <v>0.168897271114999</v>
      </c>
    </row>
    <row r="293" spans="1:5" x14ac:dyDescent="0.2">
      <c r="A293">
        <v>1.9400646688222899E-3</v>
      </c>
      <c r="B293">
        <v>7.0732761068764402E-2</v>
      </c>
      <c r="C293">
        <v>5.7514897063585903E-2</v>
      </c>
      <c r="D293">
        <v>0.246746819310626</v>
      </c>
      <c r="E293">
        <v>0.16901669316858201</v>
      </c>
    </row>
    <row r="294" spans="1:5" x14ac:dyDescent="0.2">
      <c r="A294">
        <v>1.94673155771859E-3</v>
      </c>
      <c r="B294">
        <v>7.0919706344075698E-2</v>
      </c>
      <c r="C294">
        <v>5.7642033919867899E-2</v>
      </c>
      <c r="D294">
        <v>0.24712557804409899</v>
      </c>
      <c r="E294">
        <v>0.169136457651198</v>
      </c>
    </row>
    <row r="295" spans="1:5" x14ac:dyDescent="0.2">
      <c r="A295">
        <v>1.9533984466148899E-3</v>
      </c>
      <c r="B295">
        <v>7.1106763197907694E-2</v>
      </c>
      <c r="C295">
        <v>5.7770010707424199E-2</v>
      </c>
      <c r="D295">
        <v>0.24750042896947799</v>
      </c>
      <c r="E295">
        <v>0.16925659353325301</v>
      </c>
    </row>
    <row r="296" spans="1:5" x14ac:dyDescent="0.2">
      <c r="A296">
        <v>1.96006533551118E-3</v>
      </c>
      <c r="B296">
        <v>7.1293945690119306E-2</v>
      </c>
      <c r="C296">
        <v>5.7898842846819502E-2</v>
      </c>
      <c r="D296">
        <v>0.247871234528</v>
      </c>
      <c r="E296">
        <v>0.16937712978514999</v>
      </c>
    </row>
    <row r="297" spans="1:5" x14ac:dyDescent="0.2">
      <c r="A297">
        <v>1.9667322244074801E-3</v>
      </c>
      <c r="B297">
        <v>7.1481267880568994E-2</v>
      </c>
      <c r="C297">
        <v>5.8028545758618599E-2</v>
      </c>
      <c r="D297">
        <v>0.24823785716090499</v>
      </c>
      <c r="E297">
        <v>0.16949809537729399</v>
      </c>
    </row>
    <row r="298" spans="1:5" x14ac:dyDescent="0.2">
      <c r="A298">
        <v>1.9733991133037798E-3</v>
      </c>
      <c r="B298">
        <v>7.1668743829115797E-2</v>
      </c>
      <c r="C298">
        <v>5.8159134863386301E-2</v>
      </c>
      <c r="D298">
        <v>0.248600159309429</v>
      </c>
      <c r="E298">
        <v>0.169619519280089</v>
      </c>
    </row>
    <row r="299" spans="1:5" x14ac:dyDescent="0.2">
      <c r="A299">
        <v>1.9800660022000699E-3</v>
      </c>
      <c r="B299">
        <v>7.1856387595618396E-2</v>
      </c>
      <c r="C299">
        <v>5.8290625581687398E-2</v>
      </c>
      <c r="D299">
        <v>0.248958003414813</v>
      </c>
      <c r="E299">
        <v>0.16974143046394</v>
      </c>
    </row>
    <row r="300" spans="1:5" x14ac:dyDescent="0.2">
      <c r="A300">
        <v>1.98673289109637E-3</v>
      </c>
      <c r="B300">
        <v>7.2044213239935498E-2</v>
      </c>
      <c r="C300">
        <v>5.8423033334086598E-2</v>
      </c>
      <c r="D300">
        <v>0.24931125191829301</v>
      </c>
      <c r="E300">
        <v>0.16986385789925099</v>
      </c>
    </row>
    <row r="301" spans="1:5" x14ac:dyDescent="0.2">
      <c r="A301">
        <v>1.9933997799926701E-3</v>
      </c>
      <c r="B301">
        <v>7.2232234821926006E-2</v>
      </c>
      <c r="C301">
        <v>5.8556373541148801E-2</v>
      </c>
      <c r="D301">
        <v>0.249659767261109</v>
      </c>
      <c r="E301">
        <v>0.16998683055642599</v>
      </c>
    </row>
    <row r="302" spans="1:5" x14ac:dyDescent="0.2">
      <c r="A302">
        <v>2.0000666688889598E-3</v>
      </c>
      <c r="B302">
        <v>7.2420466401445602E-2</v>
      </c>
      <c r="C302">
        <v>5.8690661623433601E-2</v>
      </c>
      <c r="D302">
        <v>0.25000341188452901</v>
      </c>
      <c r="E302">
        <v>0.17011037740586399</v>
      </c>
    </row>
    <row r="303" spans="1:5" x14ac:dyDescent="0.2">
      <c r="A303">
        <v>2.0067335577852599E-3</v>
      </c>
      <c r="B303">
        <v>7.2608918962234398E-2</v>
      </c>
      <c r="C303">
        <v>5.8825907722384503E-2</v>
      </c>
      <c r="D303">
        <v>0.25034207952731402</v>
      </c>
      <c r="E303">
        <v>0.170234520505359</v>
      </c>
    </row>
    <row r="304" spans="1:5" x14ac:dyDescent="0.2">
      <c r="A304">
        <v>2.0134004466815601E-3</v>
      </c>
      <c r="B304">
        <v>7.2797591547178506E-2</v>
      </c>
      <c r="C304">
        <v>5.8962101486992102E-2</v>
      </c>
      <c r="D304">
        <v>0.25067578541871299</v>
      </c>
      <c r="E304">
        <v>0.17035925507939401</v>
      </c>
    </row>
    <row r="305" spans="1:5" x14ac:dyDescent="0.2">
      <c r="A305">
        <v>2.0200673355778502E-3</v>
      </c>
      <c r="B305">
        <v>7.2986480302181994E-2</v>
      </c>
      <c r="C305">
        <v>5.90992275945533E-2</v>
      </c>
      <c r="D305">
        <v>0.25100457426289702</v>
      </c>
      <c r="E305">
        <v>0.17048456984239699</v>
      </c>
    </row>
    <row r="306" spans="1:5" x14ac:dyDescent="0.2">
      <c r="A306">
        <v>2.0267342244741499E-3</v>
      </c>
      <c r="B306">
        <v>7.3175581373148904E-2</v>
      </c>
      <c r="C306">
        <v>5.9237270722365197E-2</v>
      </c>
      <c r="D306">
        <v>0.25132849076403802</v>
      </c>
      <c r="E306">
        <v>0.170610453508793</v>
      </c>
    </row>
    <row r="307" spans="1:5" x14ac:dyDescent="0.2">
      <c r="A307">
        <v>2.03340111337045E-3</v>
      </c>
      <c r="B307">
        <v>7.3364890905983193E-2</v>
      </c>
      <c r="C307">
        <v>5.9376215547724501E-2</v>
      </c>
      <c r="D307">
        <v>0.25164757962630901</v>
      </c>
      <c r="E307">
        <v>0.17073689479301099</v>
      </c>
    </row>
    <row r="308" spans="1:5" x14ac:dyDescent="0.2">
      <c r="A308">
        <v>2.0400680022667401E-3</v>
      </c>
      <c r="B308">
        <v>7.3554405046588903E-2</v>
      </c>
      <c r="C308">
        <v>5.9516046747928299E-2</v>
      </c>
      <c r="D308">
        <v>0.25196188555388099</v>
      </c>
      <c r="E308">
        <v>0.170863882409477</v>
      </c>
    </row>
    <row r="309" spans="1:5" x14ac:dyDescent="0.2">
      <c r="A309">
        <v>2.0467348911630402E-3</v>
      </c>
      <c r="B309">
        <v>7.3744119940870198E-2</v>
      </c>
      <c r="C309">
        <v>5.9656749000273297E-2</v>
      </c>
      <c r="D309">
        <v>0.25227145325092598</v>
      </c>
      <c r="E309">
        <v>0.17099140507261701</v>
      </c>
    </row>
    <row r="310" spans="1:5" x14ac:dyDescent="0.2">
      <c r="A310">
        <v>2.0534017800593399E-3</v>
      </c>
      <c r="B310">
        <v>7.3934031734730898E-2</v>
      </c>
      <c r="C310">
        <v>5.9798306982056702E-2</v>
      </c>
      <c r="D310">
        <v>0.25257632742161701</v>
      </c>
      <c r="E310">
        <v>0.171119451496859</v>
      </c>
    </row>
    <row r="311" spans="1:5" x14ac:dyDescent="0.2">
      <c r="A311">
        <v>2.06006866895563E-3</v>
      </c>
      <c r="B311">
        <v>7.41241365740751E-2</v>
      </c>
      <c r="C311">
        <v>5.9940705370575199E-2</v>
      </c>
      <c r="D311">
        <v>0.252876552770125</v>
      </c>
      <c r="E311">
        <v>0.17124801039663001</v>
      </c>
    </row>
    <row r="312" spans="1:5" x14ac:dyDescent="0.2">
      <c r="A312">
        <v>2.0667355578519301E-3</v>
      </c>
      <c r="B312">
        <v>7.43144306048069E-2</v>
      </c>
      <c r="C312">
        <v>6.00839288431258E-2</v>
      </c>
      <c r="D312">
        <v>0.25317217400062197</v>
      </c>
      <c r="E312">
        <v>0.171377070486356</v>
      </c>
    </row>
    <row r="313" spans="1:5" x14ac:dyDescent="0.2">
      <c r="A313">
        <v>2.0734024467482298E-3</v>
      </c>
      <c r="B313">
        <v>7.4504909972830394E-2</v>
      </c>
      <c r="C313">
        <v>6.0227962077005502E-2</v>
      </c>
      <c r="D313">
        <v>0.25346323581727997</v>
      </c>
      <c r="E313">
        <v>0.171506620480464</v>
      </c>
    </row>
    <row r="314" spans="1:5" x14ac:dyDescent="0.2">
      <c r="A314">
        <v>2.0800693356445199E-3</v>
      </c>
      <c r="B314">
        <v>7.4695570824049401E-2</v>
      </c>
      <c r="C314">
        <v>6.0372789749511102E-2</v>
      </c>
      <c r="D314">
        <v>0.25374978292427097</v>
      </c>
      <c r="E314">
        <v>0.171636649093382</v>
      </c>
    </row>
    <row r="315" spans="1:5" x14ac:dyDescent="0.2">
      <c r="A315">
        <v>2.08673622454082E-3</v>
      </c>
      <c r="B315">
        <v>7.4886409304368101E-2</v>
      </c>
      <c r="C315">
        <v>6.0518396537939598E-2</v>
      </c>
      <c r="D315">
        <v>0.254031860025768</v>
      </c>
      <c r="E315">
        <v>0.171767145039536</v>
      </c>
    </row>
    <row r="316" spans="1:5" x14ac:dyDescent="0.2">
      <c r="A316">
        <v>2.0934031134371102E-3</v>
      </c>
      <c r="B316">
        <v>7.5077421559690397E-2</v>
      </c>
      <c r="C316">
        <v>6.0664767119587903E-2</v>
      </c>
      <c r="D316">
        <v>0.25430951182594103</v>
      </c>
      <c r="E316">
        <v>0.17189809703335299</v>
      </c>
    </row>
    <row r="317" spans="1:5" x14ac:dyDescent="0.2">
      <c r="A317">
        <v>2.1000700023334098E-3</v>
      </c>
      <c r="B317">
        <v>7.5268603735920495E-2</v>
      </c>
      <c r="C317">
        <v>6.0811886171752899E-2</v>
      </c>
      <c r="D317">
        <v>0.25458278302896398</v>
      </c>
      <c r="E317">
        <v>0.172029493789259</v>
      </c>
    </row>
    <row r="318" spans="1:5" x14ac:dyDescent="0.2">
      <c r="A318">
        <v>2.1067368912297099E-3</v>
      </c>
      <c r="B318">
        <v>7.54599519789622E-2</v>
      </c>
      <c r="C318">
        <v>6.0959738371731499E-2</v>
      </c>
      <c r="D318">
        <v>0.25485171833900699</v>
      </c>
      <c r="E318">
        <v>0.17216132402168299</v>
      </c>
    </row>
    <row r="319" spans="1:5" x14ac:dyDescent="0.2">
      <c r="A319">
        <v>2.1134037801260001E-3</v>
      </c>
      <c r="B319">
        <v>7.5651462434719804E-2</v>
      </c>
      <c r="C319">
        <v>6.1108308396820701E-2</v>
      </c>
      <c r="D319">
        <v>0.255116362460243</v>
      </c>
      <c r="E319">
        <v>0.17229357644505</v>
      </c>
    </row>
    <row r="320" spans="1:5" x14ac:dyDescent="0.2">
      <c r="A320">
        <v>2.1200706690223002E-3</v>
      </c>
      <c r="B320">
        <v>7.5843131249097098E-2</v>
      </c>
      <c r="C320">
        <v>6.1257580924317302E-2</v>
      </c>
      <c r="D320">
        <v>0.25537676009684501</v>
      </c>
      <c r="E320">
        <v>0.17242623977378799</v>
      </c>
    </row>
    <row r="321" spans="1:5" x14ac:dyDescent="0.2">
      <c r="A321">
        <v>2.1267375579185998E-3</v>
      </c>
      <c r="B321">
        <v>7.6034954567998303E-2</v>
      </c>
      <c r="C321">
        <v>6.1407540631518397E-2</v>
      </c>
      <c r="D321">
        <v>0.25563295595298302</v>
      </c>
      <c r="E321">
        <v>0.172559302722323</v>
      </c>
    </row>
    <row r="322" spans="1:5" x14ac:dyDescent="0.2">
      <c r="A322">
        <v>2.13340444681489E-3</v>
      </c>
      <c r="B322">
        <v>7.6226928537327293E-2</v>
      </c>
      <c r="C322">
        <v>6.1558172195720802E-2</v>
      </c>
      <c r="D322">
        <v>0.25588499473283</v>
      </c>
      <c r="E322">
        <v>0.17269275400508299</v>
      </c>
    </row>
    <row r="323" spans="1:5" x14ac:dyDescent="0.2">
      <c r="A323">
        <v>2.1400713357111901E-3</v>
      </c>
      <c r="B323">
        <v>7.6419049302988207E-2</v>
      </c>
      <c r="C323">
        <v>6.1709460294221398E-2</v>
      </c>
      <c r="D323">
        <v>0.25613292114055902</v>
      </c>
      <c r="E323">
        <v>0.17282658233649401</v>
      </c>
    </row>
    <row r="324" spans="1:5" x14ac:dyDescent="0.2">
      <c r="A324">
        <v>2.1467382246074902E-3</v>
      </c>
      <c r="B324">
        <v>7.6611313010885002E-2</v>
      </c>
      <c r="C324">
        <v>6.1861389604317203E-2</v>
      </c>
      <c r="D324">
        <v>0.25637677988033902</v>
      </c>
      <c r="E324">
        <v>0.17296077643098301</v>
      </c>
    </row>
    <row r="325" spans="1:5" x14ac:dyDescent="0.2">
      <c r="A325">
        <v>2.1534051135037799E-3</v>
      </c>
      <c r="B325">
        <v>7.6803715806921705E-2</v>
      </c>
      <c r="C325">
        <v>6.2013944803305097E-2</v>
      </c>
      <c r="D325">
        <v>0.25661661565634503</v>
      </c>
      <c r="E325">
        <v>0.173095325002977</v>
      </c>
    </row>
    <row r="326" spans="1:5" x14ac:dyDescent="0.2">
      <c r="A326">
        <v>2.16007200240008E-3</v>
      </c>
      <c r="B326">
        <v>7.6996253837002399E-2</v>
      </c>
      <c r="C326">
        <v>6.2167110568482002E-2</v>
      </c>
      <c r="D326">
        <v>0.25685247317274801</v>
      </c>
      <c r="E326">
        <v>0.17323021676690301</v>
      </c>
    </row>
    <row r="327" spans="1:5" x14ac:dyDescent="0.2">
      <c r="A327">
        <v>2.1667388912963801E-3</v>
      </c>
      <c r="B327">
        <v>7.7188923247031097E-2</v>
      </c>
      <c r="C327">
        <v>6.2320871577144901E-2</v>
      </c>
      <c r="D327">
        <v>0.257084397133719</v>
      </c>
      <c r="E327">
        <v>0.17336544043718799</v>
      </c>
    </row>
    <row r="328" spans="1:5" x14ac:dyDescent="0.2">
      <c r="A328">
        <v>2.1734057801926698E-3</v>
      </c>
      <c r="B328">
        <v>7.7381720182911798E-2</v>
      </c>
      <c r="C328">
        <v>6.2475212506590598E-2</v>
      </c>
      <c r="D328">
        <v>0.25731243224343098</v>
      </c>
      <c r="E328">
        <v>0.17350098472825801</v>
      </c>
    </row>
    <row r="329" spans="1:5" x14ac:dyDescent="0.2">
      <c r="A329">
        <v>2.1800726690889699E-3</v>
      </c>
      <c r="B329">
        <v>7.7574640790548502E-2</v>
      </c>
      <c r="C329">
        <v>6.2630118034116097E-2</v>
      </c>
      <c r="D329">
        <v>0.25753662320605503</v>
      </c>
      <c r="E329">
        <v>0.173636838354541</v>
      </c>
    </row>
    <row r="330" spans="1:5" x14ac:dyDescent="0.2">
      <c r="A330">
        <v>2.18673955798527E-3</v>
      </c>
      <c r="B330">
        <v>7.7767681215845402E-2</v>
      </c>
      <c r="C330">
        <v>6.27855728370183E-2</v>
      </c>
      <c r="D330">
        <v>0.25775701472576401</v>
      </c>
      <c r="E330">
        <v>0.17377299003046401</v>
      </c>
    </row>
    <row r="331" spans="1:5" x14ac:dyDescent="0.2">
      <c r="A331">
        <v>2.1934064468815601E-3</v>
      </c>
      <c r="B331">
        <v>7.7960837604706304E-2</v>
      </c>
      <c r="C331">
        <v>6.2941561592594106E-2</v>
      </c>
      <c r="D331">
        <v>0.25797365150673002</v>
      </c>
      <c r="E331">
        <v>0.17390942847045299</v>
      </c>
    </row>
    <row r="332" spans="1:5" x14ac:dyDescent="0.2">
      <c r="A332">
        <v>2.2000733357778598E-3</v>
      </c>
      <c r="B332">
        <v>7.8154106103035401E-2</v>
      </c>
      <c r="C332">
        <v>6.3098068978140395E-2</v>
      </c>
      <c r="D332">
        <v>0.25818657825312502</v>
      </c>
      <c r="E332">
        <v>0.17404614238893501</v>
      </c>
    </row>
    <row r="333" spans="1:5" x14ac:dyDescent="0.2">
      <c r="A333">
        <v>2.2067402246741599E-3</v>
      </c>
      <c r="B333">
        <v>7.8347482856736594E-2</v>
      </c>
      <c r="C333">
        <v>6.3255079670954201E-2</v>
      </c>
      <c r="D333">
        <v>0.25839583966912</v>
      </c>
      <c r="E333">
        <v>0.17418312050033799</v>
      </c>
    </row>
    <row r="334" spans="1:5" x14ac:dyDescent="0.2">
      <c r="A334">
        <v>2.2134071135704501E-3</v>
      </c>
      <c r="B334">
        <v>7.8540964011714107E-2</v>
      </c>
      <c r="C334">
        <v>6.3412578348332499E-2</v>
      </c>
      <c r="D334">
        <v>0.25860148045888698</v>
      </c>
      <c r="E334">
        <v>0.17432035151908701</v>
      </c>
    </row>
    <row r="335" spans="1:5" x14ac:dyDescent="0.2">
      <c r="A335">
        <v>2.2200740024667502E-3</v>
      </c>
      <c r="B335">
        <v>7.8734545713871701E-2</v>
      </c>
      <c r="C335">
        <v>6.3570549687572003E-2</v>
      </c>
      <c r="D335">
        <v>0.25880354532659899</v>
      </c>
      <c r="E335">
        <v>0.174457824159611</v>
      </c>
    </row>
    <row r="336" spans="1:5" x14ac:dyDescent="0.2">
      <c r="A336">
        <v>2.2267408913630498E-3</v>
      </c>
      <c r="B336">
        <v>7.8928224109113598E-2</v>
      </c>
      <c r="C336">
        <v>6.3728978365969705E-2</v>
      </c>
      <c r="D336">
        <v>0.25900207897642702</v>
      </c>
      <c r="E336">
        <v>0.174595527136335</v>
      </c>
    </row>
    <row r="337" spans="1:5" x14ac:dyDescent="0.2">
      <c r="A337">
        <v>2.23340778025934E-3</v>
      </c>
      <c r="B337">
        <v>7.9121995343343798E-2</v>
      </c>
      <c r="C337">
        <v>6.3887849060822594E-2</v>
      </c>
      <c r="D337">
        <v>0.25919712611254397</v>
      </c>
      <c r="E337">
        <v>0.17473344916368699</v>
      </c>
    </row>
    <row r="338" spans="1:5" x14ac:dyDescent="0.2">
      <c r="A338">
        <v>2.2400746691556401E-3</v>
      </c>
      <c r="B338">
        <v>7.93158555624663E-2</v>
      </c>
      <c r="C338">
        <v>6.4047146449427605E-2</v>
      </c>
      <c r="D338">
        <v>0.259388731439121</v>
      </c>
      <c r="E338">
        <v>0.17487157895609401</v>
      </c>
    </row>
    <row r="339" spans="1:5" x14ac:dyDescent="0.2">
      <c r="A339">
        <v>2.2467415580519402E-3</v>
      </c>
      <c r="B339">
        <v>7.9509800912385103E-2</v>
      </c>
      <c r="C339">
        <v>6.4206855209081606E-2</v>
      </c>
      <c r="D339">
        <v>0.25957693966033102</v>
      </c>
      <c r="E339">
        <v>0.17500990522798199</v>
      </c>
    </row>
    <row r="340" spans="1:5" x14ac:dyDescent="0.2">
      <c r="A340">
        <v>2.2534084469482299E-3</v>
      </c>
      <c r="B340">
        <v>7.9703827539004304E-2</v>
      </c>
      <c r="C340">
        <v>6.4366960017081504E-2</v>
      </c>
      <c r="D340">
        <v>0.259761795480345</v>
      </c>
      <c r="E340">
        <v>0.17514841669377901</v>
      </c>
    </row>
    <row r="341" spans="1:5" x14ac:dyDescent="0.2">
      <c r="A341">
        <v>2.26007533584453E-3</v>
      </c>
      <c r="B341">
        <v>7.9897931588227902E-2</v>
      </c>
      <c r="C341">
        <v>6.4527445550724302E-2</v>
      </c>
      <c r="D341">
        <v>0.25994334360333499</v>
      </c>
      <c r="E341">
        <v>0.17528710206791001</v>
      </c>
    </row>
    <row r="342" spans="1:5" x14ac:dyDescent="0.2">
      <c r="A342">
        <v>2.2667422247408201E-3</v>
      </c>
      <c r="B342">
        <v>8.0092109205959897E-2</v>
      </c>
      <c r="C342">
        <v>6.4688296487306798E-2</v>
      </c>
      <c r="D342">
        <v>0.260121628733474</v>
      </c>
      <c r="E342">
        <v>0.17542595006480399</v>
      </c>
    </row>
    <row r="343" spans="1:5" x14ac:dyDescent="0.2">
      <c r="A343">
        <v>2.2734091136371198E-3</v>
      </c>
      <c r="B343">
        <v>8.0286356538104398E-2</v>
      </c>
      <c r="C343">
        <v>6.4849497504126094E-2</v>
      </c>
      <c r="D343">
        <v>0.26029669557493201</v>
      </c>
      <c r="E343">
        <v>0.175564949398888</v>
      </c>
    </row>
    <row r="344" spans="1:5" x14ac:dyDescent="0.2">
      <c r="A344">
        <v>2.2800760025334199E-3</v>
      </c>
      <c r="B344">
        <v>8.0480669730565293E-2</v>
      </c>
      <c r="C344">
        <v>6.5011033278478902E-2</v>
      </c>
      <c r="D344">
        <v>0.26046858883188301</v>
      </c>
      <c r="E344">
        <v>0.17570408878458699</v>
      </c>
    </row>
    <row r="345" spans="1:5" x14ac:dyDescent="0.2">
      <c r="A345">
        <v>2.28674289142971E-3</v>
      </c>
      <c r="B345">
        <v>8.0675044929246695E-2</v>
      </c>
      <c r="C345">
        <v>6.5172888487662201E-2</v>
      </c>
      <c r="D345">
        <v>0.26063735320849801</v>
      </c>
      <c r="E345">
        <v>0.17584335693632899</v>
      </c>
    </row>
    <row r="346" spans="1:5" x14ac:dyDescent="0.2">
      <c r="A346">
        <v>2.2934097803260101E-3</v>
      </c>
      <c r="B346">
        <v>8.0869478280052698E-2</v>
      </c>
      <c r="C346">
        <v>6.5335047808973007E-2</v>
      </c>
      <c r="D346">
        <v>0.26080303340895</v>
      </c>
      <c r="E346">
        <v>0.17598274256853999</v>
      </c>
    </row>
    <row r="347" spans="1:5" x14ac:dyDescent="0.2">
      <c r="A347">
        <v>2.3000766692223098E-3</v>
      </c>
      <c r="B347">
        <v>8.1063965928887302E-2</v>
      </c>
      <c r="C347">
        <v>6.5497495919708201E-2</v>
      </c>
      <c r="D347">
        <v>0.26096567413740901</v>
      </c>
      <c r="E347">
        <v>0.176122234395649</v>
      </c>
    </row>
    <row r="348" spans="1:5" x14ac:dyDescent="0.2">
      <c r="A348">
        <v>2.3067435581185999E-3</v>
      </c>
      <c r="B348">
        <v>8.1258504021654507E-2</v>
      </c>
      <c r="C348">
        <v>6.5660217497164705E-2</v>
      </c>
      <c r="D348">
        <v>0.26112532009804901</v>
      </c>
      <c r="E348">
        <v>0.17626182113208</v>
      </c>
    </row>
    <row r="349" spans="1:5" x14ac:dyDescent="0.2">
      <c r="A349">
        <v>2.3134104470149E-3</v>
      </c>
      <c r="B349">
        <v>8.14530887042582E-2</v>
      </c>
      <c r="C349">
        <v>6.5823197218639398E-2</v>
      </c>
      <c r="D349">
        <v>0.26128201599503997</v>
      </c>
      <c r="E349">
        <v>0.176401491492263</v>
      </c>
    </row>
    <row r="350" spans="1:5" x14ac:dyDescent="0.2">
      <c r="A350">
        <v>2.3200773359112001E-3</v>
      </c>
      <c r="B350">
        <v>8.1647716122602701E-2</v>
      </c>
      <c r="C350">
        <v>6.5986419761429202E-2</v>
      </c>
      <c r="D350">
        <v>0.26143580653255599</v>
      </c>
      <c r="E350">
        <v>0.17654123419062201</v>
      </c>
    </row>
    <row r="351" spans="1:5" x14ac:dyDescent="0.2">
      <c r="A351">
        <v>2.3267442248074898E-3</v>
      </c>
      <c r="B351">
        <v>8.18423824225918E-2</v>
      </c>
      <c r="C351">
        <v>6.6149869802831204E-2</v>
      </c>
      <c r="D351">
        <v>0.26158673641476698</v>
      </c>
      <c r="E351">
        <v>0.17668103794158599</v>
      </c>
    </row>
    <row r="352" spans="1:5" x14ac:dyDescent="0.2">
      <c r="A352">
        <v>2.33341111370379E-3</v>
      </c>
      <c r="B352">
        <v>8.2037083750129594E-2</v>
      </c>
      <c r="C352">
        <v>6.6313532020142105E-2</v>
      </c>
      <c r="D352">
        <v>0.26173485034584698</v>
      </c>
      <c r="E352">
        <v>0.17682089145958099</v>
      </c>
    </row>
    <row r="353" spans="1:5" x14ac:dyDescent="0.2">
      <c r="A353">
        <v>2.3400780026000901E-3</v>
      </c>
      <c r="B353">
        <v>8.2231816251120193E-2</v>
      </c>
      <c r="C353">
        <v>6.6477391090658894E-2</v>
      </c>
      <c r="D353">
        <v>0.26188019302996601</v>
      </c>
      <c r="E353">
        <v>0.17696078345903399</v>
      </c>
    </row>
    <row r="354" spans="1:5" x14ac:dyDescent="0.2">
      <c r="A354">
        <v>2.3467448914963802E-3</v>
      </c>
      <c r="B354">
        <v>8.24265760714675E-2</v>
      </c>
      <c r="C354">
        <v>6.6641431691678493E-2</v>
      </c>
      <c r="D354">
        <v>0.262022809171298</v>
      </c>
      <c r="E354">
        <v>0.177100702654372</v>
      </c>
    </row>
    <row r="355" spans="1:5" x14ac:dyDescent="0.2">
      <c r="A355">
        <v>2.3534117803926799E-3</v>
      </c>
      <c r="B355">
        <v>8.2621359357075597E-2</v>
      </c>
      <c r="C355">
        <v>6.6805638500497894E-2</v>
      </c>
      <c r="D355">
        <v>0.26216274347401303</v>
      </c>
      <c r="E355">
        <v>0.177240637760021</v>
      </c>
    </row>
    <row r="356" spans="1:5" x14ac:dyDescent="0.2">
      <c r="A356">
        <v>2.36007866928898E-3</v>
      </c>
      <c r="B356">
        <v>8.2816162253848594E-2</v>
      </c>
      <c r="C356">
        <v>6.6969996194414003E-2</v>
      </c>
      <c r="D356">
        <v>0.26230004064228402</v>
      </c>
      <c r="E356">
        <v>0.177380577490409</v>
      </c>
    </row>
    <row r="357" spans="1:5" x14ac:dyDescent="0.2">
      <c r="A357">
        <v>2.3667455581852701E-3</v>
      </c>
      <c r="B357">
        <v>8.3010980907690393E-2</v>
      </c>
      <c r="C357">
        <v>6.7134489450723603E-2</v>
      </c>
      <c r="D357">
        <v>0.262434745380283</v>
      </c>
      <c r="E357">
        <v>0.17752051055996301</v>
      </c>
    </row>
    <row r="358" spans="1:5" x14ac:dyDescent="0.2">
      <c r="A358">
        <v>2.3734124470815702E-3</v>
      </c>
      <c r="B358">
        <v>8.3205811464505106E-2</v>
      </c>
      <c r="C358">
        <v>6.7299102946723796E-2</v>
      </c>
      <c r="D358">
        <v>0.262566902392182</v>
      </c>
      <c r="E358">
        <v>0.177660425683109</v>
      </c>
    </row>
    <row r="359" spans="1:5" x14ac:dyDescent="0.2">
      <c r="A359">
        <v>2.3800793359778699E-3</v>
      </c>
      <c r="B359">
        <v>8.3400650070196605E-2</v>
      </c>
      <c r="C359">
        <v>6.7463821359711407E-2</v>
      </c>
      <c r="D359">
        <v>0.262696556382152</v>
      </c>
      <c r="E359">
        <v>0.17780031157427401</v>
      </c>
    </row>
    <row r="360" spans="1:5" x14ac:dyDescent="0.2">
      <c r="A360">
        <v>2.38674622487416E-3</v>
      </c>
      <c r="B360">
        <v>8.3595492870669197E-2</v>
      </c>
      <c r="C360">
        <v>6.7628629366983398E-2</v>
      </c>
      <c r="D360">
        <v>0.26282375205436598</v>
      </c>
      <c r="E360">
        <v>0.17794015694788601</v>
      </c>
    </row>
    <row r="361" spans="1:5" x14ac:dyDescent="0.2">
      <c r="A361">
        <v>2.3934131137704601E-3</v>
      </c>
      <c r="B361">
        <v>8.3790336011826699E-2</v>
      </c>
      <c r="C361">
        <v>6.7793511645836704E-2</v>
      </c>
      <c r="D361">
        <v>0.26294853411299601</v>
      </c>
      <c r="E361">
        <v>0.178079950518371</v>
      </c>
    </row>
    <row r="362" spans="1:5" x14ac:dyDescent="0.2">
      <c r="A362">
        <v>2.4000800026667598E-3</v>
      </c>
      <c r="B362">
        <v>8.3985175639573195E-2</v>
      </c>
      <c r="C362">
        <v>6.7958452873568206E-2</v>
      </c>
      <c r="D362">
        <v>0.26307094726221403</v>
      </c>
      <c r="E362">
        <v>0.17821968100015601</v>
      </c>
    </row>
    <row r="363" spans="1:5" x14ac:dyDescent="0.2">
      <c r="A363">
        <v>2.4067468915630499E-3</v>
      </c>
      <c r="B363">
        <v>8.4180007899812698E-2</v>
      </c>
      <c r="C363">
        <v>6.8123437727474798E-2</v>
      </c>
      <c r="D363">
        <v>0.263191036206191</v>
      </c>
      <c r="E363">
        <v>0.17835933710766699</v>
      </c>
    </row>
    <row r="364" spans="1:5" x14ac:dyDescent="0.2">
      <c r="A364">
        <v>2.41341378045935E-3</v>
      </c>
      <c r="B364">
        <v>8.4374828938449303E-2</v>
      </c>
      <c r="C364">
        <v>6.8288450884853399E-2</v>
      </c>
      <c r="D364">
        <v>0.26330884564909901</v>
      </c>
      <c r="E364">
        <v>0.17849890755533299</v>
      </c>
    </row>
    <row r="365" spans="1:5" x14ac:dyDescent="0.2">
      <c r="A365">
        <v>2.4200806693556501E-3</v>
      </c>
      <c r="B365">
        <v>8.4569634901386997E-2</v>
      </c>
      <c r="C365">
        <v>6.84534770230011E-2</v>
      </c>
      <c r="D365">
        <v>0.26342442029511198</v>
      </c>
      <c r="E365">
        <v>0.17863838105757901</v>
      </c>
    </row>
    <row r="366" spans="1:5" x14ac:dyDescent="0.2">
      <c r="A366">
        <v>2.4267475582519398E-3</v>
      </c>
      <c r="B366">
        <v>8.4764421934529793E-2</v>
      </c>
      <c r="C366">
        <v>6.8618500819214598E-2</v>
      </c>
      <c r="D366">
        <v>0.2635378048484</v>
      </c>
      <c r="E366">
        <v>0.178777746328833</v>
      </c>
    </row>
    <row r="367" spans="1:5" x14ac:dyDescent="0.2">
      <c r="A367">
        <v>2.4334144471482399E-3</v>
      </c>
      <c r="B367">
        <v>8.4959186183781704E-2</v>
      </c>
      <c r="C367">
        <v>6.8783506950790899E-2</v>
      </c>
      <c r="D367">
        <v>0.26364904401313499</v>
      </c>
      <c r="E367">
        <v>0.17891699208352099</v>
      </c>
    </row>
    <row r="368" spans="1:5" x14ac:dyDescent="0.2">
      <c r="A368">
        <v>2.4400813360445301E-3</v>
      </c>
      <c r="B368">
        <v>8.5153923795046799E-2</v>
      </c>
      <c r="C368">
        <v>6.8948480095027007E-2</v>
      </c>
      <c r="D368">
        <v>0.26375818249348998</v>
      </c>
      <c r="E368">
        <v>0.17905610703607</v>
      </c>
    </row>
    <row r="369" spans="1:5" x14ac:dyDescent="0.2">
      <c r="A369">
        <v>2.4467482249408302E-3</v>
      </c>
      <c r="B369">
        <v>8.5348630914229104E-2</v>
      </c>
      <c r="C369">
        <v>6.9113404929219704E-2</v>
      </c>
      <c r="D369">
        <v>0.263865264993636</v>
      </c>
      <c r="E369">
        <v>0.17919507990090799</v>
      </c>
    </row>
    <row r="370" spans="1:5" x14ac:dyDescent="0.2">
      <c r="A370">
        <v>2.4534151138371298E-3</v>
      </c>
      <c r="B370">
        <v>8.5543303687232605E-2</v>
      </c>
      <c r="C370">
        <v>6.9278266130666094E-2</v>
      </c>
      <c r="D370">
        <v>0.26397033621774602</v>
      </c>
      <c r="E370">
        <v>0.179333899392461</v>
      </c>
    </row>
    <row r="371" spans="1:5" x14ac:dyDescent="0.2">
      <c r="A371">
        <v>2.46008200273342E-3</v>
      </c>
      <c r="B371">
        <v>8.5737938259961399E-2</v>
      </c>
      <c r="C371">
        <v>6.9443048376662903E-2</v>
      </c>
      <c r="D371">
        <v>0.26407344086999102</v>
      </c>
      <c r="E371">
        <v>0.17947255422515601</v>
      </c>
    </row>
    <row r="372" spans="1:5" x14ac:dyDescent="0.2">
      <c r="A372">
        <v>2.4667488916297201E-3</v>
      </c>
      <c r="B372">
        <v>8.5932530778319499E-2</v>
      </c>
      <c r="C372">
        <v>6.9607736344507204E-2</v>
      </c>
      <c r="D372">
        <v>0.26417462365454297</v>
      </c>
      <c r="E372">
        <v>0.17961103311342</v>
      </c>
    </row>
    <row r="373" spans="1:5" x14ac:dyDescent="0.2">
      <c r="A373">
        <v>2.4734157805260202E-3</v>
      </c>
      <c r="B373">
        <v>8.6127077388210904E-2</v>
      </c>
      <c r="C373">
        <v>6.9772314711495795E-2</v>
      </c>
      <c r="D373">
        <v>0.26427392927557503</v>
      </c>
      <c r="E373">
        <v>0.17974932477167899</v>
      </c>
    </row>
    <row r="374" spans="1:5" x14ac:dyDescent="0.2">
      <c r="A374">
        <v>2.4800826694223099E-3</v>
      </c>
      <c r="B374">
        <v>8.63215742355396E-2</v>
      </c>
      <c r="C374">
        <v>6.9936768154925694E-2</v>
      </c>
      <c r="D374">
        <v>0.26437140243725799</v>
      </c>
      <c r="E374">
        <v>0.179887417914361</v>
      </c>
    </row>
    <row r="375" spans="1:5" x14ac:dyDescent="0.2">
      <c r="A375">
        <v>2.48674955831861E-3</v>
      </c>
      <c r="B375">
        <v>8.6516017466209696E-2</v>
      </c>
      <c r="C375">
        <v>7.0101081352093794E-2</v>
      </c>
      <c r="D375">
        <v>0.26446708784376499</v>
      </c>
      <c r="E375">
        <v>0.180025301255893</v>
      </c>
    </row>
    <row r="376" spans="1:5" x14ac:dyDescent="0.2">
      <c r="A376">
        <v>2.4934164472149101E-3</v>
      </c>
      <c r="B376">
        <v>8.6710403226125193E-2</v>
      </c>
      <c r="C376">
        <v>7.0265238980296907E-2</v>
      </c>
      <c r="D376">
        <v>0.26456103019926602</v>
      </c>
      <c r="E376">
        <v>0.18016296351070199</v>
      </c>
    </row>
    <row r="377" spans="1:5" x14ac:dyDescent="0.2">
      <c r="A377">
        <v>2.5000833361111998E-3</v>
      </c>
      <c r="B377">
        <v>8.6904727661191797E-2</v>
      </c>
      <c r="C377">
        <v>7.0429225716837199E-2</v>
      </c>
      <c r="D377">
        <v>0.264653274207935</v>
      </c>
      <c r="E377">
        <v>0.18030039339321799</v>
      </c>
    </row>
    <row r="378" spans="1:5" x14ac:dyDescent="0.2">
      <c r="A378">
        <v>2.5067502250074999E-3</v>
      </c>
      <c r="B378">
        <v>8.7098987818725396E-2</v>
      </c>
      <c r="C378">
        <v>7.0593028928118001E-2</v>
      </c>
      <c r="D378">
        <v>0.264743864573943</v>
      </c>
      <c r="E378">
        <v>0.180437582316122</v>
      </c>
    </row>
    <row r="379" spans="1:5" x14ac:dyDescent="0.2">
      <c r="A379">
        <v>2.5134171139038E-3</v>
      </c>
      <c r="B379">
        <v>8.7293184218999204E-2</v>
      </c>
      <c r="C379">
        <v>7.0756646341125204E-2</v>
      </c>
      <c r="D379">
        <v>0.26483284600146201</v>
      </c>
      <c r="E379">
        <v>0.18057453208790999</v>
      </c>
    </row>
    <row r="380" spans="1:5" x14ac:dyDescent="0.2">
      <c r="A380">
        <v>2.5200840028000901E-3</v>
      </c>
      <c r="B380">
        <v>8.7487318218566701E-2</v>
      </c>
      <c r="C380">
        <v>7.09200781776501E-2</v>
      </c>
      <c r="D380">
        <v>0.264920263194664</v>
      </c>
      <c r="E380">
        <v>0.180711247020368</v>
      </c>
    </row>
    <row r="381" spans="1:5" x14ac:dyDescent="0.2">
      <c r="A381">
        <v>2.5267508916963898E-3</v>
      </c>
      <c r="B381">
        <v>8.7681391173981396E-2</v>
      </c>
      <c r="C381">
        <v>7.1083324659484096E-2</v>
      </c>
      <c r="D381">
        <v>0.265006160857721</v>
      </c>
      <c r="E381">
        <v>0.18084773142528299</v>
      </c>
    </row>
    <row r="382" spans="1:5" x14ac:dyDescent="0.2">
      <c r="A382">
        <v>2.5334177805926899E-3</v>
      </c>
      <c r="B382">
        <v>8.7875404441797006E-2</v>
      </c>
      <c r="C382">
        <v>7.12463860084184E-2</v>
      </c>
      <c r="D382">
        <v>0.26509058369480598</v>
      </c>
      <c r="E382">
        <v>0.18098398961444101</v>
      </c>
    </row>
    <row r="383" spans="1:5" x14ac:dyDescent="0.2">
      <c r="A383">
        <v>2.5400846694889801E-3</v>
      </c>
      <c r="B383">
        <v>8.8069359378566997E-2</v>
      </c>
      <c r="C383">
        <v>7.1409262446244307E-2</v>
      </c>
      <c r="D383">
        <v>0.26517357641008898</v>
      </c>
      <c r="E383">
        <v>0.181120025899629</v>
      </c>
    </row>
    <row r="384" spans="1:5" x14ac:dyDescent="0.2">
      <c r="A384">
        <v>2.5467515583852802E-3</v>
      </c>
      <c r="B384">
        <v>8.8263257340845003E-2</v>
      </c>
      <c r="C384">
        <v>7.1571954194753096E-2</v>
      </c>
      <c r="D384">
        <v>0.26525518370774298</v>
      </c>
      <c r="E384">
        <v>0.181255844592633</v>
      </c>
    </row>
    <row r="385" spans="1:5" x14ac:dyDescent="0.2">
      <c r="A385">
        <v>2.5534184472815798E-3</v>
      </c>
      <c r="B385">
        <v>8.8457099685184601E-2</v>
      </c>
      <c r="C385">
        <v>7.17344614757362E-2</v>
      </c>
      <c r="D385">
        <v>0.265335450291941</v>
      </c>
      <c r="E385">
        <v>0.18139145000524001</v>
      </c>
    </row>
    <row r="386" spans="1:5" x14ac:dyDescent="0.2">
      <c r="A386">
        <v>2.56008533617787E-3</v>
      </c>
      <c r="B386">
        <v>8.8650887768139203E-2</v>
      </c>
      <c r="C386">
        <v>7.1896784510984801E-2</v>
      </c>
      <c r="D386">
        <v>0.26541442086685302</v>
      </c>
      <c r="E386">
        <v>0.181526846449237</v>
      </c>
    </row>
    <row r="387" spans="1:5" x14ac:dyDescent="0.2">
      <c r="A387">
        <v>2.5667522250741701E-3</v>
      </c>
      <c r="B387">
        <v>8.8844622946262594E-2</v>
      </c>
      <c r="C387">
        <v>7.2058923522290194E-2</v>
      </c>
      <c r="D387">
        <v>0.26549214013665201</v>
      </c>
      <c r="E387">
        <v>0.181662038236409</v>
      </c>
    </row>
    <row r="388" spans="1:5" x14ac:dyDescent="0.2">
      <c r="A388">
        <v>2.5734191139704702E-3</v>
      </c>
      <c r="B388">
        <v>8.90383065761082E-2</v>
      </c>
      <c r="C388">
        <v>7.22208787314437E-2</v>
      </c>
      <c r="D388">
        <v>0.26556865280551001</v>
      </c>
      <c r="E388">
        <v>0.181797029678543</v>
      </c>
    </row>
    <row r="389" spans="1:5" x14ac:dyDescent="0.2">
      <c r="A389">
        <v>2.5800860028667599E-3</v>
      </c>
      <c r="B389">
        <v>8.9231940014229599E-2</v>
      </c>
      <c r="C389">
        <v>7.2382650360236597E-2</v>
      </c>
      <c r="D389">
        <v>0.26564400357759899</v>
      </c>
      <c r="E389">
        <v>0.181931825087427</v>
      </c>
    </row>
    <row r="390" spans="1:5" x14ac:dyDescent="0.2">
      <c r="A390">
        <v>2.58675289176306E-3</v>
      </c>
      <c r="B390">
        <v>8.9425524617180396E-2</v>
      </c>
      <c r="C390">
        <v>7.2544238630460195E-2</v>
      </c>
      <c r="D390">
        <v>0.26571823715708998</v>
      </c>
      <c r="E390">
        <v>0.182066428774846</v>
      </c>
    </row>
    <row r="391" spans="1:5" x14ac:dyDescent="0.2">
      <c r="A391">
        <v>2.5934197806593601E-3</v>
      </c>
      <c r="B391">
        <v>8.9619061741514197E-2</v>
      </c>
      <c r="C391">
        <v>7.27056437639058E-2</v>
      </c>
      <c r="D391">
        <v>0.26579139824815701</v>
      </c>
      <c r="E391">
        <v>0.18220084505258699</v>
      </c>
    </row>
    <row r="392" spans="1:5" x14ac:dyDescent="0.2">
      <c r="A392">
        <v>2.6000866695556498E-3</v>
      </c>
      <c r="B392">
        <v>8.9812552743784496E-2</v>
      </c>
      <c r="C392">
        <v>7.2866865982364804E-2</v>
      </c>
      <c r="D392">
        <v>0.26586353155497</v>
      </c>
      <c r="E392">
        <v>0.182335078232436</v>
      </c>
    </row>
    <row r="393" spans="1:5" x14ac:dyDescent="0.2">
      <c r="A393">
        <v>2.6067535584519499E-3</v>
      </c>
      <c r="B393">
        <v>9.0005998980544899E-2</v>
      </c>
      <c r="C393">
        <v>7.3027905507628305E-2</v>
      </c>
      <c r="D393">
        <v>0.26593468178170099</v>
      </c>
      <c r="E393">
        <v>0.182469132626181</v>
      </c>
    </row>
    <row r="394" spans="1:5" x14ac:dyDescent="0.2">
      <c r="A394">
        <v>2.61342044734825E-3</v>
      </c>
      <c r="B394">
        <v>9.01994018083489E-2</v>
      </c>
      <c r="C394">
        <v>7.3188762561487694E-2</v>
      </c>
      <c r="D394">
        <v>0.266004893632524</v>
      </c>
      <c r="E394">
        <v>0.18260301254560601</v>
      </c>
    </row>
    <row r="395" spans="1:5" x14ac:dyDescent="0.2">
      <c r="A395">
        <v>2.6200873362445401E-3</v>
      </c>
      <c r="B395">
        <v>9.0392762583750202E-2</v>
      </c>
      <c r="C395">
        <v>7.3349437365734294E-2</v>
      </c>
      <c r="D395">
        <v>0.26607421181160901</v>
      </c>
      <c r="E395">
        <v>0.18273672230249999</v>
      </c>
    </row>
    <row r="396" spans="1:5" x14ac:dyDescent="0.2">
      <c r="A396">
        <v>2.6267542251408398E-3</v>
      </c>
      <c r="B396">
        <v>9.0586082663302203E-2</v>
      </c>
      <c r="C396">
        <v>7.3509930142159396E-2</v>
      </c>
      <c r="D396">
        <v>0.26614268102312899</v>
      </c>
      <c r="E396">
        <v>0.18287026620864799</v>
      </c>
    </row>
    <row r="397" spans="1:5" x14ac:dyDescent="0.2">
      <c r="A397">
        <v>2.6334211140371299E-3</v>
      </c>
      <c r="B397">
        <v>9.0779363403558702E-2</v>
      </c>
      <c r="C397">
        <v>7.3670241112554297E-2</v>
      </c>
      <c r="D397">
        <v>0.26621034597125498</v>
      </c>
      <c r="E397">
        <v>0.18300364857583801</v>
      </c>
    </row>
    <row r="398" spans="1:5" x14ac:dyDescent="0.2">
      <c r="A398">
        <v>2.64008800293343E-3</v>
      </c>
      <c r="B398">
        <v>9.0972606161073E-2</v>
      </c>
      <c r="C398">
        <v>7.3830370498710302E-2</v>
      </c>
      <c r="D398">
        <v>0.26627725136016001</v>
      </c>
      <c r="E398">
        <v>0.18313687371585399</v>
      </c>
    </row>
    <row r="399" spans="1:5" x14ac:dyDescent="0.2">
      <c r="A399">
        <v>2.6467548918297302E-3</v>
      </c>
      <c r="B399">
        <v>9.1165812292398896E-2</v>
      </c>
      <c r="C399">
        <v>7.3990318522418705E-2</v>
      </c>
      <c r="D399">
        <v>0.26634344189401599</v>
      </c>
      <c r="E399">
        <v>0.18326994594048501</v>
      </c>
    </row>
    <row r="400" spans="1:5" x14ac:dyDescent="0.2">
      <c r="A400">
        <v>2.6534217807260198E-3</v>
      </c>
      <c r="B400">
        <v>9.1358983154089801E-2</v>
      </c>
      <c r="C400">
        <v>7.4150085405470703E-2</v>
      </c>
      <c r="D400">
        <v>0.26640896227699401</v>
      </c>
      <c r="E400">
        <v>0.183402869561516</v>
      </c>
    </row>
    <row r="401" spans="1:5" x14ac:dyDescent="0.2">
      <c r="A401">
        <v>2.66008866962232E-3</v>
      </c>
      <c r="B401">
        <v>9.1552120102699294E-2</v>
      </c>
      <c r="C401">
        <v>7.4309671369657798E-2</v>
      </c>
      <c r="D401">
        <v>0.266473857213266</v>
      </c>
      <c r="E401">
        <v>0.18353564889073501</v>
      </c>
    </row>
    <row r="402" spans="1:5" x14ac:dyDescent="0.2">
      <c r="A402">
        <v>2.6667555585186201E-3</v>
      </c>
      <c r="B402">
        <v>9.1745224494781105E-2</v>
      </c>
      <c r="C402">
        <v>7.4469076636771103E-2</v>
      </c>
      <c r="D402">
        <v>0.26653817140700498</v>
      </c>
      <c r="E402">
        <v>0.18366828823992701</v>
      </c>
    </row>
    <row r="403" spans="1:5" x14ac:dyDescent="0.2">
      <c r="A403">
        <v>2.6734224474149102E-3</v>
      </c>
      <c r="B403">
        <v>9.1938297686888604E-2</v>
      </c>
      <c r="C403">
        <v>7.4628301428601898E-2</v>
      </c>
      <c r="D403">
        <v>0.26660194956238198</v>
      </c>
      <c r="E403">
        <v>0.183800791920879</v>
      </c>
    </row>
    <row r="404" spans="1:5" x14ac:dyDescent="0.2">
      <c r="A404">
        <v>2.6800893363112099E-3</v>
      </c>
      <c r="B404">
        <v>9.2131341035575506E-2</v>
      </c>
      <c r="C404">
        <v>7.4787345966941698E-2</v>
      </c>
      <c r="D404">
        <v>0.26666523638356998</v>
      </c>
      <c r="E404">
        <v>0.18393316424537701</v>
      </c>
    </row>
    <row r="405" spans="1:5" x14ac:dyDescent="0.2">
      <c r="A405">
        <v>2.68675622520751E-3</v>
      </c>
      <c r="B405">
        <v>9.2324355897395197E-2</v>
      </c>
      <c r="C405">
        <v>7.4946210473581604E-2</v>
      </c>
      <c r="D405">
        <v>0.26672807657474001</v>
      </c>
      <c r="E405">
        <v>0.184065409525209</v>
      </c>
    </row>
    <row r="406" spans="1:5" x14ac:dyDescent="0.2">
      <c r="A406">
        <v>2.6934231141038001E-3</v>
      </c>
      <c r="B406">
        <v>9.2517343628901405E-2</v>
      </c>
      <c r="C406">
        <v>7.5104895170312894E-2</v>
      </c>
      <c r="D406">
        <v>0.266790514840064</v>
      </c>
      <c r="E406">
        <v>0.184197532072161</v>
      </c>
    </row>
    <row r="407" spans="1:5" x14ac:dyDescent="0.2">
      <c r="A407">
        <v>2.7000900030001002E-3</v>
      </c>
      <c r="B407">
        <v>9.2710305586647695E-2</v>
      </c>
      <c r="C407">
        <v>7.5263400278927098E-2</v>
      </c>
      <c r="D407">
        <v>0.26685259588371502</v>
      </c>
      <c r="E407">
        <v>0.18432953619801801</v>
      </c>
    </row>
    <row r="408" spans="1:5" x14ac:dyDescent="0.2">
      <c r="A408">
        <v>2.7067568918963999E-3</v>
      </c>
      <c r="B408">
        <v>9.2903243127187604E-2</v>
      </c>
      <c r="C408">
        <v>7.5421726021215302E-2</v>
      </c>
      <c r="D408">
        <v>0.26691436440986399</v>
      </c>
      <c r="E408">
        <v>0.18446142621456799</v>
      </c>
    </row>
    <row r="409" spans="1:5" x14ac:dyDescent="0.2">
      <c r="A409">
        <v>2.71342378079269E-3</v>
      </c>
      <c r="B409">
        <v>9.3096157607074695E-2</v>
      </c>
      <c r="C409">
        <v>7.5579872618968799E-2</v>
      </c>
      <c r="D409">
        <v>0.26697586512268301</v>
      </c>
      <c r="E409">
        <v>0.184593206433598</v>
      </c>
    </row>
    <row r="410" spans="1:5" x14ac:dyDescent="0.2">
      <c r="A410">
        <v>2.7200906696889901E-3</v>
      </c>
      <c r="B410">
        <v>9.3289050382862407E-2</v>
      </c>
      <c r="C410">
        <v>7.5737840293978995E-2</v>
      </c>
      <c r="D410">
        <v>0.26703714272634399</v>
      </c>
      <c r="E410">
        <v>0.18472488116689301</v>
      </c>
    </row>
    <row r="411" spans="1:5" x14ac:dyDescent="0.2">
      <c r="A411">
        <v>2.7267575585852898E-3</v>
      </c>
      <c r="B411">
        <v>9.3481922811104498E-2</v>
      </c>
      <c r="C411">
        <v>7.5895629268037196E-2</v>
      </c>
      <c r="D411">
        <v>0.26709824192501902</v>
      </c>
      <c r="E411">
        <v>0.18485645472623999</v>
      </c>
    </row>
    <row r="412" spans="1:5" x14ac:dyDescent="0.2">
      <c r="A412">
        <v>2.7334244474815799E-3</v>
      </c>
      <c r="B412">
        <v>9.3674776248354505E-2</v>
      </c>
      <c r="C412">
        <v>7.6053239762934599E-2</v>
      </c>
      <c r="D412">
        <v>0.26715920742288102</v>
      </c>
      <c r="E412">
        <v>0.18498793142342601</v>
      </c>
    </row>
    <row r="413" spans="1:5" x14ac:dyDescent="0.2">
      <c r="A413">
        <v>2.74009133637788E-3</v>
      </c>
      <c r="B413">
        <v>9.3867612051165894E-2</v>
      </c>
      <c r="C413">
        <v>7.6210672000462498E-2</v>
      </c>
      <c r="D413">
        <v>0.26722008392410102</v>
      </c>
      <c r="E413">
        <v>0.185119315570237</v>
      </c>
    </row>
    <row r="414" spans="1:5" x14ac:dyDescent="0.2">
      <c r="A414">
        <v>2.7467582252741801E-3</v>
      </c>
      <c r="B414">
        <v>9.4060431576092396E-2</v>
      </c>
      <c r="C414">
        <v>7.6367926202412298E-2</v>
      </c>
      <c r="D414">
        <v>0.26728091613284999</v>
      </c>
      <c r="E414">
        <v>0.18525061147846</v>
      </c>
    </row>
    <row r="415" spans="1:5" x14ac:dyDescent="0.2">
      <c r="A415">
        <v>2.7534251141704698E-3</v>
      </c>
      <c r="B415">
        <v>9.4253236179687394E-2</v>
      </c>
      <c r="C415">
        <v>7.6525002590575195E-2</v>
      </c>
      <c r="D415">
        <v>0.26734174875330202</v>
      </c>
      <c r="E415">
        <v>0.185381823459881</v>
      </c>
    </row>
    <row r="416" spans="1:5" x14ac:dyDescent="0.2">
      <c r="A416">
        <v>2.7600920030667699E-3</v>
      </c>
      <c r="B416">
        <v>9.4446027218504494E-2</v>
      </c>
      <c r="C416">
        <v>7.6681901386742607E-2</v>
      </c>
      <c r="D416">
        <v>0.26740262648962798</v>
      </c>
      <c r="E416">
        <v>0.18551295582628699</v>
      </c>
    </row>
    <row r="417" spans="1:5" x14ac:dyDescent="0.2">
      <c r="A417">
        <v>2.76675889196307E-3</v>
      </c>
      <c r="B417">
        <v>9.4638806049097399E-2</v>
      </c>
      <c r="C417">
        <v>7.6838622812705704E-2</v>
      </c>
      <c r="D417">
        <v>0.26746359404600001</v>
      </c>
      <c r="E417">
        <v>0.185644012889464</v>
      </c>
    </row>
    <row r="418" spans="1:5" x14ac:dyDescent="0.2">
      <c r="A418">
        <v>2.7734257808593602E-3</v>
      </c>
      <c r="B418">
        <v>9.4831574028019602E-2</v>
      </c>
      <c r="C418">
        <v>7.6995167090255806E-2</v>
      </c>
      <c r="D418">
        <v>0.26752469612658902</v>
      </c>
      <c r="E418">
        <v>0.18577499896119901</v>
      </c>
    </row>
    <row r="419" spans="1:5" x14ac:dyDescent="0.2">
      <c r="A419">
        <v>2.7800926697556599E-3</v>
      </c>
      <c r="B419">
        <v>9.50243325118246E-2</v>
      </c>
      <c r="C419">
        <v>7.7151534441184305E-2</v>
      </c>
      <c r="D419">
        <v>0.267585977435569</v>
      </c>
      <c r="E419">
        <v>0.18590591835327799</v>
      </c>
    </row>
    <row r="420" spans="1:5" x14ac:dyDescent="0.2">
      <c r="A420">
        <v>2.78675955865196E-3</v>
      </c>
      <c r="B420">
        <v>9.5217082857065996E-2</v>
      </c>
      <c r="C420">
        <v>7.73077250872823E-2</v>
      </c>
      <c r="D420">
        <v>0.26764748267711003</v>
      </c>
      <c r="E420">
        <v>0.186036775377488</v>
      </c>
    </row>
    <row r="421" spans="1:5" x14ac:dyDescent="0.2">
      <c r="A421">
        <v>2.7934264475482501E-3</v>
      </c>
      <c r="B421">
        <v>9.5409826420297397E-2</v>
      </c>
      <c r="C421">
        <v>7.7463739250341307E-2</v>
      </c>
      <c r="D421">
        <v>0.26770925655538602</v>
      </c>
      <c r="E421">
        <v>0.18616757434561601</v>
      </c>
    </row>
    <row r="422" spans="1:5" x14ac:dyDescent="0.2">
      <c r="A422">
        <v>2.8000933364445502E-3</v>
      </c>
      <c r="B422">
        <v>9.5602564558072395E-2</v>
      </c>
      <c r="C422">
        <v>7.7619577152152605E-2</v>
      </c>
      <c r="D422">
        <v>0.26777134377456702</v>
      </c>
      <c r="E422">
        <v>0.18629831956944701</v>
      </c>
    </row>
    <row r="423" spans="1:5" x14ac:dyDescent="0.2">
      <c r="A423">
        <v>2.8067602253408499E-3</v>
      </c>
      <c r="B423">
        <v>9.57952986269444E-2</v>
      </c>
      <c r="C423">
        <v>7.7775239014507294E-2</v>
      </c>
      <c r="D423">
        <v>0.26783378903882599</v>
      </c>
      <c r="E423">
        <v>0.186429015360768</v>
      </c>
    </row>
    <row r="424" spans="1:5" x14ac:dyDescent="0.2">
      <c r="A424">
        <v>2.81342711423714E-3</v>
      </c>
      <c r="B424">
        <v>9.5988029983467199E-2</v>
      </c>
      <c r="C424">
        <v>7.7930725059196904E-2</v>
      </c>
      <c r="D424">
        <v>0.26789663705233502</v>
      </c>
      <c r="E424">
        <v>0.18655966603136701</v>
      </c>
    </row>
    <row r="425" spans="1:5" x14ac:dyDescent="0.2">
      <c r="A425">
        <v>2.8200940031334401E-3</v>
      </c>
      <c r="B425">
        <v>9.6180759984194203E-2</v>
      </c>
      <c r="C425">
        <v>7.8086035508012505E-2</v>
      </c>
      <c r="D425">
        <v>0.26795993251926498</v>
      </c>
      <c r="E425">
        <v>0.186690275893029</v>
      </c>
    </row>
    <row r="426" spans="1:5" x14ac:dyDescent="0.2">
      <c r="A426">
        <v>2.8267608920297298E-3</v>
      </c>
      <c r="B426">
        <v>9.6373489985679101E-2</v>
      </c>
      <c r="C426">
        <v>7.8241170582745601E-2</v>
      </c>
      <c r="D426">
        <v>0.268023720143789</v>
      </c>
      <c r="E426">
        <v>0.18682084925754</v>
      </c>
    </row>
    <row r="427" spans="1:5" x14ac:dyDescent="0.2">
      <c r="A427">
        <v>2.8334277809260299E-3</v>
      </c>
      <c r="B427">
        <v>9.6566221344475303E-2</v>
      </c>
      <c r="C427">
        <v>7.83961305051874E-2</v>
      </c>
      <c r="D427">
        <v>0.26808804463007901</v>
      </c>
      <c r="E427">
        <v>0.18695139043668799</v>
      </c>
    </row>
    <row r="428" spans="1:5" x14ac:dyDescent="0.2">
      <c r="A428">
        <v>2.84009466982233E-3</v>
      </c>
      <c r="B428">
        <v>9.67589554171365E-2</v>
      </c>
      <c r="C428">
        <v>7.8550915497129198E-2</v>
      </c>
      <c r="D428">
        <v>0.26815295068230699</v>
      </c>
      <c r="E428">
        <v>0.187081903742259</v>
      </c>
    </row>
    <row r="429" spans="1:5" x14ac:dyDescent="0.2">
      <c r="A429">
        <v>2.8467615587186202E-3</v>
      </c>
      <c r="B429">
        <v>9.6951693560216295E-2</v>
      </c>
      <c r="C429">
        <v>7.8705525780362301E-2</v>
      </c>
      <c r="D429">
        <v>0.26821848300464401</v>
      </c>
      <c r="E429">
        <v>0.18721239348603999</v>
      </c>
    </row>
    <row r="430" spans="1:5" x14ac:dyDescent="0.2">
      <c r="A430">
        <v>2.8534284476149198E-3</v>
      </c>
      <c r="B430">
        <v>9.7144437130268102E-2</v>
      </c>
      <c r="C430">
        <v>7.8859961576678003E-2</v>
      </c>
      <c r="D430">
        <v>0.26828468630126301</v>
      </c>
      <c r="E430">
        <v>0.187342863979816</v>
      </c>
    </row>
    <row r="431" spans="1:5" x14ac:dyDescent="0.2">
      <c r="A431">
        <v>2.8600953365112199E-3</v>
      </c>
      <c r="B431">
        <v>9.7337187483845594E-2</v>
      </c>
      <c r="C431">
        <v>7.9014223107867598E-2</v>
      </c>
      <c r="D431">
        <v>0.268351605276335</v>
      </c>
      <c r="E431">
        <v>0.18747331953537499</v>
      </c>
    </row>
    <row r="432" spans="1:5" x14ac:dyDescent="0.2">
      <c r="A432">
        <v>2.8667622254075101E-3</v>
      </c>
      <c r="B432">
        <v>9.7529945977502294E-2</v>
      </c>
      <c r="C432">
        <v>7.9168310595722394E-2</v>
      </c>
      <c r="D432">
        <v>0.26841928463403297</v>
      </c>
      <c r="E432">
        <v>0.187603764464503</v>
      </c>
    </row>
    <row r="433" spans="1:5" x14ac:dyDescent="0.2">
      <c r="A433">
        <v>2.8734291143038102E-3</v>
      </c>
      <c r="B433">
        <v>9.7722713967791794E-2</v>
      </c>
      <c r="C433">
        <v>7.93222242620336E-2</v>
      </c>
      <c r="D433">
        <v>0.268487769078528</v>
      </c>
      <c r="E433">
        <v>0.187734203078986</v>
      </c>
    </row>
    <row r="434" spans="1:5" x14ac:dyDescent="0.2">
      <c r="A434">
        <v>2.8800960032001098E-3</v>
      </c>
      <c r="B434">
        <v>9.7915492811267699E-2</v>
      </c>
      <c r="C434">
        <v>7.9475964328592705E-2</v>
      </c>
      <c r="D434">
        <v>0.26855710331399302</v>
      </c>
      <c r="E434">
        <v>0.18786463969061201</v>
      </c>
    </row>
    <row r="435" spans="1:5" x14ac:dyDescent="0.2">
      <c r="A435">
        <v>2.8867628920964E-3</v>
      </c>
      <c r="B435">
        <v>9.8108283864483503E-2</v>
      </c>
      <c r="C435">
        <v>7.9629531017190794E-2</v>
      </c>
      <c r="D435">
        <v>0.26862733204459899</v>
      </c>
      <c r="E435">
        <v>0.18799507861116499</v>
      </c>
    </row>
    <row r="436" spans="1:5" x14ac:dyDescent="0.2">
      <c r="A436">
        <v>2.8934297809927001E-3</v>
      </c>
      <c r="B436">
        <v>9.8301088483992799E-2</v>
      </c>
      <c r="C436">
        <v>7.9782924549619397E-2</v>
      </c>
      <c r="D436">
        <v>0.268698499974518</v>
      </c>
      <c r="E436">
        <v>0.188125524152434</v>
      </c>
    </row>
    <row r="437" spans="1:5" x14ac:dyDescent="0.2">
      <c r="A437">
        <v>2.9000966698890002E-3</v>
      </c>
      <c r="B437">
        <v>9.8493908026349206E-2</v>
      </c>
      <c r="C437">
        <v>7.9936145147669599E-2</v>
      </c>
      <c r="D437">
        <v>0.26877065180792298</v>
      </c>
      <c r="E437">
        <v>0.18825598062620499</v>
      </c>
    </row>
    <row r="438" spans="1:5" x14ac:dyDescent="0.2">
      <c r="A438">
        <v>2.9067635587852899E-3</v>
      </c>
      <c r="B438">
        <v>9.8686743848106204E-2</v>
      </c>
      <c r="C438">
        <v>8.0089193033132805E-2</v>
      </c>
      <c r="D438">
        <v>0.268843832248985</v>
      </c>
      <c r="E438">
        <v>0.18838645234426299</v>
      </c>
    </row>
    <row r="439" spans="1:5" x14ac:dyDescent="0.2">
      <c r="A439">
        <v>2.91343044768159E-3</v>
      </c>
      <c r="B439">
        <v>9.8879597305817399E-2</v>
      </c>
      <c r="C439">
        <v>8.0242068427800198E-2</v>
      </c>
      <c r="D439">
        <v>0.268918086001877</v>
      </c>
      <c r="E439">
        <v>0.18851694361839599</v>
      </c>
    </row>
    <row r="440" spans="1:5" x14ac:dyDescent="0.2">
      <c r="A440">
        <v>2.9200973365778901E-3</v>
      </c>
      <c r="B440">
        <v>9.9072469756036396E-2</v>
      </c>
      <c r="C440">
        <v>8.0394771553463307E-2</v>
      </c>
      <c r="D440">
        <v>0.26899345777076999</v>
      </c>
      <c r="E440">
        <v>0.18864745876038999</v>
      </c>
    </row>
    <row r="441" spans="1:5" x14ac:dyDescent="0.2">
      <c r="A441">
        <v>2.9267642254741798E-3</v>
      </c>
      <c r="B441">
        <v>9.9265362555316705E-2</v>
      </c>
      <c r="C441">
        <v>8.0547302631913203E-2</v>
      </c>
      <c r="D441">
        <v>0.26906999225983602</v>
      </c>
      <c r="E441">
        <v>0.18877800208203199</v>
      </c>
    </row>
    <row r="442" spans="1:5" x14ac:dyDescent="0.2">
      <c r="A442">
        <v>2.9334311143704799E-3</v>
      </c>
      <c r="B442">
        <v>9.9458277060211903E-2</v>
      </c>
      <c r="C442">
        <v>8.0699661884941196E-2</v>
      </c>
      <c r="D442">
        <v>0.269147734173247</v>
      </c>
      <c r="E442">
        <v>0.18890857789510801</v>
      </c>
    </row>
    <row r="443" spans="1:5" x14ac:dyDescent="0.2">
      <c r="A443">
        <v>2.94009800326678E-3</v>
      </c>
      <c r="B443">
        <v>9.9651214627275594E-2</v>
      </c>
      <c r="C443">
        <v>8.0851849534338799E-2</v>
      </c>
      <c r="D443">
        <v>0.26922672821517502</v>
      </c>
      <c r="E443">
        <v>0.189039190511404</v>
      </c>
    </row>
    <row r="444" spans="1:5" x14ac:dyDescent="0.2">
      <c r="A444">
        <v>2.9467648921630701E-3</v>
      </c>
      <c r="B444">
        <v>9.98441766130614E-2</v>
      </c>
      <c r="C444">
        <v>8.1003865801897099E-2</v>
      </c>
      <c r="D444">
        <v>0.26930701908979299</v>
      </c>
      <c r="E444">
        <v>0.189169844242708</v>
      </c>
    </row>
    <row r="445" spans="1:5" x14ac:dyDescent="0.2">
      <c r="A445">
        <v>2.9534317810593698E-3</v>
      </c>
      <c r="B445">
        <v>0.10003716437412299</v>
      </c>
      <c r="C445">
        <v>8.1155710909407403E-2</v>
      </c>
      <c r="D445">
        <v>0.269388651501272</v>
      </c>
      <c r="E445">
        <v>0.18930054340080499</v>
      </c>
    </row>
    <row r="446" spans="1:5" x14ac:dyDescent="0.2">
      <c r="A446">
        <v>2.9600986699556699E-3</v>
      </c>
      <c r="B446">
        <v>0.100230179267013</v>
      </c>
      <c r="C446">
        <v>8.1307385078661101E-2</v>
      </c>
      <c r="D446">
        <v>0.26947167015378398</v>
      </c>
      <c r="E446">
        <v>0.18943129229748301</v>
      </c>
    </row>
    <row r="447" spans="1:5" x14ac:dyDescent="0.2">
      <c r="A447">
        <v>2.96676555885196E-3</v>
      </c>
      <c r="B447">
        <v>0.100423222648287</v>
      </c>
      <c r="C447">
        <v>8.1458888531449503E-2</v>
      </c>
      <c r="D447">
        <v>0.26955611975150001</v>
      </c>
      <c r="E447">
        <v>0.189562095244527</v>
      </c>
    </row>
    <row r="448" spans="1:5" x14ac:dyDescent="0.2">
      <c r="A448">
        <v>2.9734324477482602E-3</v>
      </c>
      <c r="B448">
        <v>0.100616295874496</v>
      </c>
      <c r="C448">
        <v>8.1610221489563803E-2</v>
      </c>
      <c r="D448">
        <v>0.26964204499859401</v>
      </c>
      <c r="E448">
        <v>0.18969295655372401</v>
      </c>
    </row>
    <row r="449" spans="1:5" x14ac:dyDescent="0.2">
      <c r="A449">
        <v>2.9800993366445598E-3</v>
      </c>
      <c r="B449">
        <v>0.100809400302196</v>
      </c>
      <c r="C449">
        <v>8.1761384174795407E-2</v>
      </c>
      <c r="D449">
        <v>0.26972949059923701</v>
      </c>
      <c r="E449">
        <v>0.189823880536861</v>
      </c>
    </row>
    <row r="450" spans="1:5" x14ac:dyDescent="0.2">
      <c r="A450">
        <v>2.98676622554085E-3</v>
      </c>
      <c r="B450">
        <v>0.101002537287938</v>
      </c>
      <c r="C450">
        <v>8.1912376808935497E-2</v>
      </c>
      <c r="D450">
        <v>0.26981850125760098</v>
      </c>
      <c r="E450">
        <v>0.18995487150572399</v>
      </c>
    </row>
    <row r="451" spans="1:5" x14ac:dyDescent="0.2">
      <c r="A451">
        <v>2.9934331144371501E-3</v>
      </c>
      <c r="B451">
        <v>0.101195708188278</v>
      </c>
      <c r="C451">
        <v>8.2063199613775395E-2</v>
      </c>
      <c r="D451">
        <v>0.26990912167785802</v>
      </c>
      <c r="E451">
        <v>0.19008593377210001</v>
      </c>
    </row>
    <row r="452" spans="1:5" x14ac:dyDescent="0.2">
      <c r="A452">
        <v>3.0001000033334402E-3</v>
      </c>
      <c r="B452">
        <v>0.101388914359768</v>
      </c>
      <c r="C452">
        <v>8.2213852811106505E-2</v>
      </c>
      <c r="D452">
        <v>0.27000139656414002</v>
      </c>
      <c r="E452">
        <v>0.19021707164777199</v>
      </c>
    </row>
    <row r="453" spans="1:5" x14ac:dyDescent="0.2">
      <c r="A453">
        <v>3.0067668922297399E-3</v>
      </c>
      <c r="B453">
        <v>0.101582156790244</v>
      </c>
      <c r="C453">
        <v>8.2364336622719997E-2</v>
      </c>
      <c r="D453">
        <v>0.27009535847096</v>
      </c>
      <c r="E453">
        <v>0.19034828850430099</v>
      </c>
    </row>
    <row r="454" spans="1:5" x14ac:dyDescent="0.2">
      <c r="A454">
        <v>3.01343378112604E-3</v>
      </c>
      <c r="B454">
        <v>0.10177543505757</v>
      </c>
      <c r="C454">
        <v>8.2514651270407302E-2</v>
      </c>
      <c r="D454">
        <v>0.27019099349223502</v>
      </c>
      <c r="E454">
        <v>0.190479584117801</v>
      </c>
    </row>
    <row r="455" spans="1:5" x14ac:dyDescent="0.2">
      <c r="A455">
        <v>3.0201006700223301E-3</v>
      </c>
      <c r="B455">
        <v>0.101968748402622</v>
      </c>
      <c r="C455">
        <v>8.2664796975959506E-2</v>
      </c>
      <c r="D455">
        <v>0.270288276617899</v>
      </c>
      <c r="E455">
        <v>0.19061095740508199</v>
      </c>
    </row>
    <row r="456" spans="1:5" x14ac:dyDescent="0.2">
      <c r="A456">
        <v>3.0267675589186302E-3</v>
      </c>
      <c r="B456">
        <v>0.102162096066282</v>
      </c>
      <c r="C456">
        <v>8.2814773961168195E-2</v>
      </c>
      <c r="D456">
        <v>0.27038718283788399</v>
      </c>
      <c r="E456">
        <v>0.190742407282954</v>
      </c>
    </row>
    <row r="457" spans="1:5" x14ac:dyDescent="0.2">
      <c r="A457">
        <v>3.0334344478149299E-3</v>
      </c>
      <c r="B457">
        <v>0.102355477289428</v>
      </c>
      <c r="C457">
        <v>8.2964582447824398E-2</v>
      </c>
      <c r="D457">
        <v>0.27048768714212401</v>
      </c>
      <c r="E457">
        <v>0.190873932668227</v>
      </c>
    </row>
    <row r="458" spans="1:5" x14ac:dyDescent="0.2">
      <c r="A458">
        <v>3.04010133671122E-3</v>
      </c>
      <c r="B458">
        <v>0.10254889131294</v>
      </c>
      <c r="C458">
        <v>8.3114222657719602E-2</v>
      </c>
      <c r="D458">
        <v>0.27058976452055</v>
      </c>
      <c r="E458">
        <v>0.19100553247771199</v>
      </c>
    </row>
    <row r="459" spans="1:5" x14ac:dyDescent="0.2">
      <c r="A459">
        <v>3.0467682256075201E-3</v>
      </c>
      <c r="B459">
        <v>0.102742337377697</v>
      </c>
      <c r="C459">
        <v>8.3263694812644895E-2</v>
      </c>
      <c r="D459">
        <v>0.270693389963096</v>
      </c>
      <c r="E459">
        <v>0.19113720562821701</v>
      </c>
    </row>
    <row r="460" spans="1:5" x14ac:dyDescent="0.2">
      <c r="A460">
        <v>3.0534351145038198E-3</v>
      </c>
      <c r="B460">
        <v>0.102935814724578</v>
      </c>
      <c r="C460">
        <v>8.3412999134391805E-2</v>
      </c>
      <c r="D460">
        <v>0.27079853845969498</v>
      </c>
      <c r="E460">
        <v>0.191268951036553</v>
      </c>
    </row>
    <row r="461" spans="1:5" x14ac:dyDescent="0.2">
      <c r="A461">
        <v>3.0601020034001099E-3</v>
      </c>
      <c r="B461">
        <v>0.103129322594463</v>
      </c>
      <c r="C461">
        <v>8.3562135844751598E-2</v>
      </c>
      <c r="D461">
        <v>0.27090518500027899</v>
      </c>
      <c r="E461">
        <v>0.19140076761953101</v>
      </c>
    </row>
    <row r="462" spans="1:5" x14ac:dyDescent="0.2">
      <c r="A462">
        <v>3.06676889229641E-3</v>
      </c>
      <c r="B462">
        <v>0.10332286022823101</v>
      </c>
      <c r="C462">
        <v>8.3711105165515401E-2</v>
      </c>
      <c r="D462">
        <v>0.27101330457478101</v>
      </c>
      <c r="E462">
        <v>0.19153265429395899</v>
      </c>
    </row>
    <row r="463" spans="1:5" x14ac:dyDescent="0.2">
      <c r="A463">
        <v>3.0734357811927101E-3</v>
      </c>
      <c r="B463">
        <v>0.103516426866761</v>
      </c>
      <c r="C463">
        <v>8.3859907318474605E-2</v>
      </c>
      <c r="D463">
        <v>0.27112287217313302</v>
      </c>
      <c r="E463">
        <v>0.191664609976648</v>
      </c>
    </row>
    <row r="464" spans="1:5" x14ac:dyDescent="0.2">
      <c r="A464">
        <v>3.0801026700889998E-3</v>
      </c>
      <c r="B464">
        <v>0.103710021750933</v>
      </c>
      <c r="C464">
        <v>8.4008542525420601E-2</v>
      </c>
      <c r="D464">
        <v>0.27123386278526901</v>
      </c>
      <c r="E464">
        <v>0.19179663358440899</v>
      </c>
    </row>
    <row r="465" spans="1:5" x14ac:dyDescent="0.2">
      <c r="A465">
        <v>3.0867695589852999E-3</v>
      </c>
      <c r="B465">
        <v>0.103903644121626</v>
      </c>
      <c r="C465">
        <v>8.4157011008144503E-2</v>
      </c>
      <c r="D465">
        <v>0.27134625140112101</v>
      </c>
      <c r="E465">
        <v>0.19192872403405001</v>
      </c>
    </row>
    <row r="466" spans="1:5" x14ac:dyDescent="0.2">
      <c r="A466">
        <v>3.0934364478816001E-3</v>
      </c>
      <c r="B466">
        <v>0.104097293219719</v>
      </c>
      <c r="C466">
        <v>8.4305312988437797E-2</v>
      </c>
      <c r="D466">
        <v>0.271460013010622</v>
      </c>
      <c r="E466">
        <v>0.19206088024238199</v>
      </c>
    </row>
    <row r="467" spans="1:5" x14ac:dyDescent="0.2">
      <c r="A467">
        <v>3.1001033367778902E-3</v>
      </c>
      <c r="B467">
        <v>0.104290968286092</v>
      </c>
      <c r="C467">
        <v>8.4453448688091598E-2</v>
      </c>
      <c r="D467">
        <v>0.27157512260370498</v>
      </c>
      <c r="E467">
        <v>0.19219310112621499</v>
      </c>
    </row>
    <row r="468" spans="1:5" x14ac:dyDescent="0.2">
      <c r="A468">
        <v>3.1067702256741899E-3</v>
      </c>
      <c r="B468">
        <v>0.104484668561624</v>
      </c>
      <c r="C468">
        <v>8.4601418328897393E-2</v>
      </c>
      <c r="D468">
        <v>0.27169155517030102</v>
      </c>
      <c r="E468">
        <v>0.19232538560235901</v>
      </c>
    </row>
    <row r="469" spans="1:5" x14ac:dyDescent="0.2">
      <c r="A469">
        <v>3.11343711457049E-3</v>
      </c>
      <c r="B469">
        <v>0.104678393287194</v>
      </c>
      <c r="C469">
        <v>8.4749222132646296E-2</v>
      </c>
      <c r="D469">
        <v>0.27180928570034502</v>
      </c>
      <c r="E469">
        <v>0.192457732587624</v>
      </c>
    </row>
    <row r="470" spans="1:5" x14ac:dyDescent="0.2">
      <c r="A470">
        <v>3.1201040034667801E-3</v>
      </c>
      <c r="B470">
        <v>0.104872141703682</v>
      </c>
      <c r="C470">
        <v>8.4896860321129697E-2</v>
      </c>
      <c r="D470">
        <v>0.27192828918376899</v>
      </c>
      <c r="E470">
        <v>0.19259014099881999</v>
      </c>
    </row>
    <row r="471" spans="1:5" x14ac:dyDescent="0.2">
      <c r="A471">
        <v>3.1267708923630802E-3</v>
      </c>
      <c r="B471">
        <v>0.105065913051967</v>
      </c>
      <c r="C471">
        <v>8.5044333116138904E-2</v>
      </c>
      <c r="D471">
        <v>0.27204854061050499</v>
      </c>
      <c r="E471">
        <v>0.19272260975275701</v>
      </c>
    </row>
    <row r="472" spans="1:5" x14ac:dyDescent="0.2">
      <c r="A472">
        <v>3.1334377812593799E-3</v>
      </c>
      <c r="B472">
        <v>0.10525970657292801</v>
      </c>
      <c r="C472">
        <v>8.5191640739465196E-2</v>
      </c>
      <c r="D472">
        <v>0.27217001497048698</v>
      </c>
      <c r="E472">
        <v>0.19285513776624499</v>
      </c>
    </row>
    <row r="473" spans="1:5" x14ac:dyDescent="0.2">
      <c r="A473">
        <v>3.14010467015567E-3</v>
      </c>
      <c r="B473">
        <v>0.105453521507445</v>
      </c>
      <c r="C473">
        <v>8.5338783412899896E-2</v>
      </c>
      <c r="D473">
        <v>0.27229268725364603</v>
      </c>
      <c r="E473">
        <v>0.19298772395609401</v>
      </c>
    </row>
    <row r="474" spans="1:5" x14ac:dyDescent="0.2">
      <c r="A474">
        <v>3.1467715590519701E-3</v>
      </c>
      <c r="B474">
        <v>0.105647357096396</v>
      </c>
      <c r="C474">
        <v>8.5485761358234297E-2</v>
      </c>
      <c r="D474">
        <v>0.27241653244991698</v>
      </c>
      <c r="E474">
        <v>0.19312036723911299</v>
      </c>
    </row>
    <row r="475" spans="1:5" x14ac:dyDescent="0.2">
      <c r="A475">
        <v>3.1534384479482698E-3</v>
      </c>
      <c r="B475">
        <v>0.10584121258066199</v>
      </c>
      <c r="C475">
        <v>8.5632574797259595E-2</v>
      </c>
      <c r="D475">
        <v>0.272541525549231</v>
      </c>
      <c r="E475">
        <v>0.19325306653211399</v>
      </c>
    </row>
    <row r="476" spans="1:5" x14ac:dyDescent="0.2">
      <c r="A476">
        <v>3.1601053368445599E-3</v>
      </c>
      <c r="B476">
        <v>0.10603508720112199</v>
      </c>
      <c r="C476">
        <v>8.5779223951767195E-2</v>
      </c>
      <c r="D476">
        <v>0.27266764154152101</v>
      </c>
      <c r="E476">
        <v>0.193385820751905</v>
      </c>
    </row>
    <row r="477" spans="1:5" x14ac:dyDescent="0.2">
      <c r="A477">
        <v>3.16677222574086E-3</v>
      </c>
      <c r="B477">
        <v>0.106228980198654</v>
      </c>
      <c r="C477">
        <v>8.5925709043548404E-2</v>
      </c>
      <c r="D477">
        <v>0.27279485541671999</v>
      </c>
      <c r="E477">
        <v>0.19351862881529699</v>
      </c>
    </row>
    <row r="478" spans="1:5" x14ac:dyDescent="0.2">
      <c r="A478">
        <v>3.1734391146371502E-3</v>
      </c>
      <c r="B478">
        <v>0.106422890814139</v>
      </c>
      <c r="C478">
        <v>8.6072030294394503E-2</v>
      </c>
      <c r="D478">
        <v>0.27292314216475999</v>
      </c>
      <c r="E478">
        <v>0.19365148963910001</v>
      </c>
    </row>
    <row r="479" spans="1:5" x14ac:dyDescent="0.2">
      <c r="A479">
        <v>3.1801060035334498E-3</v>
      </c>
      <c r="B479">
        <v>0.106616818288456</v>
      </c>
      <c r="C479">
        <v>8.6218187926096701E-2</v>
      </c>
      <c r="D479">
        <v>0.27305247677557598</v>
      </c>
      <c r="E479">
        <v>0.19378440214012399</v>
      </c>
    </row>
    <row r="480" spans="1:5" x14ac:dyDescent="0.2">
      <c r="A480">
        <v>3.1867728924297499E-3</v>
      </c>
      <c r="B480">
        <v>0.10681076186248301</v>
      </c>
      <c r="C480">
        <v>8.6364182160446404E-2</v>
      </c>
      <c r="D480">
        <v>0.273182834239098</v>
      </c>
      <c r="E480">
        <v>0.193917365235178</v>
      </c>
    </row>
    <row r="481" spans="1:5" x14ac:dyDescent="0.2">
      <c r="A481">
        <v>3.1934397813260401E-3</v>
      </c>
      <c r="B481">
        <v>0.10700472077710101</v>
      </c>
      <c r="C481">
        <v>8.6510013219234794E-2</v>
      </c>
      <c r="D481">
        <v>0.27331418954525999</v>
      </c>
      <c r="E481">
        <v>0.19405037784107301</v>
      </c>
    </row>
    <row r="482" spans="1:5" x14ac:dyDescent="0.2">
      <c r="A482">
        <v>3.2001066702223402E-3</v>
      </c>
      <c r="B482">
        <v>0.107198694273188</v>
      </c>
      <c r="C482">
        <v>8.6655681324253303E-2</v>
      </c>
      <c r="D482">
        <v>0.27344651768399503</v>
      </c>
      <c r="E482">
        <v>0.194183438874619</v>
      </c>
    </row>
    <row r="483" spans="1:5" x14ac:dyDescent="0.2">
      <c r="A483">
        <v>3.2067735591186398E-3</v>
      </c>
      <c r="B483">
        <v>0.107392681591625</v>
      </c>
      <c r="C483">
        <v>8.6801186697293198E-2</v>
      </c>
      <c r="D483">
        <v>0.27357979364523499</v>
      </c>
      <c r="E483">
        <v>0.19431654725262601</v>
      </c>
    </row>
    <row r="484" spans="1:5" x14ac:dyDescent="0.2">
      <c r="A484">
        <v>3.21344044801493E-3</v>
      </c>
      <c r="B484">
        <v>0.10758668197328899</v>
      </c>
      <c r="C484">
        <v>8.6946529560145702E-2</v>
      </c>
      <c r="D484">
        <v>0.27371399241891398</v>
      </c>
      <c r="E484">
        <v>0.194449701891904</v>
      </c>
    </row>
    <row r="485" spans="1:5" x14ac:dyDescent="0.2">
      <c r="A485">
        <v>3.2201073369112301E-3</v>
      </c>
      <c r="B485">
        <v>0.107780694659061</v>
      </c>
      <c r="C485">
        <v>8.7091710134602193E-2</v>
      </c>
      <c r="D485">
        <v>0.27384908899496302</v>
      </c>
      <c r="E485">
        <v>0.19458290170926201</v>
      </c>
    </row>
    <row r="486" spans="1:5" x14ac:dyDescent="0.2">
      <c r="A486">
        <v>3.2267742258075302E-3</v>
      </c>
      <c r="B486">
        <v>0.10797471888982001</v>
      </c>
      <c r="C486">
        <v>8.7236728642453895E-2</v>
      </c>
      <c r="D486">
        <v>0.27398505836331599</v>
      </c>
      <c r="E486">
        <v>0.19471614562151099</v>
      </c>
    </row>
    <row r="487" spans="1:5" x14ac:dyDescent="0.2">
      <c r="A487">
        <v>3.2334411147038199E-3</v>
      </c>
      <c r="B487">
        <v>0.10816875390644499</v>
      </c>
      <c r="C487">
        <v>8.7381585305492102E-2</v>
      </c>
      <c r="D487">
        <v>0.27412187551390499</v>
      </c>
      <c r="E487">
        <v>0.194849432545461</v>
      </c>
    </row>
    <row r="488" spans="1:5" x14ac:dyDescent="0.2">
      <c r="A488">
        <v>3.24010800360012E-3</v>
      </c>
      <c r="B488">
        <v>0.108362798949816</v>
      </c>
      <c r="C488">
        <v>8.7526280345508203E-2</v>
      </c>
      <c r="D488">
        <v>0.27425951543666399</v>
      </c>
      <c r="E488">
        <v>0.19498276139792101</v>
      </c>
    </row>
    <row r="489" spans="1:5" x14ac:dyDescent="0.2">
      <c r="A489">
        <v>3.2467748924964201E-3</v>
      </c>
      <c r="B489">
        <v>0.10855685326081201</v>
      </c>
      <c r="C489">
        <v>8.7670813984293494E-2</v>
      </c>
      <c r="D489">
        <v>0.27439795312152399</v>
      </c>
      <c r="E489">
        <v>0.195116131095703</v>
      </c>
    </row>
    <row r="490" spans="1:5" x14ac:dyDescent="0.2">
      <c r="A490">
        <v>3.2534417813927098E-3</v>
      </c>
      <c r="B490">
        <v>0.108750916080312</v>
      </c>
      <c r="C490">
        <v>8.7815186443639101E-2</v>
      </c>
      <c r="D490">
        <v>0.27453716355841901</v>
      </c>
      <c r="E490">
        <v>0.195249540555615</v>
      </c>
    </row>
    <row r="491" spans="1:5" x14ac:dyDescent="0.2">
      <c r="A491">
        <v>3.2601086702890099E-3</v>
      </c>
      <c r="B491">
        <v>0.108944986649196</v>
      </c>
      <c r="C491">
        <v>8.7959397945336595E-2</v>
      </c>
      <c r="D491">
        <v>0.27467712173728098</v>
      </c>
      <c r="E491">
        <v>0.19538298869446699</v>
      </c>
    </row>
    <row r="492" spans="1:5" x14ac:dyDescent="0.2">
      <c r="A492">
        <v>3.26677555918531E-3</v>
      </c>
      <c r="B492">
        <v>0.109139064208342</v>
      </c>
      <c r="C492">
        <v>8.8103448711176993E-2</v>
      </c>
      <c r="D492">
        <v>0.27481780264804301</v>
      </c>
      <c r="E492">
        <v>0.19551647442907</v>
      </c>
    </row>
    <row r="493" spans="1:5" x14ac:dyDescent="0.2">
      <c r="A493">
        <v>3.2734424480816001E-3</v>
      </c>
      <c r="B493">
        <v>0.109333147998631</v>
      </c>
      <c r="C493">
        <v>8.8247338962951796E-2</v>
      </c>
      <c r="D493">
        <v>0.27495918128063701</v>
      </c>
      <c r="E493">
        <v>0.19564999667623401</v>
      </c>
    </row>
    <row r="494" spans="1:5" x14ac:dyDescent="0.2">
      <c r="A494">
        <v>3.2801093369778998E-3</v>
      </c>
      <c r="B494">
        <v>0.109527237260941</v>
      </c>
      <c r="C494">
        <v>8.8391068922452104E-2</v>
      </c>
      <c r="D494">
        <v>0.27510123262499803</v>
      </c>
      <c r="E494">
        <v>0.19578355435276901</v>
      </c>
    </row>
    <row r="495" spans="1:5" x14ac:dyDescent="0.2">
      <c r="A495">
        <v>3.2867762258741999E-3</v>
      </c>
      <c r="B495">
        <v>0.10972133123615301</v>
      </c>
      <c r="C495">
        <v>8.8534638811469502E-2</v>
      </c>
      <c r="D495">
        <v>0.27524393167105599</v>
      </c>
      <c r="E495">
        <v>0.19591714637548399</v>
      </c>
    </row>
    <row r="496" spans="1:5" x14ac:dyDescent="0.2">
      <c r="A496">
        <v>3.2934431147704901E-3</v>
      </c>
      <c r="B496">
        <v>0.109915429165144</v>
      </c>
      <c r="C496">
        <v>8.8678048851795005E-2</v>
      </c>
      <c r="D496">
        <v>0.27538725340874598</v>
      </c>
      <c r="E496">
        <v>0.19605077166119</v>
      </c>
    </row>
    <row r="497" spans="1:5" x14ac:dyDescent="0.2">
      <c r="A497">
        <v>3.3001100036667902E-3</v>
      </c>
      <c r="B497">
        <v>0.110109530288795</v>
      </c>
      <c r="C497">
        <v>8.8821299265220005E-2</v>
      </c>
      <c r="D497">
        <v>0.27553117282799899</v>
      </c>
      <c r="E497">
        <v>0.19618442912669601</v>
      </c>
    </row>
    <row r="498" spans="1:5" x14ac:dyDescent="0.2">
      <c r="A498">
        <v>3.3067768925630898E-3</v>
      </c>
      <c r="B498">
        <v>0.110303633847985</v>
      </c>
      <c r="C498">
        <v>8.8964390273535907E-2</v>
      </c>
      <c r="D498">
        <v>0.27567566491874801</v>
      </c>
      <c r="E498">
        <v>0.19631811768881299</v>
      </c>
    </row>
    <row r="499" spans="1:5" x14ac:dyDescent="0.2">
      <c r="A499">
        <v>3.31344378145938E-3</v>
      </c>
      <c r="B499">
        <v>0.11049773908359301</v>
      </c>
      <c r="C499">
        <v>8.9107322098533906E-2</v>
      </c>
      <c r="D499">
        <v>0.27582070467092701</v>
      </c>
      <c r="E499">
        <v>0.196451836264351</v>
      </c>
    </row>
    <row r="500" spans="1:5" x14ac:dyDescent="0.2">
      <c r="A500">
        <v>3.3201106703556801E-3</v>
      </c>
      <c r="B500">
        <v>0.110691845236499</v>
      </c>
      <c r="C500">
        <v>8.9250094962005297E-2</v>
      </c>
      <c r="D500">
        <v>0.27596626707446797</v>
      </c>
      <c r="E500">
        <v>0.196585583770119</v>
      </c>
    </row>
    <row r="501" spans="1:5" x14ac:dyDescent="0.2">
      <c r="A501">
        <v>3.3267775592519802E-3</v>
      </c>
      <c r="B501">
        <v>0.110885951547581</v>
      </c>
      <c r="C501">
        <v>8.9392709085741401E-2</v>
      </c>
      <c r="D501">
        <v>0.276112327119303</v>
      </c>
      <c r="E501">
        <v>0.19671935912292701</v>
      </c>
    </row>
    <row r="502" spans="1:5" x14ac:dyDescent="0.2">
      <c r="A502">
        <v>3.3334444481482699E-3</v>
      </c>
      <c r="B502">
        <v>0.11108005725771999</v>
      </c>
      <c r="C502">
        <v>8.9535164691533498E-2</v>
      </c>
      <c r="D502">
        <v>0.27625885979536602</v>
      </c>
      <c r="E502">
        <v>0.19685316123958699</v>
      </c>
    </row>
    <row r="503" spans="1:5" x14ac:dyDescent="0.2">
      <c r="A503">
        <v>3.34011133704457E-3</v>
      </c>
      <c r="B503">
        <v>0.11127416160779401</v>
      </c>
      <c r="C503">
        <v>8.9677462001172895E-2</v>
      </c>
      <c r="D503">
        <v>0.27640584009258901</v>
      </c>
      <c r="E503">
        <v>0.19698698903690601</v>
      </c>
    </row>
    <row r="504" spans="1:5" x14ac:dyDescent="0.2">
      <c r="A504">
        <v>3.3467782259408601E-3</v>
      </c>
      <c r="B504">
        <v>0.111468263838683</v>
      </c>
      <c r="C504">
        <v>8.9819601236450899E-2</v>
      </c>
      <c r="D504">
        <v>0.276553243000905</v>
      </c>
      <c r="E504">
        <v>0.197120841431697</v>
      </c>
    </row>
    <row r="505" spans="1:5" x14ac:dyDescent="0.2">
      <c r="A505">
        <v>3.3534451148371598E-3</v>
      </c>
      <c r="B505">
        <v>0.111662363191267</v>
      </c>
      <c r="C505">
        <v>8.9961582619158806E-2</v>
      </c>
      <c r="D505">
        <v>0.27670104351024599</v>
      </c>
      <c r="E505">
        <v>0.19725471734076799</v>
      </c>
    </row>
    <row r="506" spans="1:5" x14ac:dyDescent="0.2">
      <c r="A506">
        <v>3.3601120037334599E-3</v>
      </c>
      <c r="B506">
        <v>0.111856458906424</v>
      </c>
      <c r="C506">
        <v>9.0103406371087796E-2</v>
      </c>
      <c r="D506">
        <v>0.27684921661054601</v>
      </c>
      <c r="E506">
        <v>0.197388615680929</v>
      </c>
    </row>
    <row r="507" spans="1:5" x14ac:dyDescent="0.2">
      <c r="A507">
        <v>3.36677889262975E-3</v>
      </c>
      <c r="B507">
        <v>0.112050550225033</v>
      </c>
      <c r="C507">
        <v>9.0245072714029401E-2</v>
      </c>
      <c r="D507">
        <v>0.27699773729173699</v>
      </c>
      <c r="E507">
        <v>0.197522535368991</v>
      </c>
    </row>
    <row r="508" spans="1:5" x14ac:dyDescent="0.2">
      <c r="A508">
        <v>3.3734457815260501E-3</v>
      </c>
      <c r="B508">
        <v>0.11224463638797499</v>
      </c>
      <c r="C508">
        <v>9.0386581869774801E-2</v>
      </c>
      <c r="D508">
        <v>0.27714658054375102</v>
      </c>
      <c r="E508">
        <v>0.197656475321763</v>
      </c>
    </row>
    <row r="509" spans="1:5" x14ac:dyDescent="0.2">
      <c r="A509">
        <v>3.3801126704223498E-3</v>
      </c>
      <c r="B509">
        <v>0.112438716636129</v>
      </c>
      <c r="C509">
        <v>9.0527934060115195E-2</v>
      </c>
      <c r="D509">
        <v>0.27729572135652197</v>
      </c>
      <c r="E509">
        <v>0.19779043445605601</v>
      </c>
    </row>
    <row r="510" spans="1:5" x14ac:dyDescent="0.2">
      <c r="A510">
        <v>3.3867795593186399E-3</v>
      </c>
      <c r="B510">
        <v>0.11263279021037299</v>
      </c>
      <c r="C510">
        <v>9.0669129506842097E-2</v>
      </c>
      <c r="D510">
        <v>0.277445134719983</v>
      </c>
      <c r="E510">
        <v>0.197924411688679</v>
      </c>
    </row>
    <row r="511" spans="1:5" x14ac:dyDescent="0.2">
      <c r="A511">
        <v>3.39344644821494E-3</v>
      </c>
      <c r="B511">
        <v>0.112826856351587</v>
      </c>
      <c r="C511">
        <v>9.0810168431746593E-2</v>
      </c>
      <c r="D511">
        <v>0.27759479562406503</v>
      </c>
      <c r="E511">
        <v>0.198058405936443</v>
      </c>
    </row>
    <row r="512" spans="1:5" x14ac:dyDescent="0.2">
      <c r="A512">
        <v>3.4001133371112401E-3</v>
      </c>
      <c r="B512">
        <v>0.113020914300651</v>
      </c>
      <c r="C512">
        <v>9.0951051056620005E-2</v>
      </c>
      <c r="D512">
        <v>0.27774467905870198</v>
      </c>
      <c r="E512">
        <v>0.19819241611615701</v>
      </c>
    </row>
    <row r="513" spans="1:5" x14ac:dyDescent="0.2">
      <c r="A513">
        <v>3.4067802260075298E-3</v>
      </c>
      <c r="B513">
        <v>0.11321496329844399</v>
      </c>
      <c r="C513">
        <v>9.1091777603253807E-2</v>
      </c>
      <c r="D513">
        <v>0.27789476001382701</v>
      </c>
      <c r="E513">
        <v>0.19832644114463099</v>
      </c>
    </row>
    <row r="514" spans="1:5" x14ac:dyDescent="0.2">
      <c r="A514">
        <v>3.4134471149038299E-3</v>
      </c>
      <c r="B514">
        <v>0.11340900258584501</v>
      </c>
      <c r="C514">
        <v>9.1232348293439194E-2</v>
      </c>
      <c r="D514">
        <v>0.27804501347937199</v>
      </c>
      <c r="E514">
        <v>0.19846047993867599</v>
      </c>
    </row>
    <row r="515" spans="1:5" x14ac:dyDescent="0.2">
      <c r="A515">
        <v>3.4201140038001301E-3</v>
      </c>
      <c r="B515">
        <v>0.113603031403733</v>
      </c>
      <c r="C515">
        <v>9.1372763348967406E-2</v>
      </c>
      <c r="D515">
        <v>0.27819541444527002</v>
      </c>
      <c r="E515">
        <v>0.198594531415102</v>
      </c>
    </row>
    <row r="516" spans="1:5" x14ac:dyDescent="0.2">
      <c r="A516">
        <v>3.4267808926964202E-3</v>
      </c>
      <c r="B516">
        <v>0.11379704899298899</v>
      </c>
      <c r="C516">
        <v>9.1513022991629694E-2</v>
      </c>
      <c r="D516">
        <v>0.27834593790145301</v>
      </c>
      <c r="E516">
        <v>0.198728594490718</v>
      </c>
    </row>
    <row r="517" spans="1:5" x14ac:dyDescent="0.2">
      <c r="A517">
        <v>3.4334477815927199E-3</v>
      </c>
      <c r="B517">
        <v>0.11399105459448999</v>
      </c>
      <c r="C517">
        <v>9.1653127443217505E-2</v>
      </c>
      <c r="D517">
        <v>0.27849655883785501</v>
      </c>
      <c r="E517">
        <v>0.19886266808233399</v>
      </c>
    </row>
    <row r="518" spans="1:5" x14ac:dyDescent="0.2">
      <c r="A518">
        <v>3.44011467048902E-3</v>
      </c>
      <c r="B518">
        <v>0.11418504744911701</v>
      </c>
      <c r="C518">
        <v>9.1793076925522105E-2</v>
      </c>
      <c r="D518">
        <v>0.27864725224440801</v>
      </c>
      <c r="E518">
        <v>0.19899675110675999</v>
      </c>
    </row>
    <row r="519" spans="1:5" x14ac:dyDescent="0.2">
      <c r="A519">
        <v>3.4467815593853101E-3</v>
      </c>
      <c r="B519">
        <v>0.114379026797749</v>
      </c>
      <c r="C519">
        <v>9.19328716603348E-2</v>
      </c>
      <c r="D519">
        <v>0.27879799311104603</v>
      </c>
      <c r="E519">
        <v>0.19913084248080701</v>
      </c>
    </row>
    <row r="520" spans="1:5" x14ac:dyDescent="0.2">
      <c r="A520">
        <v>3.4534484482816102E-3</v>
      </c>
      <c r="B520">
        <v>0.11457299188126401</v>
      </c>
      <c r="C520">
        <v>9.2072511869446802E-2</v>
      </c>
      <c r="D520">
        <v>0.27894875642769901</v>
      </c>
      <c r="E520">
        <v>0.19926494112128401</v>
      </c>
    </row>
    <row r="521" spans="1:5" x14ac:dyDescent="0.2">
      <c r="A521">
        <v>3.4601153371779099E-3</v>
      </c>
      <c r="B521">
        <v>0.114766941940544</v>
      </c>
      <c r="C521">
        <v>9.2211997774649404E-2</v>
      </c>
      <c r="D521">
        <v>0.27909951718430198</v>
      </c>
      <c r="E521">
        <v>0.19939904594500199</v>
      </c>
    </row>
    <row r="522" spans="1:5" x14ac:dyDescent="0.2">
      <c r="A522">
        <v>3.4667822260742E-3</v>
      </c>
      <c r="B522">
        <v>0.114960876216466</v>
      </c>
      <c r="C522">
        <v>9.2351329597734094E-2</v>
      </c>
      <c r="D522">
        <v>0.27925025037078799</v>
      </c>
      <c r="E522">
        <v>0.19953315586876999</v>
      </c>
    </row>
    <row r="523" spans="1:5" x14ac:dyDescent="0.2">
      <c r="A523">
        <v>3.4734491149705001E-3</v>
      </c>
      <c r="B523">
        <v>0.11515479394991</v>
      </c>
      <c r="C523">
        <v>9.2490507560491902E-2</v>
      </c>
      <c r="D523">
        <v>0.27940093097708801</v>
      </c>
      <c r="E523">
        <v>0.199667269809398</v>
      </c>
    </row>
    <row r="524" spans="1:5" x14ac:dyDescent="0.2">
      <c r="A524">
        <v>3.4801160038667998E-3</v>
      </c>
      <c r="B524">
        <v>0.115348694381756</v>
      </c>
      <c r="C524">
        <v>9.2629531884714303E-2</v>
      </c>
      <c r="D524">
        <v>0.27955153399313598</v>
      </c>
      <c r="E524">
        <v>0.19980138668369599</v>
      </c>
    </row>
    <row r="525" spans="1:5" x14ac:dyDescent="0.2">
      <c r="A525">
        <v>3.4867828927630899E-3</v>
      </c>
      <c r="B525">
        <v>0.115542576752883</v>
      </c>
      <c r="C525">
        <v>9.2768402792192603E-2</v>
      </c>
      <c r="D525">
        <v>0.27970203440886399</v>
      </c>
      <c r="E525">
        <v>0.19993550540847499</v>
      </c>
    </row>
    <row r="526" spans="1:5" x14ac:dyDescent="0.2">
      <c r="A526">
        <v>3.49344978165939E-3</v>
      </c>
      <c r="B526">
        <v>0.11573644030416901</v>
      </c>
      <c r="C526">
        <v>9.2907120504717902E-2</v>
      </c>
      <c r="D526">
        <v>0.27985240721420501</v>
      </c>
      <c r="E526">
        <v>0.200069624900544</v>
      </c>
    </row>
    <row r="527" spans="1:5" x14ac:dyDescent="0.2">
      <c r="A527">
        <v>3.5001166705556901E-3</v>
      </c>
      <c r="B527">
        <v>0.115930284276495</v>
      </c>
      <c r="C527">
        <v>9.3045685244081702E-2</v>
      </c>
      <c r="D527">
        <v>0.28000262739911402</v>
      </c>
      <c r="E527">
        <v>0.20020374407671401</v>
      </c>
    </row>
    <row r="528" spans="1:5" x14ac:dyDescent="0.2">
      <c r="A528">
        <v>3.5067835594519798E-3</v>
      </c>
      <c r="B528">
        <v>0.11612410791074</v>
      </c>
      <c r="C528">
        <v>9.3184097232075297E-2</v>
      </c>
      <c r="D528">
        <v>0.28015267436868402</v>
      </c>
      <c r="E528">
        <v>0.20033786193255601</v>
      </c>
    </row>
    <row r="529" spans="1:5" x14ac:dyDescent="0.2">
      <c r="A529">
        <v>3.5134504483482799E-3</v>
      </c>
      <c r="B529">
        <v>0.116317910447783</v>
      </c>
      <c r="C529">
        <v>9.3322356690489897E-2</v>
      </c>
      <c r="D529">
        <v>0.28030254428561102</v>
      </c>
      <c r="E529">
        <v>0.200471977762579</v>
      </c>
    </row>
    <row r="530" spans="1:5" x14ac:dyDescent="0.2">
      <c r="A530">
        <v>3.52011733724458E-3</v>
      </c>
      <c r="B530">
        <v>0.116511691128504</v>
      </c>
      <c r="C530">
        <v>9.3460463841116795E-2</v>
      </c>
      <c r="D530">
        <v>0.28045223728768698</v>
      </c>
      <c r="E530">
        <v>0.200606090932202</v>
      </c>
    </row>
    <row r="531" spans="1:5" x14ac:dyDescent="0.2">
      <c r="A531">
        <v>3.5267842261408702E-3</v>
      </c>
      <c r="B531">
        <v>0.11670544919378099</v>
      </c>
      <c r="C531">
        <v>9.3598418905747299E-2</v>
      </c>
      <c r="D531">
        <v>0.280601753512702</v>
      </c>
      <c r="E531">
        <v>0.20074020080684701</v>
      </c>
    </row>
    <row r="532" spans="1:5" x14ac:dyDescent="0.2">
      <c r="A532">
        <v>3.5334511150371698E-3</v>
      </c>
      <c r="B532">
        <v>0.116899183884494</v>
      </c>
      <c r="C532">
        <v>9.3736222106172801E-2</v>
      </c>
      <c r="D532">
        <v>0.28075109309844798</v>
      </c>
      <c r="E532">
        <v>0.20087430675193199</v>
      </c>
    </row>
    <row r="533" spans="1:5" x14ac:dyDescent="0.2">
      <c r="A533">
        <v>3.54011800393346E-3</v>
      </c>
      <c r="B533">
        <v>0.117092894441523</v>
      </c>
      <c r="C533">
        <v>9.3873873664184496E-2</v>
      </c>
      <c r="D533">
        <v>0.28090025618271702</v>
      </c>
      <c r="E533">
        <v>0.20100840813287901</v>
      </c>
    </row>
    <row r="534" spans="1:5" x14ac:dyDescent="0.2">
      <c r="A534">
        <v>3.5467848928297601E-3</v>
      </c>
      <c r="B534">
        <v>0.117286580105747</v>
      </c>
      <c r="C534">
        <v>9.4011373801573594E-2</v>
      </c>
      <c r="D534">
        <v>0.28104924290329802</v>
      </c>
      <c r="E534">
        <v>0.201142504315106</v>
      </c>
    </row>
    <row r="535" spans="1:5" x14ac:dyDescent="0.2">
      <c r="A535">
        <v>3.5534517817260602E-3</v>
      </c>
      <c r="B535">
        <v>0.117480240118044</v>
      </c>
      <c r="C535">
        <v>9.4148722740131599E-2</v>
      </c>
      <c r="D535">
        <v>0.28119805339798498</v>
      </c>
      <c r="E535">
        <v>0.201276594664034</v>
      </c>
    </row>
    <row r="536" spans="1:5" x14ac:dyDescent="0.2">
      <c r="A536">
        <v>3.5601186706223499E-3</v>
      </c>
      <c r="B536">
        <v>0.117673873719295</v>
      </c>
      <c r="C536">
        <v>9.4285920701649803E-2</v>
      </c>
      <c r="D536">
        <v>0.28134668780456701</v>
      </c>
      <c r="E536">
        <v>0.20141067854508199</v>
      </c>
    </row>
    <row r="537" spans="1:5" x14ac:dyDescent="0.2">
      <c r="A537">
        <v>3.56678555951865E-3</v>
      </c>
      <c r="B537">
        <v>0.117867480150379</v>
      </c>
      <c r="C537">
        <v>9.4422967907919306E-2</v>
      </c>
      <c r="D537">
        <v>0.28149514626083599</v>
      </c>
      <c r="E537">
        <v>0.201544755323672</v>
      </c>
    </row>
    <row r="538" spans="1:5" x14ac:dyDescent="0.2">
      <c r="A538">
        <v>3.5734524484149501E-3</v>
      </c>
      <c r="B538">
        <v>0.118061058652175</v>
      </c>
      <c r="C538">
        <v>9.4559864580731498E-2</v>
      </c>
      <c r="D538">
        <v>0.28164342890458299</v>
      </c>
      <c r="E538">
        <v>0.201678824365222</v>
      </c>
    </row>
    <row r="539" spans="1:5" x14ac:dyDescent="0.2">
      <c r="A539">
        <v>3.5801193373112398E-3</v>
      </c>
      <c r="B539">
        <v>0.118254608465562</v>
      </c>
      <c r="C539">
        <v>9.4696610941877798E-2</v>
      </c>
      <c r="D539">
        <v>0.28179153587360001</v>
      </c>
      <c r="E539">
        <v>0.20181288503515299</v>
      </c>
    </row>
    <row r="540" spans="1:5" x14ac:dyDescent="0.2">
      <c r="A540">
        <v>3.5867862262075399E-3</v>
      </c>
      <c r="B540">
        <v>0.11844812883142</v>
      </c>
      <c r="C540">
        <v>9.4833207213149306E-2</v>
      </c>
      <c r="D540">
        <v>0.28193946730567698</v>
      </c>
      <c r="E540">
        <v>0.201946936698884</v>
      </c>
    </row>
    <row r="541" spans="1:5" x14ac:dyDescent="0.2">
      <c r="A541">
        <v>3.59345311510384E-3</v>
      </c>
      <c r="B541">
        <v>0.118641618990629</v>
      </c>
      <c r="C541">
        <v>9.4969653616337399E-2</v>
      </c>
      <c r="D541">
        <v>0.28208722333860597</v>
      </c>
      <c r="E541">
        <v>0.202080978721836</v>
      </c>
    </row>
    <row r="542" spans="1:5" x14ac:dyDescent="0.2">
      <c r="A542">
        <v>3.6001200040001301E-3</v>
      </c>
      <c r="B542">
        <v>0.118835078184066</v>
      </c>
      <c r="C542">
        <v>9.5105950373233494E-2</v>
      </c>
      <c r="D542">
        <v>0.28223480411017898</v>
      </c>
      <c r="E542">
        <v>0.202215010469429</v>
      </c>
    </row>
    <row r="543" spans="1:5" x14ac:dyDescent="0.2">
      <c r="A543">
        <v>3.6067868928964298E-3</v>
      </c>
      <c r="B543">
        <v>0.119028505652612</v>
      </c>
      <c r="C543">
        <v>9.5242097705628706E-2</v>
      </c>
      <c r="D543">
        <v>0.28238220975818501</v>
      </c>
      <c r="E543">
        <v>0.20234903130708201</v>
      </c>
    </row>
    <row r="544" spans="1:5" x14ac:dyDescent="0.2">
      <c r="A544">
        <v>3.6134537817927299E-3</v>
      </c>
      <c r="B544">
        <v>0.11922190063714699</v>
      </c>
      <c r="C544">
        <v>9.5378095835314397E-2</v>
      </c>
      <c r="D544">
        <v>0.282529440420417</v>
      </c>
      <c r="E544">
        <v>0.20248304060021599</v>
      </c>
    </row>
    <row r="545" spans="1:5" x14ac:dyDescent="0.2">
      <c r="A545">
        <v>3.6201206706890201E-3</v>
      </c>
      <c r="B545">
        <v>0.11941526237854801</v>
      </c>
      <c r="C545">
        <v>9.5513944984081903E-2</v>
      </c>
      <c r="D545">
        <v>0.28267649623466601</v>
      </c>
      <c r="E545">
        <v>0.20261703771425099</v>
      </c>
    </row>
    <row r="546" spans="1:5" x14ac:dyDescent="0.2">
      <c r="A546">
        <v>3.6267875595853202E-3</v>
      </c>
      <c r="B546">
        <v>0.11960859011769701</v>
      </c>
      <c r="C546">
        <v>9.5649645373722503E-2</v>
      </c>
      <c r="D546">
        <v>0.28282337733872298</v>
      </c>
      <c r="E546">
        <v>0.20275102201460601</v>
      </c>
    </row>
    <row r="547" spans="1:5" x14ac:dyDescent="0.2">
      <c r="A547">
        <v>3.6334544484816198E-3</v>
      </c>
      <c r="B547">
        <v>0.119801883095471</v>
      </c>
      <c r="C547">
        <v>9.5785197226027505E-2</v>
      </c>
      <c r="D547">
        <v>0.28297008387037897</v>
      </c>
      <c r="E547">
        <v>0.202884992866701</v>
      </c>
    </row>
    <row r="548" spans="1:5" x14ac:dyDescent="0.2">
      <c r="A548">
        <v>3.64012133737791E-3</v>
      </c>
      <c r="B548">
        <v>0.119995140552751</v>
      </c>
      <c r="C548">
        <v>9.5920600762788105E-2</v>
      </c>
      <c r="D548">
        <v>0.28311661596742499</v>
      </c>
      <c r="E548">
        <v>0.20301894963595801</v>
      </c>
    </row>
    <row r="549" spans="1:5" x14ac:dyDescent="0.2">
      <c r="A549">
        <v>3.6467882262742101E-3</v>
      </c>
      <c r="B549">
        <v>0.120188361730416</v>
      </c>
      <c r="C549">
        <v>9.6055856205795806E-2</v>
      </c>
      <c r="D549">
        <v>0.28326297376765303</v>
      </c>
      <c r="E549">
        <v>0.20315289168779399</v>
      </c>
    </row>
    <row r="550" spans="1:5" x14ac:dyDescent="0.2">
      <c r="A550">
        <v>3.6534551151705102E-3</v>
      </c>
      <c r="B550">
        <v>0.12038154586934501</v>
      </c>
      <c r="C550">
        <v>9.6190963776841706E-2</v>
      </c>
      <c r="D550">
        <v>0.28340915740885397</v>
      </c>
      <c r="E550">
        <v>0.20328681838763099</v>
      </c>
    </row>
    <row r="551" spans="1:5" x14ac:dyDescent="0.2">
      <c r="A551">
        <v>3.6601220040667999E-3</v>
      </c>
      <c r="B551">
        <v>0.120574692210417</v>
      </c>
      <c r="C551">
        <v>9.63259236977171E-2</v>
      </c>
      <c r="D551">
        <v>0.283555167028819</v>
      </c>
      <c r="E551">
        <v>0.20342072910088899</v>
      </c>
    </row>
    <row r="552" spans="1:5" x14ac:dyDescent="0.2">
      <c r="A552">
        <v>3.6667888929631E-3</v>
      </c>
      <c r="B552">
        <v>0.120767799994511</v>
      </c>
      <c r="C552">
        <v>9.6460736190213503E-2</v>
      </c>
      <c r="D552">
        <v>0.28370100276533899</v>
      </c>
      <c r="E552">
        <v>0.20355462319298701</v>
      </c>
    </row>
    <row r="553" spans="1:5" x14ac:dyDescent="0.2">
      <c r="A553">
        <v>3.6734557818594001E-3</v>
      </c>
      <c r="B553">
        <v>0.120960868462508</v>
      </c>
      <c r="C553">
        <v>9.6595401476122E-2</v>
      </c>
      <c r="D553">
        <v>0.28384666475620501</v>
      </c>
      <c r="E553">
        <v>0.20368850002934499</v>
      </c>
    </row>
    <row r="554" spans="1:5" x14ac:dyDescent="0.2">
      <c r="A554">
        <v>3.6801226707556898E-3</v>
      </c>
      <c r="B554">
        <v>0.12115389685528601</v>
      </c>
      <c r="C554">
        <v>9.6729919777233997E-2</v>
      </c>
      <c r="D554">
        <v>0.283992153139209</v>
      </c>
      <c r="E554">
        <v>0.203822358975384</v>
      </c>
    </row>
    <row r="555" spans="1:5" x14ac:dyDescent="0.2">
      <c r="A555">
        <v>3.6867895596519899E-3</v>
      </c>
      <c r="B555">
        <v>0.121346884413725</v>
      </c>
      <c r="C555">
        <v>9.6864291315340703E-2</v>
      </c>
      <c r="D555">
        <v>0.28413746805214202</v>
      </c>
      <c r="E555">
        <v>0.20395619939652301</v>
      </c>
    </row>
    <row r="556" spans="1:5" x14ac:dyDescent="0.2">
      <c r="A556">
        <v>3.69345644854829E-3</v>
      </c>
      <c r="B556">
        <v>0.121539830378704</v>
      </c>
      <c r="C556">
        <v>9.6998516312233496E-2</v>
      </c>
      <c r="D556">
        <v>0.284282609632795</v>
      </c>
      <c r="E556">
        <v>0.20409002065818199</v>
      </c>
    </row>
    <row r="557" spans="1:5" x14ac:dyDescent="0.2">
      <c r="A557">
        <v>3.7001233374445801E-3</v>
      </c>
      <c r="B557">
        <v>0.121732733991102</v>
      </c>
      <c r="C557">
        <v>9.71325949897036E-2</v>
      </c>
      <c r="D557">
        <v>0.28442757801895902</v>
      </c>
      <c r="E557">
        <v>0.204223822125782</v>
      </c>
    </row>
    <row r="558" spans="1:5" x14ac:dyDescent="0.2">
      <c r="A558">
        <v>3.7067902263408798E-3</v>
      </c>
      <c r="B558">
        <v>0.121925594491799</v>
      </c>
      <c r="C558">
        <v>9.7266527569542405E-2</v>
      </c>
      <c r="D558">
        <v>0.284572373348426</v>
      </c>
      <c r="E558">
        <v>0.204357603164742</v>
      </c>
    </row>
    <row r="559" spans="1:5" x14ac:dyDescent="0.2">
      <c r="A559">
        <v>3.7134571152371699E-3</v>
      </c>
      <c r="B559">
        <v>0.122118411121674</v>
      </c>
      <c r="C559">
        <v>9.7400314273541094E-2</v>
      </c>
      <c r="D559">
        <v>0.28471699575898701</v>
      </c>
      <c r="E559">
        <v>0.204491363140482</v>
      </c>
    </row>
    <row r="560" spans="1:5" x14ac:dyDescent="0.2">
      <c r="A560">
        <v>3.72012400413347E-3</v>
      </c>
      <c r="B560">
        <v>0.12231118312160601</v>
      </c>
      <c r="C560">
        <v>9.7533955323491101E-2</v>
      </c>
      <c r="D560">
        <v>0.284861445388432</v>
      </c>
      <c r="E560">
        <v>0.20462510141842299</v>
      </c>
    </row>
    <row r="561" spans="1:5" x14ac:dyDescent="0.2">
      <c r="A561">
        <v>3.7267908930297701E-3</v>
      </c>
      <c r="B561">
        <v>0.12250390973247501</v>
      </c>
      <c r="C561">
        <v>9.7667450941183703E-2</v>
      </c>
      <c r="D561">
        <v>0.28500572237455402</v>
      </c>
      <c r="E561">
        <v>0.20475881736398399</v>
      </c>
    </row>
    <row r="562" spans="1:5" x14ac:dyDescent="0.2">
      <c r="A562">
        <v>3.7334577819260598E-3</v>
      </c>
      <c r="B562">
        <v>0.12269659019515999</v>
      </c>
      <c r="C562">
        <v>9.7800801348410099E-2</v>
      </c>
      <c r="D562">
        <v>0.28514982685514301</v>
      </c>
      <c r="E562">
        <v>0.20489251034258499</v>
      </c>
    </row>
    <row r="563" spans="1:5" x14ac:dyDescent="0.2">
      <c r="A563">
        <v>3.74012467082236E-3</v>
      </c>
      <c r="B563">
        <v>0.12288922375054</v>
      </c>
      <c r="C563">
        <v>9.7934006766961595E-2</v>
      </c>
      <c r="D563">
        <v>0.28529375896799097</v>
      </c>
      <c r="E563">
        <v>0.20502617971964601</v>
      </c>
    </row>
    <row r="564" spans="1:5" x14ac:dyDescent="0.2">
      <c r="A564">
        <v>3.7467915597186601E-3</v>
      </c>
      <c r="B564">
        <v>0.123081809639495</v>
      </c>
      <c r="C564">
        <v>9.80670674186295E-2</v>
      </c>
      <c r="D564">
        <v>0.28543751885088797</v>
      </c>
      <c r="E564">
        <v>0.20515982486058701</v>
      </c>
    </row>
    <row r="565" spans="1:5" x14ac:dyDescent="0.2">
      <c r="A565">
        <v>3.7534584486149502E-3</v>
      </c>
      <c r="B565">
        <v>0.123274347102904</v>
      </c>
      <c r="C565">
        <v>9.8199983525205203E-2</v>
      </c>
      <c r="D565">
        <v>0.285581106641627</v>
      </c>
      <c r="E565">
        <v>0.20529344513082901</v>
      </c>
    </row>
    <row r="566" spans="1:5" x14ac:dyDescent="0.2">
      <c r="A566">
        <v>3.7601253375112499E-3</v>
      </c>
      <c r="B566">
        <v>0.123466835381647</v>
      </c>
      <c r="C566">
        <v>9.8332755308479902E-2</v>
      </c>
      <c r="D566">
        <v>0.28572452247799801</v>
      </c>
      <c r="E566">
        <v>0.20542703989579</v>
      </c>
    </row>
    <row r="567" spans="1:5" x14ac:dyDescent="0.2">
      <c r="A567">
        <v>3.76679222640755E-3</v>
      </c>
      <c r="B567">
        <v>0.123659273716602</v>
      </c>
      <c r="C567">
        <v>9.8465382990245001E-2</v>
      </c>
      <c r="D567">
        <v>0.285867766497792</v>
      </c>
      <c r="E567">
        <v>0.205560608520892</v>
      </c>
    </row>
    <row r="568" spans="1:5" x14ac:dyDescent="0.2">
      <c r="A568">
        <v>3.7734591153038401E-3</v>
      </c>
      <c r="B568">
        <v>0.123851661348648</v>
      </c>
      <c r="C568">
        <v>9.85978667922916E-2</v>
      </c>
      <c r="D568">
        <v>0.28601083883880102</v>
      </c>
      <c r="E568">
        <v>0.205694150371554</v>
      </c>
    </row>
    <row r="569" spans="1:5" x14ac:dyDescent="0.2">
      <c r="A569">
        <v>3.7801260042001402E-3</v>
      </c>
      <c r="B569">
        <v>0.124043997518667</v>
      </c>
      <c r="C569">
        <v>9.8730206936411199E-2</v>
      </c>
      <c r="D569">
        <v>0.28615373963881502</v>
      </c>
      <c r="E569">
        <v>0.205827664813196</v>
      </c>
    </row>
    <row r="570" spans="1:5" x14ac:dyDescent="0.2">
      <c r="A570">
        <v>3.7867928930964399E-3</v>
      </c>
      <c r="B570">
        <v>0.124236281467536</v>
      </c>
      <c r="C570">
        <v>9.8862403644394997E-2</v>
      </c>
      <c r="D570">
        <v>0.286296469035627</v>
      </c>
      <c r="E570">
        <v>0.20596115121123801</v>
      </c>
    </row>
    <row r="571" spans="1:5" x14ac:dyDescent="0.2">
      <c r="A571">
        <v>3.79345978199273E-3</v>
      </c>
      <c r="B571">
        <v>0.124428512436134</v>
      </c>
      <c r="C571">
        <v>9.8994457138034397E-2</v>
      </c>
      <c r="D571">
        <v>0.28643902716702702</v>
      </c>
      <c r="E571">
        <v>0.20609460893109999</v>
      </c>
    </row>
    <row r="572" spans="1:5" x14ac:dyDescent="0.2">
      <c r="A572">
        <v>3.8001266708890301E-3</v>
      </c>
      <c r="B572">
        <v>0.124620689665342</v>
      </c>
      <c r="C572">
        <v>9.91263676391205E-2</v>
      </c>
      <c r="D572">
        <v>0.28658141417080701</v>
      </c>
      <c r="E572">
        <v>0.206228037338202</v>
      </c>
    </row>
    <row r="573" spans="1:5" x14ac:dyDescent="0.2">
      <c r="A573">
        <v>3.8067935597853298E-3</v>
      </c>
      <c r="B573">
        <v>0.124812812396039</v>
      </c>
      <c r="C573">
        <v>9.9258135369444805E-2</v>
      </c>
      <c r="D573">
        <v>0.28672363018475699</v>
      </c>
      <c r="E573">
        <v>0.20636143579796401</v>
      </c>
    </row>
    <row r="574" spans="1:5" x14ac:dyDescent="0.2">
      <c r="A574">
        <v>3.8134604486816199E-3</v>
      </c>
      <c r="B574">
        <v>0.125004879869104</v>
      </c>
      <c r="C574">
        <v>9.9389760550798401E-2</v>
      </c>
      <c r="D574">
        <v>0.28686567534667001</v>
      </c>
      <c r="E574">
        <v>0.206494803675805</v>
      </c>
    </row>
    <row r="575" spans="1:5" x14ac:dyDescent="0.2">
      <c r="A575">
        <v>3.82012733757792E-3</v>
      </c>
      <c r="B575">
        <v>0.125196891325416</v>
      </c>
      <c r="C575">
        <v>9.9521243404972801E-2</v>
      </c>
      <c r="D575">
        <v>0.28700754979433502</v>
      </c>
      <c r="E575">
        <v>0.20662814033714699</v>
      </c>
    </row>
    <row r="576" spans="1:5" x14ac:dyDescent="0.2">
      <c r="A576">
        <v>3.8267942264742201E-3</v>
      </c>
      <c r="B576">
        <v>0.12538884600585501</v>
      </c>
      <c r="C576">
        <v>9.9652584153759202E-2</v>
      </c>
      <c r="D576">
        <v>0.287149253665545</v>
      </c>
      <c r="E576">
        <v>0.20676144514740899</v>
      </c>
    </row>
    <row r="577" spans="1:5" x14ac:dyDescent="0.2">
      <c r="A577">
        <v>3.8334611153705098E-3</v>
      </c>
      <c r="B577">
        <v>0.125580743151299</v>
      </c>
      <c r="C577">
        <v>9.9783783018948802E-2</v>
      </c>
      <c r="D577">
        <v>0.28729078709809103</v>
      </c>
      <c r="E577">
        <v>0.20689471747201099</v>
      </c>
    </row>
    <row r="578" spans="1:5" x14ac:dyDescent="0.2">
      <c r="A578">
        <v>3.8401280042668099E-3</v>
      </c>
      <c r="B578">
        <v>0.125772582002629</v>
      </c>
      <c r="C578">
        <v>9.9914840222333101E-2</v>
      </c>
      <c r="D578">
        <v>0.28743215022976298</v>
      </c>
      <c r="E578">
        <v>0.207027956676372</v>
      </c>
    </row>
    <row r="579" spans="1:5" x14ac:dyDescent="0.2">
      <c r="A579">
        <v>3.84679489316311E-3</v>
      </c>
      <c r="B579">
        <v>0.12596436180072401</v>
      </c>
      <c r="C579">
        <v>0.10004575598570301</v>
      </c>
      <c r="D579">
        <v>0.28757334319835398</v>
      </c>
      <c r="E579">
        <v>0.20716116212591401</v>
      </c>
    </row>
    <row r="580" spans="1:5" x14ac:dyDescent="0.2">
      <c r="A580">
        <v>3.8534617820594002E-3</v>
      </c>
      <c r="B580">
        <v>0.12615608178646201</v>
      </c>
      <c r="C580">
        <v>0.100176530530851</v>
      </c>
      <c r="D580">
        <v>0.28771436614165302</v>
      </c>
      <c r="E580">
        <v>0.207294333186055</v>
      </c>
    </row>
    <row r="581" spans="1:5" x14ac:dyDescent="0.2">
      <c r="A581">
        <v>3.8601286709556999E-3</v>
      </c>
      <c r="B581">
        <v>0.12634774120072401</v>
      </c>
      <c r="C581">
        <v>0.100307164079566</v>
      </c>
      <c r="D581">
        <v>0.28785521919745399</v>
      </c>
      <c r="E581">
        <v>0.207427469222216</v>
      </c>
    </row>
    <row r="582" spans="1:5" x14ac:dyDescent="0.2">
      <c r="A582">
        <v>3.866795559852E-3</v>
      </c>
      <c r="B582">
        <v>0.12653933928438801</v>
      </c>
      <c r="C582">
        <v>0.100437656853642</v>
      </c>
      <c r="D582">
        <v>0.28799590250354501</v>
      </c>
      <c r="E582">
        <v>0.207560569599817</v>
      </c>
    </row>
    <row r="583" spans="1:5" x14ac:dyDescent="0.2">
      <c r="A583">
        <v>3.8734624487482901E-3</v>
      </c>
      <c r="B583">
        <v>0.12673087527833399</v>
      </c>
      <c r="C583">
        <v>0.100568009074869</v>
      </c>
      <c r="D583">
        <v>0.28813641619772001</v>
      </c>
      <c r="E583">
        <v>0.20769363368427701</v>
      </c>
    </row>
    <row r="584" spans="1:5" x14ac:dyDescent="0.2">
      <c r="A584">
        <v>3.8801293376445902E-3</v>
      </c>
      <c r="B584">
        <v>0.12692234842344199</v>
      </c>
      <c r="C584">
        <v>0.100698220965038</v>
      </c>
      <c r="D584">
        <v>0.28827676041776901</v>
      </c>
      <c r="E584">
        <v>0.207826660841017</v>
      </c>
    </row>
    <row r="585" spans="1:5" x14ac:dyDescent="0.2">
      <c r="A585">
        <v>3.8867962265408899E-3</v>
      </c>
      <c r="B585">
        <v>0.12711375796058999</v>
      </c>
      <c r="C585">
        <v>0.100828292745941</v>
      </c>
      <c r="D585">
        <v>0.28841693530148299</v>
      </c>
      <c r="E585">
        <v>0.207959650435457</v>
      </c>
    </row>
    <row r="586" spans="1:5" x14ac:dyDescent="0.2">
      <c r="A586">
        <v>3.89346311543718E-3</v>
      </c>
      <c r="B586">
        <v>0.12730510313065799</v>
      </c>
      <c r="C586">
        <v>0.100958224639368</v>
      </c>
      <c r="D586">
        <v>0.28855694098665402</v>
      </c>
      <c r="E586">
        <v>0.208092601833017</v>
      </c>
    </row>
    <row r="587" spans="1:5" x14ac:dyDescent="0.2">
      <c r="A587">
        <v>3.9001300043334801E-3</v>
      </c>
      <c r="B587">
        <v>0.127496383174526</v>
      </c>
      <c r="C587">
        <v>0.101088016867113</v>
      </c>
      <c r="D587">
        <v>0.28869677761107199</v>
      </c>
      <c r="E587">
        <v>0.20822551439911699</v>
      </c>
    </row>
    <row r="588" spans="1:5" x14ac:dyDescent="0.2">
      <c r="A588">
        <v>3.9067968932297702E-3</v>
      </c>
      <c r="B588">
        <v>0.127687597333071</v>
      </c>
      <c r="C588">
        <v>0.101217669650964</v>
      </c>
      <c r="D588">
        <v>0.28883644531253</v>
      </c>
      <c r="E588">
        <v>0.20835838749917601</v>
      </c>
    </row>
    <row r="589" spans="1:5" x14ac:dyDescent="0.2">
      <c r="A589">
        <v>3.9134637821260703E-3</v>
      </c>
      <c r="B589">
        <v>0.12787874484717501</v>
      </c>
      <c r="C589">
        <v>0.10134718321271501</v>
      </c>
      <c r="D589">
        <v>0.28897594422881701</v>
      </c>
      <c r="E589">
        <v>0.20849122049861499</v>
      </c>
    </row>
    <row r="590" spans="1:5" x14ac:dyDescent="0.2">
      <c r="A590">
        <v>3.9201306710223696E-3</v>
      </c>
      <c r="B590">
        <v>0.12806982495771599</v>
      </c>
      <c r="C590">
        <v>0.101476557774155</v>
      </c>
      <c r="D590">
        <v>0.289115274497726</v>
      </c>
      <c r="E590">
        <v>0.208624012762853</v>
      </c>
    </row>
    <row r="591" spans="1:5" x14ac:dyDescent="0.2">
      <c r="A591">
        <v>3.9267975599186601E-3</v>
      </c>
      <c r="B591">
        <v>0.12826083690557399</v>
      </c>
      <c r="C591">
        <v>0.101605793557077</v>
      </c>
      <c r="D591">
        <v>0.289254436257048</v>
      </c>
      <c r="E591">
        <v>0.208756763657311</v>
      </c>
    </row>
    <row r="592" spans="1:5" x14ac:dyDescent="0.2">
      <c r="A592">
        <v>3.9334644488149603E-3</v>
      </c>
      <c r="B592">
        <v>0.12845177993162701</v>
      </c>
      <c r="C592">
        <v>0.101734890783272</v>
      </c>
      <c r="D592">
        <v>0.28939342964457299</v>
      </c>
      <c r="E592">
        <v>0.208889472547408</v>
      </c>
    </row>
    <row r="593" spans="1:5" x14ac:dyDescent="0.2">
      <c r="A593">
        <v>3.9401313377112604E-3</v>
      </c>
      <c r="B593">
        <v>0.128642653276756</v>
      </c>
      <c r="C593">
        <v>0.10186384967453101</v>
      </c>
      <c r="D593">
        <v>0.28953225479809402</v>
      </c>
      <c r="E593">
        <v>0.20902213879856499</v>
      </c>
    </row>
    <row r="594" spans="1:5" x14ac:dyDescent="0.2">
      <c r="A594">
        <v>3.9467982266075501E-3</v>
      </c>
      <c r="B594">
        <v>0.12883345618184</v>
      </c>
      <c r="C594">
        <v>0.101992670452645</v>
      </c>
      <c r="D594">
        <v>0.289670911855401</v>
      </c>
      <c r="E594">
        <v>0.20915476177620199</v>
      </c>
    </row>
    <row r="595" spans="1:5" x14ac:dyDescent="0.2">
      <c r="A595">
        <v>3.9534651155038502E-3</v>
      </c>
      <c r="B595">
        <v>0.12902418788775699</v>
      </c>
      <c r="C595">
        <v>0.102121353339406</v>
      </c>
      <c r="D595">
        <v>0.28980940095428498</v>
      </c>
      <c r="E595">
        <v>0.209287340845738</v>
      </c>
    </row>
    <row r="596" spans="1:5" x14ac:dyDescent="0.2">
      <c r="A596">
        <v>3.9601320044001503E-3</v>
      </c>
      <c r="B596">
        <v>0.12921484763538699</v>
      </c>
      <c r="C596">
        <v>0.102249898556605</v>
      </c>
      <c r="D596">
        <v>0.28994772223253801</v>
      </c>
      <c r="E596">
        <v>0.20941987537259399</v>
      </c>
    </row>
    <row r="597" spans="1:5" x14ac:dyDescent="0.2">
      <c r="A597">
        <v>3.96679889329644E-3</v>
      </c>
      <c r="B597">
        <v>0.12940543466561</v>
      </c>
      <c r="C597">
        <v>0.10237830632603299</v>
      </c>
      <c r="D597">
        <v>0.29008587582795098</v>
      </c>
      <c r="E597">
        <v>0.20955236472218899</v>
      </c>
    </row>
    <row r="598" spans="1:5" x14ac:dyDescent="0.2">
      <c r="A598">
        <v>3.9734657821927401E-3</v>
      </c>
      <c r="B598">
        <v>0.12959594821930501</v>
      </c>
      <c r="C598">
        <v>0.102506576869482</v>
      </c>
      <c r="D598">
        <v>0.290223861878315</v>
      </c>
      <c r="E598">
        <v>0.20968480825994401</v>
      </c>
    </row>
    <row r="599" spans="1:5" x14ac:dyDescent="0.2">
      <c r="A599">
        <v>3.9801326710890402E-3</v>
      </c>
      <c r="B599">
        <v>0.129786387537351</v>
      </c>
      <c r="C599">
        <v>0.102634710408742</v>
      </c>
      <c r="D599">
        <v>0.29036168052142097</v>
      </c>
      <c r="E599">
        <v>0.20981720535127699</v>
      </c>
    </row>
    <row r="600" spans="1:5" x14ac:dyDescent="0.2">
      <c r="A600">
        <v>3.9867995599853299E-3</v>
      </c>
      <c r="B600">
        <v>0.12997675186062799</v>
      </c>
      <c r="C600">
        <v>0.102762707165606</v>
      </c>
      <c r="D600">
        <v>0.290499331895061</v>
      </c>
      <c r="E600">
        <v>0.209949555361611</v>
      </c>
    </row>
    <row r="601" spans="1:5" x14ac:dyDescent="0.2">
      <c r="A601">
        <v>3.99346644888163E-3</v>
      </c>
      <c r="B601">
        <v>0.13016704043001401</v>
      </c>
      <c r="C601">
        <v>0.102890567361864</v>
      </c>
      <c r="D601">
        <v>0.29063681613702502</v>
      </c>
      <c r="E601">
        <v>0.210081857656364</v>
      </c>
    </row>
    <row r="602" spans="1:5" x14ac:dyDescent="0.2">
      <c r="A602">
        <v>4.0001333377779301E-3</v>
      </c>
      <c r="B602">
        <v>0.13035725248639901</v>
      </c>
      <c r="C602">
        <v>0.103018291219308</v>
      </c>
      <c r="D602">
        <v>0.29077413338510599</v>
      </c>
      <c r="E602">
        <v>0.21021411160096301</v>
      </c>
    </row>
    <row r="603" spans="1:5" x14ac:dyDescent="0.2">
      <c r="A603">
        <v>4.0068002266742198E-3</v>
      </c>
      <c r="B603">
        <v>0.13054738850761199</v>
      </c>
      <c r="C603">
        <v>0.103145878959729</v>
      </c>
      <c r="D603">
        <v>0.29091128377709402</v>
      </c>
      <c r="E603">
        <v>0.21034631745521501</v>
      </c>
    </row>
    <row r="604" spans="1:5" x14ac:dyDescent="0.2">
      <c r="A604">
        <v>4.0134671155705199E-3</v>
      </c>
      <c r="B604">
        <v>0.13073745363123501</v>
      </c>
      <c r="C604">
        <v>0.103273330804918</v>
      </c>
      <c r="D604">
        <v>0.29104826745078</v>
      </c>
      <c r="E604">
        <v>0.21047847884821</v>
      </c>
    </row>
    <row r="605" spans="1:5" x14ac:dyDescent="0.2">
      <c r="A605">
        <v>4.02013400446682E-3</v>
      </c>
      <c r="B605">
        <v>0.13092745409193801</v>
      </c>
      <c r="C605">
        <v>0.103400646976667</v>
      </c>
      <c r="D605">
        <v>0.29118508454395597</v>
      </c>
      <c r="E605">
        <v>0.21061060020229</v>
      </c>
    </row>
    <row r="606" spans="1:5" x14ac:dyDescent="0.2">
      <c r="A606">
        <v>4.0268008933631097E-3</v>
      </c>
      <c r="B606">
        <v>0.131117396124388</v>
      </c>
      <c r="C606">
        <v>0.10352782769676699</v>
      </c>
      <c r="D606">
        <v>0.29132173519441201</v>
      </c>
      <c r="E606">
        <v>0.2107426859398</v>
      </c>
    </row>
    <row r="607" spans="1:5" x14ac:dyDescent="0.2">
      <c r="A607">
        <v>4.0334677822594098E-3</v>
      </c>
      <c r="B607">
        <v>0.131307285963251</v>
      </c>
      <c r="C607">
        <v>0.103654873187008</v>
      </c>
      <c r="D607">
        <v>0.291458219539941</v>
      </c>
      <c r="E607">
        <v>0.21087474048308399</v>
      </c>
    </row>
    <row r="608" spans="1:5" x14ac:dyDescent="0.2">
      <c r="A608">
        <v>4.0401346711557099E-3</v>
      </c>
      <c r="B608">
        <v>0.131497129843195</v>
      </c>
      <c r="C608">
        <v>0.103781783669184</v>
      </c>
      <c r="D608">
        <v>0.29159453771833299</v>
      </c>
      <c r="E608">
        <v>0.211006768254485</v>
      </c>
    </row>
    <row r="609" spans="1:5" x14ac:dyDescent="0.2">
      <c r="A609">
        <v>4.0468015600519996E-3</v>
      </c>
      <c r="B609">
        <v>0.13168693399888701</v>
      </c>
      <c r="C609">
        <v>0.103908559365084</v>
      </c>
      <c r="D609">
        <v>0.29173068986737899</v>
      </c>
      <c r="E609">
        <v>0.21113877367634801</v>
      </c>
    </row>
    <row r="610" spans="1:5" x14ac:dyDescent="0.2">
      <c r="A610">
        <v>4.0534684489482997E-3</v>
      </c>
      <c r="B610">
        <v>0.13187670466499499</v>
      </c>
      <c r="C610">
        <v>0.104035200496501</v>
      </c>
      <c r="D610">
        <v>0.29186667612487199</v>
      </c>
      <c r="E610">
        <v>0.21127076117101601</v>
      </c>
    </row>
    <row r="611" spans="1:5" x14ac:dyDescent="0.2">
      <c r="A611">
        <v>4.0601353378445998E-3</v>
      </c>
      <c r="B611">
        <v>0.132066448076187</v>
      </c>
      <c r="C611">
        <v>0.104161707285224</v>
      </c>
      <c r="D611">
        <v>0.292002496628601</v>
      </c>
      <c r="E611">
        <v>0.21140273516083399</v>
      </c>
    </row>
    <row r="612" spans="1:5" x14ac:dyDescent="0.2">
      <c r="A612">
        <v>4.0668022267408904E-3</v>
      </c>
      <c r="B612">
        <v>0.13225617046712901</v>
      </c>
      <c r="C612">
        <v>0.10428807995304699</v>
      </c>
      <c r="D612">
        <v>0.29213815151635802</v>
      </c>
      <c r="E612">
        <v>0.21153470006814501</v>
      </c>
    </row>
    <row r="613" spans="1:5" x14ac:dyDescent="0.2">
      <c r="A613">
        <v>4.0734691156371896E-3</v>
      </c>
      <c r="B613">
        <v>0.132445878072488</v>
      </c>
      <c r="C613">
        <v>0.10441431872175901</v>
      </c>
      <c r="D613">
        <v>0.292273640925934</v>
      </c>
      <c r="E613">
        <v>0.21166666031529299</v>
      </c>
    </row>
    <row r="614" spans="1:5" x14ac:dyDescent="0.2">
      <c r="A614">
        <v>4.0801360045334802E-3</v>
      </c>
      <c r="B614">
        <v>0.132635577126933</v>
      </c>
      <c r="C614">
        <v>0.104540423813153</v>
      </c>
      <c r="D614">
        <v>0.29240896499512198</v>
      </c>
      <c r="E614">
        <v>0.21179862032462299</v>
      </c>
    </row>
    <row r="615" spans="1:5" x14ac:dyDescent="0.2">
      <c r="A615">
        <v>4.0868028934297803E-3</v>
      </c>
      <c r="B615">
        <v>0.13282527386513099</v>
      </c>
      <c r="C615">
        <v>0.10466639544902</v>
      </c>
      <c r="D615">
        <v>0.29254412386171003</v>
      </c>
      <c r="E615">
        <v>0.21193058451847799</v>
      </c>
    </row>
    <row r="616" spans="1:5" x14ac:dyDescent="0.2">
      <c r="A616">
        <v>4.0934697823260804E-3</v>
      </c>
      <c r="B616">
        <v>0.13301497452174799</v>
      </c>
      <c r="C616">
        <v>0.10479223385115</v>
      </c>
      <c r="D616">
        <v>0.29267911766349203</v>
      </c>
      <c r="E616">
        <v>0.21206255731920301</v>
      </c>
    </row>
    <row r="617" spans="1:5" x14ac:dyDescent="0.2">
      <c r="A617">
        <v>4.1001366712223701E-3</v>
      </c>
      <c r="B617">
        <v>0.13320468533145299</v>
      </c>
      <c r="C617">
        <v>0.104917939241335</v>
      </c>
      <c r="D617">
        <v>0.29281394653825799</v>
      </c>
      <c r="E617">
        <v>0.21219454314913999</v>
      </c>
    </row>
    <row r="618" spans="1:5" x14ac:dyDescent="0.2">
      <c r="A618">
        <v>4.1068035601186702E-3</v>
      </c>
      <c r="B618">
        <v>0.13339441252891299</v>
      </c>
      <c r="C618">
        <v>0.105043511841367</v>
      </c>
      <c r="D618">
        <v>0.29294861062380001</v>
      </c>
      <c r="E618">
        <v>0.212326546430635</v>
      </c>
    </row>
    <row r="619" spans="1:5" x14ac:dyDescent="0.2">
      <c r="A619">
        <v>4.1134704490149703E-3</v>
      </c>
      <c r="B619">
        <v>0.133584162348794</v>
      </c>
      <c r="C619">
        <v>0.105168951873037</v>
      </c>
      <c r="D619">
        <v>0.29308311005790799</v>
      </c>
      <c r="E619">
        <v>0.21245857158603099</v>
      </c>
    </row>
    <row r="620" spans="1:5" x14ac:dyDescent="0.2">
      <c r="A620">
        <v>4.12013733791126E-3</v>
      </c>
      <c r="B620">
        <v>0.13377394102576501</v>
      </c>
      <c r="C620">
        <v>0.105294259558136</v>
      </c>
      <c r="D620">
        <v>0.29321744497837399</v>
      </c>
      <c r="E620">
        <v>0.21259062303767201</v>
      </c>
    </row>
    <row r="621" spans="1:5" x14ac:dyDescent="0.2">
      <c r="A621">
        <v>4.1268042268075601E-3</v>
      </c>
      <c r="B621">
        <v>0.13396375479449199</v>
      </c>
      <c r="C621">
        <v>0.105419435118455</v>
      </c>
      <c r="D621">
        <v>0.293351615522989</v>
      </c>
      <c r="E621">
        <v>0.21272270520790201</v>
      </c>
    </row>
    <row r="622" spans="1:5" x14ac:dyDescent="0.2">
      <c r="A622">
        <v>4.1334711157038602E-3</v>
      </c>
      <c r="B622">
        <v>0.134153609889644</v>
      </c>
      <c r="C622">
        <v>0.105544478775786</v>
      </c>
      <c r="D622">
        <v>0.29348562182954402</v>
      </c>
      <c r="E622">
        <v>0.21285482251906401</v>
      </c>
    </row>
    <row r="623" spans="1:5" x14ac:dyDescent="0.2">
      <c r="A623">
        <v>4.1401380046001499E-3</v>
      </c>
      <c r="B623">
        <v>0.134343512545887</v>
      </c>
      <c r="C623">
        <v>0.10566939075192</v>
      </c>
      <c r="D623">
        <v>0.293619464035831</v>
      </c>
      <c r="E623">
        <v>0.212986979393504</v>
      </c>
    </row>
    <row r="624" spans="1:5" x14ac:dyDescent="0.2">
      <c r="A624">
        <v>4.14680489349645E-3</v>
      </c>
      <c r="B624">
        <v>0.13453346899788801</v>
      </c>
      <c r="C624">
        <v>0.105794171268648</v>
      </c>
      <c r="D624">
        <v>0.293753142279641</v>
      </c>
      <c r="E624">
        <v>0.21311918025356499</v>
      </c>
    </row>
    <row r="625" spans="1:5" x14ac:dyDescent="0.2">
      <c r="A625">
        <v>4.1534717823927501E-3</v>
      </c>
      <c r="B625">
        <v>0.13472348548031601</v>
      </c>
      <c r="C625">
        <v>0.105918820547762</v>
      </c>
      <c r="D625">
        <v>0.29388665669876401</v>
      </c>
      <c r="E625">
        <v>0.21325142952159001</v>
      </c>
    </row>
    <row r="626" spans="1:5" x14ac:dyDescent="0.2">
      <c r="A626">
        <v>4.1601386712890398E-3</v>
      </c>
      <c r="B626">
        <v>0.13491356822783701</v>
      </c>
      <c r="C626">
        <v>0.106043338811052</v>
      </c>
      <c r="D626">
        <v>0.29402000743099299</v>
      </c>
      <c r="E626">
        <v>0.21338373161992399</v>
      </c>
    </row>
    <row r="627" spans="1:5" x14ac:dyDescent="0.2">
      <c r="A627">
        <v>4.1668055601853399E-3</v>
      </c>
      <c r="B627">
        <v>0.13510372347512001</v>
      </c>
      <c r="C627">
        <v>0.106167726280311</v>
      </c>
      <c r="D627">
        <v>0.29415319461411799</v>
      </c>
      <c r="E627">
        <v>0.21351609097091101</v>
      </c>
    </row>
    <row r="628" spans="1:5" x14ac:dyDescent="0.2">
      <c r="A628">
        <v>4.17347244908164E-3</v>
      </c>
      <c r="B628">
        <v>0.13529395745683001</v>
      </c>
      <c r="C628">
        <v>0.10629198317732901</v>
      </c>
      <c r="D628">
        <v>0.29428621838593</v>
      </c>
      <c r="E628">
        <v>0.213648511996895</v>
      </c>
    </row>
    <row r="629" spans="1:5" x14ac:dyDescent="0.2">
      <c r="A629">
        <v>4.1801393379779297E-3</v>
      </c>
      <c r="B629">
        <v>0.135484276407636</v>
      </c>
      <c r="C629">
        <v>0.10641610972389801</v>
      </c>
      <c r="D629">
        <v>0.29441907888422197</v>
      </c>
      <c r="E629">
        <v>0.213780999120219</v>
      </c>
    </row>
    <row r="630" spans="1:5" x14ac:dyDescent="0.2">
      <c r="A630">
        <v>4.1868062268742299E-3</v>
      </c>
      <c r="B630">
        <v>0.13567468656220499</v>
      </c>
      <c r="C630">
        <v>0.106540106141809</v>
      </c>
      <c r="D630">
        <v>0.29455177624678303</v>
      </c>
      <c r="E630">
        <v>0.21391355676322801</v>
      </c>
    </row>
    <row r="631" spans="1:5" x14ac:dyDescent="0.2">
      <c r="A631">
        <v>4.19347311577053E-3</v>
      </c>
      <c r="B631">
        <v>0.13586519415520401</v>
      </c>
      <c r="C631">
        <v>0.106663972652854</v>
      </c>
      <c r="D631">
        <v>0.29468431061140599</v>
      </c>
      <c r="E631">
        <v>0.214046189348265</v>
      </c>
    </row>
    <row r="632" spans="1:5" x14ac:dyDescent="0.2">
      <c r="A632">
        <v>4.2001400046668197E-3</v>
      </c>
      <c r="B632">
        <v>0.1360558054213</v>
      </c>
      <c r="C632">
        <v>0.106787709478823</v>
      </c>
      <c r="D632">
        <v>0.29481668211588102</v>
      </c>
      <c r="E632">
        <v>0.214178901297675</v>
      </c>
    </row>
    <row r="633" spans="1:5" x14ac:dyDescent="0.2">
      <c r="A633">
        <v>4.2068068935631198E-3</v>
      </c>
      <c r="B633">
        <v>0.13624652659516201</v>
      </c>
      <c r="C633">
        <v>0.10691131684150799</v>
      </c>
      <c r="D633">
        <v>0.29494889089799903</v>
      </c>
      <c r="E633">
        <v>0.21431169703380101</v>
      </c>
    </row>
    <row r="634" spans="1:5" x14ac:dyDescent="0.2">
      <c r="A634">
        <v>4.2134737824594199E-3</v>
      </c>
      <c r="B634">
        <v>0.136437363911456</v>
      </c>
      <c r="C634">
        <v>0.10703479496270001</v>
      </c>
      <c r="D634">
        <v>0.295080937095553</v>
      </c>
      <c r="E634">
        <v>0.214444580978988</v>
      </c>
    </row>
    <row r="635" spans="1:5" x14ac:dyDescent="0.2">
      <c r="A635">
        <v>4.2201406713557096E-3</v>
      </c>
      <c r="B635">
        <v>0.13662832360485</v>
      </c>
      <c r="C635">
        <v>0.107158144064191</v>
      </c>
      <c r="D635">
        <v>0.29521282084633199</v>
      </c>
      <c r="E635">
        <v>0.214577557555579</v>
      </c>
    </row>
    <row r="636" spans="1:5" x14ac:dyDescent="0.2">
      <c r="A636">
        <v>4.2268075602520097E-3</v>
      </c>
      <c r="B636">
        <v>0.13681941191001101</v>
      </c>
      <c r="C636">
        <v>0.107281364367772</v>
      </c>
      <c r="D636">
        <v>0.29534454228812901</v>
      </c>
      <c r="E636">
        <v>0.21471063118591799</v>
      </c>
    </row>
    <row r="637" spans="1:5" x14ac:dyDescent="0.2">
      <c r="A637">
        <v>4.2334744491483098E-3</v>
      </c>
      <c r="B637">
        <v>0.13701063506160599</v>
      </c>
      <c r="C637">
        <v>0.107404456095233</v>
      </c>
      <c r="D637">
        <v>0.29547610155873399</v>
      </c>
      <c r="E637">
        <v>0.21484380629235</v>
      </c>
    </row>
    <row r="638" spans="1:5" x14ac:dyDescent="0.2">
      <c r="A638">
        <v>4.2401413380446003E-3</v>
      </c>
      <c r="B638">
        <v>0.13720199929430299</v>
      </c>
      <c r="C638">
        <v>0.107527419468367</v>
      </c>
      <c r="D638">
        <v>0.29560749879594</v>
      </c>
      <c r="E638">
        <v>0.21497708729721801</v>
      </c>
    </row>
    <row r="639" spans="1:5" x14ac:dyDescent="0.2">
      <c r="A639">
        <v>4.2468082269408996E-3</v>
      </c>
      <c r="B639">
        <v>0.13739351084276899</v>
      </c>
      <c r="C639">
        <v>0.107650254708965</v>
      </c>
      <c r="D639">
        <v>0.29573873413753499</v>
      </c>
      <c r="E639">
        <v>0.215110478622866</v>
      </c>
    </row>
    <row r="640" spans="1:5" x14ac:dyDescent="0.2">
      <c r="A640">
        <v>4.2534751158371902E-3</v>
      </c>
      <c r="B640">
        <v>0.137585175941671</v>
      </c>
      <c r="C640">
        <v>0.107772962038818</v>
      </c>
      <c r="D640">
        <v>0.29586980772131399</v>
      </c>
      <c r="E640">
        <v>0.215243984691638</v>
      </c>
    </row>
    <row r="641" spans="1:5" x14ac:dyDescent="0.2">
      <c r="A641">
        <v>4.2601420047334903E-3</v>
      </c>
      <c r="B641">
        <v>0.13777700082567701</v>
      </c>
      <c r="C641">
        <v>0.107895541679718</v>
      </c>
      <c r="D641">
        <v>0.29600071968506497</v>
      </c>
      <c r="E641">
        <v>0.21537760992587901</v>
      </c>
    </row>
    <row r="642" spans="1:5" x14ac:dyDescent="0.2">
      <c r="A642">
        <v>4.2668088936297904E-3</v>
      </c>
      <c r="B642">
        <v>0.13796899172945501</v>
      </c>
      <c r="C642">
        <v>0.10801799385345499</v>
      </c>
      <c r="D642">
        <v>0.29613147016658098</v>
      </c>
      <c r="E642">
        <v>0.21551135874793101</v>
      </c>
    </row>
    <row r="643" spans="1:5" x14ac:dyDescent="0.2">
      <c r="A643">
        <v>4.2734757825260801E-3</v>
      </c>
      <c r="B643">
        <v>0.138161154887671</v>
      </c>
      <c r="C643">
        <v>0.10814031878182</v>
      </c>
      <c r="D643">
        <v>0.29626205930365301</v>
      </c>
      <c r="E643">
        <v>0.21564523558013901</v>
      </c>
    </row>
    <row r="644" spans="1:5" x14ac:dyDescent="0.2">
      <c r="A644">
        <v>4.2801426714223802E-3</v>
      </c>
      <c r="B644">
        <v>0.13835349653499299</v>
      </c>
      <c r="C644">
        <v>0.108262516686606</v>
      </c>
      <c r="D644">
        <v>0.29639248723407202</v>
      </c>
      <c r="E644">
        <v>0.21577924484484801</v>
      </c>
    </row>
    <row r="645" spans="1:5" x14ac:dyDescent="0.2">
      <c r="A645">
        <v>4.2868095603186803E-3</v>
      </c>
      <c r="B645">
        <v>0.138546022906088</v>
      </c>
      <c r="C645">
        <v>0.108384587789604</v>
      </c>
      <c r="D645">
        <v>0.296522754095629</v>
      </c>
      <c r="E645">
        <v>0.21591339096439999</v>
      </c>
    </row>
    <row r="646" spans="1:5" x14ac:dyDescent="0.2">
      <c r="A646">
        <v>4.29347644921497E-3</v>
      </c>
      <c r="B646">
        <v>0.13873874023562399</v>
      </c>
      <c r="C646">
        <v>0.108506532312604</v>
      </c>
      <c r="D646">
        <v>0.29665286002611602</v>
      </c>
      <c r="E646">
        <v>0.21604767836114</v>
      </c>
    </row>
    <row r="647" spans="1:5" x14ac:dyDescent="0.2">
      <c r="A647">
        <v>4.3001433381112701E-3</v>
      </c>
      <c r="B647">
        <v>0.13893165475826799</v>
      </c>
      <c r="C647">
        <v>0.10862835047739899</v>
      </c>
      <c r="D647">
        <v>0.296782805163323</v>
      </c>
      <c r="E647">
        <v>0.21618211145741201</v>
      </c>
    </row>
    <row r="648" spans="1:5" x14ac:dyDescent="0.2">
      <c r="A648">
        <v>4.3068102270075702E-3</v>
      </c>
      <c r="B648">
        <v>0.13912477270868701</v>
      </c>
      <c r="C648">
        <v>0.10875004250577899</v>
      </c>
      <c r="D648">
        <v>0.29691258964504202</v>
      </c>
      <c r="E648">
        <v>0.21631669467556</v>
      </c>
    </row>
    <row r="649" spans="1:5" x14ac:dyDescent="0.2">
      <c r="A649">
        <v>4.3134771159038599E-3</v>
      </c>
      <c r="B649">
        <v>0.13931810032154901</v>
      </c>
      <c r="C649">
        <v>0.108871608619535</v>
      </c>
      <c r="D649">
        <v>0.29704221360906402</v>
      </c>
      <c r="E649">
        <v>0.216451432437927</v>
      </c>
    </row>
    <row r="650" spans="1:5" x14ac:dyDescent="0.2">
      <c r="A650">
        <v>4.32014400480016E-3</v>
      </c>
      <c r="B650">
        <v>0.13951164383152101</v>
      </c>
      <c r="C650">
        <v>0.10899304904046</v>
      </c>
      <c r="D650">
        <v>0.29717167719318099</v>
      </c>
      <c r="E650">
        <v>0.21658632916685799</v>
      </c>
    </row>
    <row r="651" spans="1:5" x14ac:dyDescent="0.2">
      <c r="A651">
        <v>4.3268108936964601E-3</v>
      </c>
      <c r="B651">
        <v>0.13970540947327001</v>
      </c>
      <c r="C651">
        <v>0.10911436399034399</v>
      </c>
      <c r="D651">
        <v>0.297300980535183</v>
      </c>
      <c r="E651">
        <v>0.216721389284697</v>
      </c>
    </row>
    <row r="652" spans="1:5" x14ac:dyDescent="0.2">
      <c r="A652">
        <v>4.3334777825927498E-3</v>
      </c>
      <c r="B652">
        <v>0.13989940348146401</v>
      </c>
      <c r="C652">
        <v>0.109235553690979</v>
      </c>
      <c r="D652">
        <v>0.29743012377286199</v>
      </c>
      <c r="E652">
        <v>0.21685661721378699</v>
      </c>
    </row>
    <row r="653" spans="1:5" x14ac:dyDescent="0.2">
      <c r="A653">
        <v>4.3401446714890499E-3</v>
      </c>
      <c r="B653">
        <v>0.14009363209077</v>
      </c>
      <c r="C653">
        <v>0.109356618364155</v>
      </c>
      <c r="D653">
        <v>0.29755910704400801</v>
      </c>
      <c r="E653">
        <v>0.216992017376473</v>
      </c>
    </row>
    <row r="654" spans="1:5" x14ac:dyDescent="0.2">
      <c r="A654">
        <v>4.34681156038535E-3</v>
      </c>
      <c r="B654">
        <v>0.140288101535855</v>
      </c>
      <c r="C654">
        <v>0.109477558231665</v>
      </c>
      <c r="D654">
        <v>0.29768793048641401</v>
      </c>
      <c r="E654">
        <v>0.217127594195099</v>
      </c>
    </row>
    <row r="655" spans="1:5" x14ac:dyDescent="0.2">
      <c r="A655">
        <v>4.3534784492816397E-3</v>
      </c>
      <c r="B655">
        <v>0.14048281805138799</v>
      </c>
      <c r="C655">
        <v>0.109598373515299</v>
      </c>
      <c r="D655">
        <v>0.29781659423786999</v>
      </c>
      <c r="E655">
        <v>0.21726335209200701</v>
      </c>
    </row>
    <row r="656" spans="1:5" x14ac:dyDescent="0.2">
      <c r="A656">
        <v>4.3601453381779398E-3</v>
      </c>
      <c r="B656">
        <v>0.140677787872034</v>
      </c>
      <c r="C656">
        <v>0.10971906443684901</v>
      </c>
      <c r="D656">
        <v>0.29794509843616801</v>
      </c>
      <c r="E656">
        <v>0.21739929548954401</v>
      </c>
    </row>
    <row r="657" spans="1:5" x14ac:dyDescent="0.2">
      <c r="A657">
        <v>4.3668122270742399E-3</v>
      </c>
      <c r="B657">
        <v>0.14087301723246201</v>
      </c>
      <c r="C657">
        <v>0.109839631218105</v>
      </c>
      <c r="D657">
        <v>0.29807344321909901</v>
      </c>
      <c r="E657">
        <v>0.217535428810051</v>
      </c>
    </row>
    <row r="658" spans="1:5" x14ac:dyDescent="0.2">
      <c r="A658">
        <v>4.3734791159705296E-3</v>
      </c>
      <c r="B658">
        <v>0.141068512367339</v>
      </c>
      <c r="C658">
        <v>0.109960074080861</v>
      </c>
      <c r="D658">
        <v>0.29820162872445299</v>
      </c>
      <c r="E658">
        <v>0.217671756475874</v>
      </c>
    </row>
    <row r="659" spans="1:5" x14ac:dyDescent="0.2">
      <c r="A659">
        <v>4.3801460048668297E-3</v>
      </c>
      <c r="B659">
        <v>0.141264279511332</v>
      </c>
      <c r="C659">
        <v>0.11008039324690599</v>
      </c>
      <c r="D659">
        <v>0.29832965509002302</v>
      </c>
      <c r="E659">
        <v>0.217808282909356</v>
      </c>
    </row>
    <row r="660" spans="1:5" x14ac:dyDescent="0.2">
      <c r="A660">
        <v>4.3868128937631298E-3</v>
      </c>
      <c r="B660">
        <v>0.14146032489910901</v>
      </c>
      <c r="C660">
        <v>0.110200588938032</v>
      </c>
      <c r="D660">
        <v>0.29845752245360002</v>
      </c>
      <c r="E660">
        <v>0.21794501253284199</v>
      </c>
    </row>
    <row r="661" spans="1:5" x14ac:dyDescent="0.2">
      <c r="A661">
        <v>4.3934797826594204E-3</v>
      </c>
      <c r="B661">
        <v>0.14165665476533701</v>
      </c>
      <c r="C661">
        <v>0.11032066137603</v>
      </c>
      <c r="D661">
        <v>0.29858523095297401</v>
      </c>
      <c r="E661">
        <v>0.21808194976867401</v>
      </c>
    </row>
    <row r="662" spans="1:5" x14ac:dyDescent="0.2">
      <c r="A662">
        <v>4.4001466715557196E-3</v>
      </c>
      <c r="B662">
        <v>0.14185327534468301</v>
      </c>
      <c r="C662">
        <v>0.110440610782692</v>
      </c>
      <c r="D662">
        <v>0.29871278072593699</v>
      </c>
      <c r="E662">
        <v>0.21821909903919801</v>
      </c>
    </row>
    <row r="663" spans="1:5" x14ac:dyDescent="0.2">
      <c r="A663">
        <v>4.4068135604520197E-3</v>
      </c>
      <c r="B663">
        <v>0.142050192871814</v>
      </c>
      <c r="C663">
        <v>0.110560437379809</v>
      </c>
      <c r="D663">
        <v>0.29884017191028001</v>
      </c>
      <c r="E663">
        <v>0.21835646476675699</v>
      </c>
    </row>
    <row r="664" spans="1:5" x14ac:dyDescent="0.2">
      <c r="A664">
        <v>4.4134804493483103E-3</v>
      </c>
      <c r="B664">
        <v>0.142247413581399</v>
      </c>
      <c r="C664">
        <v>0.110680141389172</v>
      </c>
      <c r="D664">
        <v>0.29896740464379401</v>
      </c>
      <c r="E664">
        <v>0.21849405137369499</v>
      </c>
    </row>
    <row r="665" spans="1:5" x14ac:dyDescent="0.2">
      <c r="A665">
        <v>4.4201473382446104E-3</v>
      </c>
      <c r="B665">
        <v>0.14244494370810401</v>
      </c>
      <c r="C665">
        <v>0.110799723032572</v>
      </c>
      <c r="D665">
        <v>0.299094479064271</v>
      </c>
      <c r="E665">
        <v>0.21863186328235601</v>
      </c>
    </row>
    <row r="666" spans="1:5" x14ac:dyDescent="0.2">
      <c r="A666">
        <v>4.4268142271409096E-3</v>
      </c>
      <c r="B666">
        <v>0.142642789486597</v>
      </c>
      <c r="C666">
        <v>0.110919182531801</v>
      </c>
      <c r="D666">
        <v>0.29922139530950098</v>
      </c>
      <c r="E666">
        <v>0.218769904915083</v>
      </c>
    </row>
    <row r="667" spans="1:5" x14ac:dyDescent="0.2">
      <c r="A667">
        <v>4.4334811160372002E-3</v>
      </c>
      <c r="B667">
        <v>0.14284095715154499</v>
      </c>
      <c r="C667">
        <v>0.11103852010864999</v>
      </c>
      <c r="D667">
        <v>0.299348153517277</v>
      </c>
      <c r="E667">
        <v>0.21890818069422199</v>
      </c>
    </row>
    <row r="668" spans="1:5" x14ac:dyDescent="0.2">
      <c r="A668">
        <v>4.4401480049335003E-3</v>
      </c>
      <c r="B668">
        <v>0.143039452937615</v>
      </c>
      <c r="C668">
        <v>0.11115773598491099</v>
      </c>
      <c r="D668">
        <v>0.29947475382538802</v>
      </c>
      <c r="E668">
        <v>0.21904669504211599</v>
      </c>
    </row>
    <row r="669" spans="1:5" x14ac:dyDescent="0.2">
      <c r="A669">
        <v>4.44681489382979E-3</v>
      </c>
      <c r="B669">
        <v>0.143238283079475</v>
      </c>
      <c r="C669">
        <v>0.111276830382374</v>
      </c>
      <c r="D669">
        <v>0.29960119637162702</v>
      </c>
      <c r="E669">
        <v>0.21918545238110801</v>
      </c>
    </row>
    <row r="670" spans="1:5" x14ac:dyDescent="0.2">
      <c r="A670">
        <v>4.4534817827260901E-3</v>
      </c>
      <c r="B670">
        <v>0.14343745381179299</v>
      </c>
      <c r="C670">
        <v>0.111395803522831</v>
      </c>
      <c r="D670">
        <v>0.29972748129378501</v>
      </c>
      <c r="E670">
        <v>0.21932445713354301</v>
      </c>
    </row>
    <row r="671" spans="1:5" x14ac:dyDescent="0.2">
      <c r="A671">
        <v>4.4601486716223902E-3</v>
      </c>
      <c r="B671">
        <v>0.14363697136923401</v>
      </c>
      <c r="C671">
        <v>0.111514655628073</v>
      </c>
      <c r="D671">
        <v>0.299853608729653</v>
      </c>
      <c r="E671">
        <v>0.21946371372176501</v>
      </c>
    </row>
    <row r="672" spans="1:5" x14ac:dyDescent="0.2">
      <c r="A672">
        <v>4.4668155605186799E-3</v>
      </c>
      <c r="B672">
        <v>0.14383684198646801</v>
      </c>
      <c r="C672">
        <v>0.111633386919892</v>
      </c>
      <c r="D672">
        <v>0.29997957881702098</v>
      </c>
      <c r="E672">
        <v>0.21960322656811701</v>
      </c>
    </row>
    <row r="673" spans="1:5" x14ac:dyDescent="0.2">
      <c r="A673">
        <v>4.47348244941498E-3</v>
      </c>
      <c r="B673">
        <v>0.14403707189816101</v>
      </c>
      <c r="C673">
        <v>0.11175199762007899</v>
      </c>
      <c r="D673">
        <v>0.300105391693682</v>
      </c>
      <c r="E673">
        <v>0.21974300009494499</v>
      </c>
    </row>
    <row r="674" spans="1:5" x14ac:dyDescent="0.2">
      <c r="A674">
        <v>4.4801493383112801E-3</v>
      </c>
      <c r="B674">
        <v>0.14423766733898</v>
      </c>
      <c r="C674">
        <v>0.11187048795042499</v>
      </c>
      <c r="D674">
        <v>0.30023104749742602</v>
      </c>
      <c r="E674">
        <v>0.21988303872459</v>
      </c>
    </row>
    <row r="675" spans="1:5" x14ac:dyDescent="0.2">
      <c r="A675">
        <v>4.4868162272075698E-3</v>
      </c>
      <c r="B675">
        <v>0.14443863454359401</v>
      </c>
      <c r="C675">
        <v>0.111988858132721</v>
      </c>
      <c r="D675">
        <v>0.30035654636604497</v>
      </c>
      <c r="E675">
        <v>0.22002334687939901</v>
      </c>
    </row>
    <row r="676" spans="1:5" x14ac:dyDescent="0.2">
      <c r="A676">
        <v>4.4934831161038699E-3</v>
      </c>
      <c r="B676">
        <v>0.14463997974666901</v>
      </c>
      <c r="C676">
        <v>0.11210710838875899</v>
      </c>
      <c r="D676">
        <v>0.30048188843732998</v>
      </c>
      <c r="E676">
        <v>0.220163928981714</v>
      </c>
    </row>
    <row r="677" spans="1:5" x14ac:dyDescent="0.2">
      <c r="A677">
        <v>4.5001500050001701E-3</v>
      </c>
      <c r="B677">
        <v>0.144841709182813</v>
      </c>
      <c r="C677">
        <v>0.11222523894033</v>
      </c>
      <c r="D677">
        <v>0.30060707384907198</v>
      </c>
      <c r="E677">
        <v>0.220304789453837</v>
      </c>
    </row>
    <row r="678" spans="1:5" x14ac:dyDescent="0.2">
      <c r="A678">
        <v>4.5068168938964598E-3</v>
      </c>
      <c r="B678">
        <v>0.145043823523058</v>
      </c>
      <c r="C678">
        <v>0.112343250009226</v>
      </c>
      <c r="D678">
        <v>0.30073210273906198</v>
      </c>
      <c r="E678">
        <v>0.22044592879948499</v>
      </c>
    </row>
    <row r="679" spans="1:5" x14ac:dyDescent="0.2">
      <c r="A679">
        <v>4.5134837827927599E-3</v>
      </c>
      <c r="B679">
        <v>0.14524630263589799</v>
      </c>
      <c r="C679">
        <v>0.112461141817237</v>
      </c>
      <c r="D679">
        <v>0.30085697524509197</v>
      </c>
      <c r="E679">
        <v>0.22058733287054599</v>
      </c>
    </row>
    <row r="680" spans="1:5" x14ac:dyDescent="0.2">
      <c r="A680">
        <v>4.52015067168906E-3</v>
      </c>
      <c r="B680">
        <v>0.14544912152874101</v>
      </c>
      <c r="C680">
        <v>0.112578914586155</v>
      </c>
      <c r="D680">
        <v>0.30098169150495202</v>
      </c>
      <c r="E680">
        <v>0.22072898409510899</v>
      </c>
    </row>
    <row r="681" spans="1:5" x14ac:dyDescent="0.2">
      <c r="A681">
        <v>4.5268175605853497E-3</v>
      </c>
      <c r="B681">
        <v>0.14565225520900099</v>
      </c>
      <c r="C681">
        <v>0.11269656853777101</v>
      </c>
      <c r="D681">
        <v>0.30110625165643501</v>
      </c>
      <c r="E681">
        <v>0.22087086490126401</v>
      </c>
    </row>
    <row r="682" spans="1:5" x14ac:dyDescent="0.2">
      <c r="A682">
        <v>4.5334844494816498E-3</v>
      </c>
      <c r="B682">
        <v>0.145855678684087</v>
      </c>
      <c r="C682">
        <v>0.112814103893876</v>
      </c>
      <c r="D682">
        <v>0.30123065583733</v>
      </c>
      <c r="E682">
        <v>0.221012957717101</v>
      </c>
    </row>
    <row r="683" spans="1:5" x14ac:dyDescent="0.2">
      <c r="A683">
        <v>4.5401513383779499E-3</v>
      </c>
      <c r="B683">
        <v>0.14605936696141</v>
      </c>
      <c r="C683">
        <v>0.112931520876263</v>
      </c>
      <c r="D683">
        <v>0.30135490418542998</v>
      </c>
      <c r="E683">
        <v>0.22115524497070799</v>
      </c>
    </row>
    <row r="684" spans="1:5" x14ac:dyDescent="0.2">
      <c r="A684">
        <v>4.5468182272742396E-3</v>
      </c>
      <c r="B684">
        <v>0.14626329504838201</v>
      </c>
      <c r="C684">
        <v>0.113048819706722</v>
      </c>
      <c r="D684">
        <v>0.30147899683852603</v>
      </c>
      <c r="E684">
        <v>0.22129770909017499</v>
      </c>
    </row>
    <row r="685" spans="1:5" x14ac:dyDescent="0.2">
      <c r="A685">
        <v>4.5534851161705397E-3</v>
      </c>
      <c r="B685">
        <v>0.14646743795241399</v>
      </c>
      <c r="C685">
        <v>0.113166000607044</v>
      </c>
      <c r="D685">
        <v>0.30160293393440801</v>
      </c>
      <c r="E685">
        <v>0.22144033250359099</v>
      </c>
    </row>
    <row r="686" spans="1:5" x14ac:dyDescent="0.2">
      <c r="A686">
        <v>4.5601520050668398E-3</v>
      </c>
      <c r="B686">
        <v>0.146671770680915</v>
      </c>
      <c r="C686">
        <v>0.11328306379902001</v>
      </c>
      <c r="D686">
        <v>0.301726715610869</v>
      </c>
      <c r="E686">
        <v>0.22158309763904599</v>
      </c>
    </row>
    <row r="687" spans="1:5" x14ac:dyDescent="0.2">
      <c r="A687">
        <v>4.5668188939631304E-3</v>
      </c>
      <c r="B687">
        <v>0.14687626824129801</v>
      </c>
      <c r="C687">
        <v>0.113400009504443</v>
      </c>
      <c r="D687">
        <v>0.30185034200569899</v>
      </c>
      <c r="E687">
        <v>0.22172598692463</v>
      </c>
    </row>
    <row r="688" spans="1:5" x14ac:dyDescent="0.2">
      <c r="A688">
        <v>4.5734857828594296E-3</v>
      </c>
      <c r="B688">
        <v>0.14708090564097301</v>
      </c>
      <c r="C688">
        <v>0.11351683794510301</v>
      </c>
      <c r="D688">
        <v>0.30197381325668898</v>
      </c>
      <c r="E688">
        <v>0.22186898278843001</v>
      </c>
    </row>
    <row r="689" spans="1:5" x14ac:dyDescent="0.2">
      <c r="A689">
        <v>4.5801526717557297E-3</v>
      </c>
      <c r="B689">
        <v>0.14728565788735101</v>
      </c>
      <c r="C689">
        <v>0.113633549342792</v>
      </c>
      <c r="D689">
        <v>0.30209712950163098</v>
      </c>
      <c r="E689">
        <v>0.22201206765853801</v>
      </c>
    </row>
    <row r="690" spans="1:5" x14ac:dyDescent="0.2">
      <c r="A690">
        <v>4.5868195606520203E-3</v>
      </c>
      <c r="B690">
        <v>0.147490499987843</v>
      </c>
      <c r="C690">
        <v>0.1137501439193</v>
      </c>
      <c r="D690">
        <v>0.30222029087831598</v>
      </c>
      <c r="E690">
        <v>0.22215522396304199</v>
      </c>
    </row>
    <row r="691" spans="1:5" x14ac:dyDescent="0.2">
      <c r="A691">
        <v>4.5934864495483204E-3</v>
      </c>
      <c r="B691">
        <v>0.14769540694986</v>
      </c>
      <c r="C691">
        <v>0.11386662189641999</v>
      </c>
      <c r="D691">
        <v>0.30234329752453498</v>
      </c>
      <c r="E691">
        <v>0.222298434130031</v>
      </c>
    </row>
    <row r="692" spans="1:5" x14ac:dyDescent="0.2">
      <c r="A692">
        <v>4.6001533384446196E-3</v>
      </c>
      <c r="B692">
        <v>0.14790035378081301</v>
      </c>
      <c r="C692">
        <v>0.11398298349594201</v>
      </c>
      <c r="D692">
        <v>0.30246614957807899</v>
      </c>
      <c r="E692">
        <v>0.222441680587596</v>
      </c>
    </row>
    <row r="693" spans="1:5" x14ac:dyDescent="0.2">
      <c r="A693">
        <v>4.6068202273409102E-3</v>
      </c>
      <c r="B693">
        <v>0.14810531548811301</v>
      </c>
      <c r="C693">
        <v>0.114099228939658</v>
      </c>
      <c r="D693">
        <v>0.30258884717674001</v>
      </c>
      <c r="E693">
        <v>0.22258494576382501</v>
      </c>
    </row>
    <row r="694" spans="1:5" x14ac:dyDescent="0.2">
      <c r="A694">
        <v>4.6134871162372103E-3</v>
      </c>
      <c r="B694">
        <v>0.148310267079171</v>
      </c>
      <c r="C694">
        <v>0.114215358449359</v>
      </c>
      <c r="D694">
        <v>0.30271139045830803</v>
      </c>
      <c r="E694">
        <v>0.22272821208680699</v>
      </c>
    </row>
    <row r="695" spans="1:5" x14ac:dyDescent="0.2">
      <c r="A695">
        <v>4.6201540051335104E-3</v>
      </c>
      <c r="B695">
        <v>0.14851518356139801</v>
      </c>
      <c r="C695">
        <v>0.114331372246837</v>
      </c>
      <c r="D695">
        <v>0.302833779560576</v>
      </c>
      <c r="E695">
        <v>0.22287146198463301</v>
      </c>
    </row>
    <row r="696" spans="1:5" x14ac:dyDescent="0.2">
      <c r="A696">
        <v>4.6268208940298001E-3</v>
      </c>
      <c r="B696">
        <v>0.14872003994220501</v>
      </c>
      <c r="C696">
        <v>0.114447270553882</v>
      </c>
      <c r="D696">
        <v>0.30295601462133398</v>
      </c>
      <c r="E696">
        <v>0.223014677885392</v>
      </c>
    </row>
    <row r="697" spans="1:5" x14ac:dyDescent="0.2">
      <c r="A697">
        <v>4.6334877829261002E-3</v>
      </c>
      <c r="B697">
        <v>0.148924811229002</v>
      </c>
      <c r="C697">
        <v>0.114563053592286</v>
      </c>
      <c r="D697">
        <v>0.30307809577837302</v>
      </c>
      <c r="E697">
        <v>0.223157842217172</v>
      </c>
    </row>
    <row r="698" spans="1:5" x14ac:dyDescent="0.2">
      <c r="A698">
        <v>4.6401546718223899E-3</v>
      </c>
      <c r="B698">
        <v>0.14912947242920099</v>
      </c>
      <c r="C698">
        <v>0.11467872158384</v>
      </c>
      <c r="D698">
        <v>0.30320002316948502</v>
      </c>
      <c r="E698">
        <v>0.223300937408064</v>
      </c>
    </row>
    <row r="699" spans="1:5" x14ac:dyDescent="0.2">
      <c r="A699">
        <v>4.64682156071869E-3</v>
      </c>
      <c r="B699">
        <v>0.14933399855021201</v>
      </c>
      <c r="C699">
        <v>0.114794274750336</v>
      </c>
      <c r="D699">
        <v>0.30332179693245997</v>
      </c>
      <c r="E699">
        <v>0.22344394588615701</v>
      </c>
    </row>
    <row r="700" spans="1:5" x14ac:dyDescent="0.2">
      <c r="A700">
        <v>4.6534884496149901E-3</v>
      </c>
      <c r="B700">
        <v>0.149538364599447</v>
      </c>
      <c r="C700">
        <v>0.114909713313565</v>
      </c>
      <c r="D700">
        <v>0.30344341720509099</v>
      </c>
      <c r="E700">
        <v>0.22358685007953899</v>
      </c>
    </row>
    <row r="701" spans="1:5" x14ac:dyDescent="0.2">
      <c r="A701">
        <v>4.6601553385112798E-3</v>
      </c>
      <c r="B701">
        <v>0.14974254558431599</v>
      </c>
      <c r="C701">
        <v>0.11502503749531801</v>
      </c>
      <c r="D701">
        <v>0.30356488412516802</v>
      </c>
      <c r="E701">
        <v>0.22372963241630101</v>
      </c>
    </row>
    <row r="702" spans="1:5" x14ac:dyDescent="0.2">
      <c r="A702">
        <v>4.6668222274075799E-3</v>
      </c>
      <c r="B702">
        <v>0.14994651651223101</v>
      </c>
      <c r="C702">
        <v>0.115140247517386</v>
      </c>
      <c r="D702">
        <v>0.30368619783048301</v>
      </c>
      <c r="E702">
        <v>0.22387227532453199</v>
      </c>
    </row>
    <row r="703" spans="1:5" x14ac:dyDescent="0.2">
      <c r="A703">
        <v>4.67348911630388E-3</v>
      </c>
      <c r="B703">
        <v>0.15015025239060201</v>
      </c>
      <c r="C703">
        <v>0.115255343601562</v>
      </c>
      <c r="D703">
        <v>0.303807358458826</v>
      </c>
      <c r="E703">
        <v>0.224014761232321</v>
      </c>
    </row>
    <row r="704" spans="1:5" x14ac:dyDescent="0.2">
      <c r="A704">
        <v>4.6801560052001697E-3</v>
      </c>
      <c r="B704">
        <v>0.15035372822684101</v>
      </c>
      <c r="C704">
        <v>0.11537032596963499</v>
      </c>
      <c r="D704">
        <v>0.30392836614798902</v>
      </c>
      <c r="E704">
        <v>0.22415707256775799</v>
      </c>
    </row>
    <row r="705" spans="1:5" x14ac:dyDescent="0.2">
      <c r="A705">
        <v>4.6868228940964698E-3</v>
      </c>
      <c r="B705">
        <v>0.15055691902835799</v>
      </c>
      <c r="C705">
        <v>0.115485194843398</v>
      </c>
      <c r="D705">
        <v>0.30404922103576298</v>
      </c>
      <c r="E705">
        <v>0.22429919175893201</v>
      </c>
    </row>
    <row r="706" spans="1:5" x14ac:dyDescent="0.2">
      <c r="A706">
        <v>4.6934897829927699E-3</v>
      </c>
      <c r="B706">
        <v>0.15075979980256399</v>
      </c>
      <c r="C706">
        <v>0.115599950444641</v>
      </c>
      <c r="D706">
        <v>0.30416992325993902</v>
      </c>
      <c r="E706">
        <v>0.22444110123393199</v>
      </c>
    </row>
    <row r="707" spans="1:5" x14ac:dyDescent="0.2">
      <c r="A707">
        <v>4.7001566718890596E-3</v>
      </c>
      <c r="B707">
        <v>0.15096234555686999</v>
      </c>
      <c r="C707">
        <v>0.115714592995156</v>
      </c>
      <c r="D707">
        <v>0.30429047295830902</v>
      </c>
      <c r="E707">
        <v>0.224582783420848</v>
      </c>
    </row>
    <row r="708" spans="1:5" x14ac:dyDescent="0.2">
      <c r="A708">
        <v>4.7068235607853597E-3</v>
      </c>
      <c r="B708">
        <v>0.15116453129868701</v>
      </c>
      <c r="C708">
        <v>0.115829122716735</v>
      </c>
      <c r="D708">
        <v>0.30441087026866398</v>
      </c>
      <c r="E708">
        <v>0.22472422074776899</v>
      </c>
    </row>
    <row r="709" spans="1:5" x14ac:dyDescent="0.2">
      <c r="A709">
        <v>4.7134904496816598E-3</v>
      </c>
      <c r="B709">
        <v>0.15136633203542599</v>
      </c>
      <c r="C709">
        <v>0.11594353983116799</v>
      </c>
      <c r="D709">
        <v>0.30453111532879501</v>
      </c>
      <c r="E709">
        <v>0.22486539564278499</v>
      </c>
    </row>
    <row r="710" spans="1:5" x14ac:dyDescent="0.2">
      <c r="A710">
        <v>4.7201573385779504E-3</v>
      </c>
      <c r="B710">
        <v>0.15156772277449901</v>
      </c>
      <c r="C710">
        <v>0.116057844560246</v>
      </c>
      <c r="D710">
        <v>0.304651208276493</v>
      </c>
      <c r="E710">
        <v>0.22500629053398499</v>
      </c>
    </row>
    <row r="711" spans="1:5" x14ac:dyDescent="0.2">
      <c r="A711">
        <v>4.7268242274742496E-3</v>
      </c>
      <c r="B711">
        <v>0.15176867852331499</v>
      </c>
      <c r="C711">
        <v>0.116172037125762</v>
      </c>
      <c r="D711">
        <v>0.30477114924955001</v>
      </c>
      <c r="E711">
        <v>0.22514688784945799</v>
      </c>
    </row>
    <row r="712" spans="1:5" x14ac:dyDescent="0.2">
      <c r="A712">
        <v>4.7334911163705497E-3</v>
      </c>
      <c r="B712">
        <v>0.151969174289286</v>
      </c>
      <c r="C712">
        <v>0.11628611774950701</v>
      </c>
      <c r="D712">
        <v>0.30489093838575598</v>
      </c>
      <c r="E712">
        <v>0.22528717001729301</v>
      </c>
    </row>
    <row r="713" spans="1:5" x14ac:dyDescent="0.2">
      <c r="A713">
        <v>4.7401580052668403E-3</v>
      </c>
      <c r="B713">
        <v>0.15216918507982299</v>
      </c>
      <c r="C713">
        <v>0.11640008665327101</v>
      </c>
      <c r="D713">
        <v>0.30501057582290297</v>
      </c>
      <c r="E713">
        <v>0.225427119465581</v>
      </c>
    </row>
    <row r="714" spans="1:5" x14ac:dyDescent="0.2">
      <c r="A714">
        <v>4.7468248941631404E-3</v>
      </c>
      <c r="B714">
        <v>0.15236868590233599</v>
      </c>
      <c r="C714">
        <v>0.11651394405884601</v>
      </c>
      <c r="D714">
        <v>0.30513006169878198</v>
      </c>
      <c r="E714">
        <v>0.22556671862241001</v>
      </c>
    </row>
    <row r="715" spans="1:5" x14ac:dyDescent="0.2">
      <c r="A715">
        <v>4.7534917830594397E-3</v>
      </c>
      <c r="B715">
        <v>0.152567651764238</v>
      </c>
      <c r="C715">
        <v>0.11662769018802401</v>
      </c>
      <c r="D715">
        <v>0.30524939615118402</v>
      </c>
      <c r="E715">
        <v>0.22570594991587001</v>
      </c>
    </row>
    <row r="716" spans="1:5" x14ac:dyDescent="0.2">
      <c r="A716">
        <v>4.7601586719557302E-3</v>
      </c>
      <c r="B716">
        <v>0.15276605767293799</v>
      </c>
      <c r="C716">
        <v>0.11674132526259499</v>
      </c>
      <c r="D716">
        <v>0.30536857931790101</v>
      </c>
      <c r="E716">
        <v>0.22584479577405001</v>
      </c>
    </row>
    <row r="717" spans="1:5" x14ac:dyDescent="0.2">
      <c r="A717">
        <v>4.7668255608520303E-3</v>
      </c>
      <c r="B717">
        <v>0.15296387863584701</v>
      </c>
      <c r="C717">
        <v>0.116854849504351</v>
      </c>
      <c r="D717">
        <v>0.30548761133672298</v>
      </c>
      <c r="E717">
        <v>0.22598323862503999</v>
      </c>
    </row>
    <row r="718" spans="1:5" x14ac:dyDescent="0.2">
      <c r="A718">
        <v>4.7734924497483304E-3</v>
      </c>
      <c r="B718">
        <v>0.153161089660377</v>
      </c>
      <c r="C718">
        <v>0.116968263135083</v>
      </c>
      <c r="D718">
        <v>0.30560649234544202</v>
      </c>
      <c r="E718">
        <v>0.22612126089692899</v>
      </c>
    </row>
    <row r="719" spans="1:5" x14ac:dyDescent="0.2">
      <c r="A719">
        <v>4.7801593386446201E-3</v>
      </c>
      <c r="B719">
        <v>0.153357665753939</v>
      </c>
      <c r="C719">
        <v>0.117081566376583</v>
      </c>
      <c r="D719">
        <v>0.30572522248185002</v>
      </c>
      <c r="E719">
        <v>0.22625884501780599</v>
      </c>
    </row>
    <row r="720" spans="1:5" x14ac:dyDescent="0.2">
      <c r="A720">
        <v>4.7868262275409202E-3</v>
      </c>
      <c r="B720">
        <v>0.153553581923943</v>
      </c>
      <c r="C720">
        <v>0.11719475945064201</v>
      </c>
      <c r="D720">
        <v>0.305843801883737</v>
      </c>
      <c r="E720">
        <v>0.22639597341576101</v>
      </c>
    </row>
    <row r="721" spans="1:5" x14ac:dyDescent="0.2">
      <c r="A721">
        <v>4.7934931164372203E-3</v>
      </c>
      <c r="B721">
        <v>0.15374881317780001</v>
      </c>
      <c r="C721">
        <v>0.11730784257905</v>
      </c>
      <c r="D721">
        <v>0.305962230688894</v>
      </c>
      <c r="E721">
        <v>0.22653262851888301</v>
      </c>
    </row>
    <row r="722" spans="1:5" x14ac:dyDescent="0.2">
      <c r="A722">
        <v>4.80016000533351E-3</v>
      </c>
      <c r="B722">
        <v>0.153943334522922</v>
      </c>
      <c r="C722">
        <v>0.1174208159836</v>
      </c>
      <c r="D722">
        <v>0.30608050903511402</v>
      </c>
      <c r="E722">
        <v>0.226668792755261</v>
      </c>
    </row>
    <row r="723" spans="1:5" x14ac:dyDescent="0.2">
      <c r="A723">
        <v>4.8068268942298101E-3</v>
      </c>
      <c r="B723">
        <v>0.154137120966719</v>
      </c>
      <c r="C723">
        <v>0.117533679886083</v>
      </c>
      <c r="D723">
        <v>0.30619863706018602</v>
      </c>
      <c r="E723">
        <v>0.22680444855298601</v>
      </c>
    </row>
    <row r="724" spans="1:5" x14ac:dyDescent="0.2">
      <c r="A724">
        <v>4.8134937831260998E-3</v>
      </c>
      <c r="B724">
        <v>0.15433014751660201</v>
      </c>
      <c r="C724">
        <v>0.11764643450829</v>
      </c>
      <c r="D724">
        <v>0.30631661490190198</v>
      </c>
      <c r="E724">
        <v>0.226939578340145</v>
      </c>
    </row>
    <row r="725" spans="1:5" x14ac:dyDescent="0.2">
      <c r="A725">
        <v>4.8201606720224E-3</v>
      </c>
      <c r="B725">
        <v>0.15452238917998301</v>
      </c>
      <c r="C725">
        <v>0.117759080072012</v>
      </c>
      <c r="D725">
        <v>0.30643444269805398</v>
      </c>
      <c r="E725">
        <v>0.22707416454483001</v>
      </c>
    </row>
    <row r="726" spans="1:5" x14ac:dyDescent="0.2">
      <c r="A726">
        <v>4.8268275609187001E-3</v>
      </c>
      <c r="B726">
        <v>0.154713820964271</v>
      </c>
      <c r="C726">
        <v>0.117871616799041</v>
      </c>
      <c r="D726">
        <v>0.306552120586432</v>
      </c>
      <c r="E726">
        <v>0.22720818959512801</v>
      </c>
    </row>
    <row r="727" spans="1:5" x14ac:dyDescent="0.2">
      <c r="A727">
        <v>4.8334944498149898E-3</v>
      </c>
      <c r="B727">
        <v>0.154904417876879</v>
      </c>
      <c r="C727">
        <v>0.117984044911167</v>
      </c>
      <c r="D727">
        <v>0.30666964870482899</v>
      </c>
      <c r="E727">
        <v>0.22734163591913001</v>
      </c>
    </row>
    <row r="728" spans="1:5" x14ac:dyDescent="0.2">
      <c r="A728">
        <v>4.8401613387112899E-3</v>
      </c>
      <c r="B728">
        <v>0.155094154925216</v>
      </c>
      <c r="C728">
        <v>0.118096364630183</v>
      </c>
      <c r="D728">
        <v>0.30678702719103401</v>
      </c>
      <c r="E728">
        <v>0.227474485944925</v>
      </c>
    </row>
    <row r="729" spans="1:5" x14ac:dyDescent="0.2">
      <c r="A729">
        <v>4.84682822760759E-3</v>
      </c>
      <c r="B729">
        <v>0.15528300711669499</v>
      </c>
      <c r="C729">
        <v>0.11820857617788</v>
      </c>
      <c r="D729">
        <v>0.30690425618284001</v>
      </c>
      <c r="E729">
        <v>0.22760672210060201</v>
      </c>
    </row>
    <row r="730" spans="1:5" x14ac:dyDescent="0.2">
      <c r="A730">
        <v>4.8534951165038797E-3</v>
      </c>
      <c r="B730">
        <v>0.155470949458725</v>
      </c>
      <c r="C730">
        <v>0.118320679776048</v>
      </c>
      <c r="D730">
        <v>0.30702133581803698</v>
      </c>
      <c r="E730">
        <v>0.22773832681424999</v>
      </c>
    </row>
    <row r="731" spans="1:5" x14ac:dyDescent="0.2">
      <c r="A731">
        <v>4.8601620054001798E-3</v>
      </c>
      <c r="B731">
        <v>0.15565795695871901</v>
      </c>
      <c r="C731">
        <v>0.118432675646479</v>
      </c>
      <c r="D731">
        <v>0.30713826623441698</v>
      </c>
      <c r="E731">
        <v>0.22786928251395899</v>
      </c>
    </row>
    <row r="732" spans="1:5" x14ac:dyDescent="0.2">
      <c r="A732">
        <v>4.8668288942964799E-3</v>
      </c>
      <c r="B732">
        <v>0.15584400462408499</v>
      </c>
      <c r="C732">
        <v>0.118544564010964</v>
      </c>
      <c r="D732">
        <v>0.30725504756977101</v>
      </c>
      <c r="E732">
        <v>0.227999571627819</v>
      </c>
    </row>
    <row r="733" spans="1:5" x14ac:dyDescent="0.2">
      <c r="A733">
        <v>4.8734957831927696E-3</v>
      </c>
      <c r="B733">
        <v>0.15602906746223699</v>
      </c>
      <c r="C733">
        <v>0.11865634509129599</v>
      </c>
      <c r="D733">
        <v>0.30737167996189002</v>
      </c>
      <c r="E733">
        <v>0.22812917658391901</v>
      </c>
    </row>
    <row r="734" spans="1:5" x14ac:dyDescent="0.2">
      <c r="A734">
        <v>4.8801626720890697E-3</v>
      </c>
      <c r="B734">
        <v>0.156213120480585</v>
      </c>
      <c r="C734">
        <v>0.118768019109264</v>
      </c>
      <c r="D734">
        <v>0.30748816354856501</v>
      </c>
      <c r="E734">
        <v>0.22825807981034699</v>
      </c>
    </row>
    <row r="735" spans="1:5" x14ac:dyDescent="0.2">
      <c r="A735">
        <v>4.8868295609853698E-3</v>
      </c>
      <c r="B735">
        <v>0.15639613868653901</v>
      </c>
      <c r="C735">
        <v>0.11887958628666</v>
      </c>
      <c r="D735">
        <v>0.30760449846758797</v>
      </c>
      <c r="E735">
        <v>0.228386263735194</v>
      </c>
    </row>
    <row r="736" spans="1:5" x14ac:dyDescent="0.2">
      <c r="A736">
        <v>4.8934964498816604E-3</v>
      </c>
      <c r="B736">
        <v>0.15657809708751</v>
      </c>
      <c r="C736">
        <v>0.11899104684527601</v>
      </c>
      <c r="D736">
        <v>0.30772068485675003</v>
      </c>
      <c r="E736">
        <v>0.228513710786549</v>
      </c>
    </row>
    <row r="737" spans="1:5" x14ac:dyDescent="0.2">
      <c r="A737">
        <v>4.9001633387779596E-3</v>
      </c>
      <c r="B737">
        <v>0.15675897069090999</v>
      </c>
      <c r="C737">
        <v>0.119102401006903</v>
      </c>
      <c r="D737">
        <v>0.307836722853842</v>
      </c>
      <c r="E737">
        <v>0.228640403392501</v>
      </c>
    </row>
    <row r="738" spans="1:5" x14ac:dyDescent="0.2">
      <c r="A738">
        <v>4.9068302276742597E-3</v>
      </c>
      <c r="B738">
        <v>0.15693873450415</v>
      </c>
      <c r="C738">
        <v>0.11921364899333201</v>
      </c>
      <c r="D738">
        <v>0.30795261259665502</v>
      </c>
      <c r="E738">
        <v>0.22876632398114</v>
      </c>
    </row>
    <row r="739" spans="1:5" x14ac:dyDescent="0.2">
      <c r="A739">
        <v>4.9134971165705503E-3</v>
      </c>
      <c r="B739">
        <v>0.15711736353464001</v>
      </c>
      <c r="C739">
        <v>0.119324791026355</v>
      </c>
      <c r="D739">
        <v>0.30806835422298001</v>
      </c>
      <c r="E739">
        <v>0.22889145498055499</v>
      </c>
    </row>
    <row r="740" spans="1:5" x14ac:dyDescent="0.2">
      <c r="A740">
        <v>4.9201640054668504E-3</v>
      </c>
      <c r="B740">
        <v>0.15729483278979101</v>
      </c>
      <c r="C740">
        <v>0.11943582732776201</v>
      </c>
      <c r="D740">
        <v>0.30818394787060899</v>
      </c>
      <c r="E740">
        <v>0.229015778818835</v>
      </c>
    </row>
    <row r="741" spans="1:5" x14ac:dyDescent="0.2">
      <c r="A741">
        <v>4.9268308943631496E-3</v>
      </c>
      <c r="B741">
        <v>0.15747111727701399</v>
      </c>
      <c r="C741">
        <v>0.11954675811934599</v>
      </c>
      <c r="D741">
        <v>0.308299393677333</v>
      </c>
      <c r="E741">
        <v>0.22913927792406999</v>
      </c>
    </row>
    <row r="742" spans="1:5" x14ac:dyDescent="0.2">
      <c r="A742">
        <v>4.9334977832594402E-3</v>
      </c>
      <c r="B742">
        <v>0.15764619200372099</v>
      </c>
      <c r="C742">
        <v>0.119657583622896</v>
      </c>
      <c r="D742">
        <v>0.308414691780943</v>
      </c>
      <c r="E742">
        <v>0.22926193472435</v>
      </c>
    </row>
    <row r="743" spans="1:5" x14ac:dyDescent="0.2">
      <c r="A743">
        <v>4.9401646721557403E-3</v>
      </c>
      <c r="B743">
        <v>0.157820031977322</v>
      </c>
      <c r="C743">
        <v>0.119768304060206</v>
      </c>
      <c r="D743">
        <v>0.30852984231923097</v>
      </c>
      <c r="E743">
        <v>0.22938373164776199</v>
      </c>
    </row>
    <row r="744" spans="1:5" x14ac:dyDescent="0.2">
      <c r="A744">
        <v>4.9468315610520404E-3</v>
      </c>
      <c r="B744">
        <v>0.15799261220522801</v>
      </c>
      <c r="C744">
        <v>0.11987891965306501</v>
      </c>
      <c r="D744">
        <v>0.30864484542998599</v>
      </c>
      <c r="E744">
        <v>0.22950465112239801</v>
      </c>
    </row>
    <row r="745" spans="1:5" x14ac:dyDescent="0.2">
      <c r="A745">
        <v>4.9534984499483301E-3</v>
      </c>
      <c r="B745">
        <v>0.15816390769485</v>
      </c>
      <c r="C745">
        <v>0.119989430623266</v>
      </c>
      <c r="D745">
        <v>0.30875970125100199</v>
      </c>
      <c r="E745">
        <v>0.229624675576346</v>
      </c>
    </row>
    <row r="746" spans="1:5" x14ac:dyDescent="0.2">
      <c r="A746">
        <v>4.9601653388446302E-3</v>
      </c>
      <c r="B746">
        <v>0.158333893453599</v>
      </c>
      <c r="C746">
        <v>0.12009983719259899</v>
      </c>
      <c r="D746">
        <v>0.30887440992006798</v>
      </c>
      <c r="E746">
        <v>0.229743787437696</v>
      </c>
    </row>
    <row r="747" spans="1:5" x14ac:dyDescent="0.2">
      <c r="A747">
        <v>4.9668322277409303E-3</v>
      </c>
      <c r="B747">
        <v>0.15850254448888601</v>
      </c>
      <c r="C747">
        <v>0.12021013958285599</v>
      </c>
      <c r="D747">
        <v>0.30898897157497701</v>
      </c>
      <c r="E747">
        <v>0.22986196913453699</v>
      </c>
    </row>
    <row r="748" spans="1:5" x14ac:dyDescent="0.2">
      <c r="A748">
        <v>4.97349911663722E-3</v>
      </c>
      <c r="B748">
        <v>0.158669835808122</v>
      </c>
      <c r="C748">
        <v>0.120320338015828</v>
      </c>
      <c r="D748">
        <v>0.30910338635351903</v>
      </c>
      <c r="E748">
        <v>0.22997920309495801</v>
      </c>
    </row>
    <row r="749" spans="1:5" x14ac:dyDescent="0.2">
      <c r="A749">
        <v>4.9801660055335201E-3</v>
      </c>
      <c r="B749">
        <v>0.15883574241871801</v>
      </c>
      <c r="C749">
        <v>0.120430432713306</v>
      </c>
      <c r="D749">
        <v>0.30921765439348597</v>
      </c>
      <c r="E749">
        <v>0.230095471747049</v>
      </c>
    </row>
    <row r="750" spans="1:5" x14ac:dyDescent="0.2">
      <c r="A750">
        <v>4.9868328944298202E-3</v>
      </c>
      <c r="B750">
        <v>0.15900023932808499</v>
      </c>
      <c r="C750">
        <v>0.120540423897083</v>
      </c>
      <c r="D750">
        <v>0.30933177583266802</v>
      </c>
      <c r="E750">
        <v>0.23021075751889999</v>
      </c>
    </row>
    <row r="751" spans="1:5" x14ac:dyDescent="0.2">
      <c r="A751">
        <v>4.9934997833261099E-3</v>
      </c>
      <c r="B751">
        <v>0.15916330154363301</v>
      </c>
      <c r="C751">
        <v>0.120650311788948</v>
      </c>
      <c r="D751">
        <v>0.309445750808858</v>
      </c>
      <c r="E751">
        <v>0.230325042838599</v>
      </c>
    </row>
    <row r="752" spans="1:5" x14ac:dyDescent="0.2">
      <c r="A752">
        <v>5.00016667222241E-3</v>
      </c>
      <c r="B752">
        <v>0.159324904072872</v>
      </c>
      <c r="C752">
        <v>0.12076009661069299</v>
      </c>
      <c r="D752">
        <v>0.30955957945984502</v>
      </c>
      <c r="E752">
        <v>0.23043831013430399</v>
      </c>
    </row>
    <row r="753" spans="1:5" x14ac:dyDescent="0.2">
      <c r="A753">
        <v>5.0068335611186997E-3</v>
      </c>
      <c r="B753">
        <v>0.159485028656384</v>
      </c>
      <c r="C753">
        <v>0.12086977858411101</v>
      </c>
      <c r="D753">
        <v>0.30967326192342198</v>
      </c>
      <c r="E753">
        <v>0.23055054654107701</v>
      </c>
    </row>
    <row r="754" spans="1:5" x14ac:dyDescent="0.2">
      <c r="A754">
        <v>5.0135004500149998E-3</v>
      </c>
      <c r="B754">
        <v>0.15964368202236301</v>
      </c>
      <c r="C754">
        <v>0.120979357930991</v>
      </c>
      <c r="D754">
        <v>0.30978679833737999</v>
      </c>
      <c r="E754">
        <v>0.23066175666212199</v>
      </c>
    </row>
    <row r="755" spans="1:5" x14ac:dyDescent="0.2">
      <c r="A755">
        <v>5.0201673389112999E-3</v>
      </c>
      <c r="B755">
        <v>0.15980087669437201</v>
      </c>
      <c r="C755">
        <v>0.121088834873125</v>
      </c>
      <c r="D755">
        <v>0.30990018883950998</v>
      </c>
      <c r="E755">
        <v>0.23077194915202101</v>
      </c>
    </row>
    <row r="756" spans="1:5" x14ac:dyDescent="0.2">
      <c r="A756">
        <v>5.0268342278075896E-3</v>
      </c>
      <c r="B756">
        <v>0.15995662519596901</v>
      </c>
      <c r="C756">
        <v>0.121198209632305</v>
      </c>
      <c r="D756">
        <v>0.31001343356760303</v>
      </c>
      <c r="E756">
        <v>0.23088113266535501</v>
      </c>
    </row>
    <row r="757" spans="1:5" x14ac:dyDescent="0.2">
      <c r="A757">
        <v>5.0335011167038897E-3</v>
      </c>
      <c r="B757">
        <v>0.16011094005071599</v>
      </c>
      <c r="C757">
        <v>0.12130748243032199</v>
      </c>
      <c r="D757">
        <v>0.31012653265945</v>
      </c>
      <c r="E757">
        <v>0.23098931585670601</v>
      </c>
    </row>
    <row r="758" spans="1:5" x14ac:dyDescent="0.2">
      <c r="A758">
        <v>5.0401680056001898E-3</v>
      </c>
      <c r="B758">
        <v>0.16026383378217299</v>
      </c>
      <c r="C758">
        <v>0.12141665348896701</v>
      </c>
      <c r="D758">
        <v>0.31023948625284198</v>
      </c>
      <c r="E758">
        <v>0.23109650738065701</v>
      </c>
    </row>
    <row r="759" spans="1:5" x14ac:dyDescent="0.2">
      <c r="A759">
        <v>5.0468348944964804E-3</v>
      </c>
      <c r="B759">
        <v>0.16041531891390201</v>
      </c>
      <c r="C759">
        <v>0.12152572303003099</v>
      </c>
      <c r="D759">
        <v>0.310352294485571</v>
      </c>
      <c r="E759">
        <v>0.23120271589178801</v>
      </c>
    </row>
    <row r="760" spans="1:5" x14ac:dyDescent="0.2">
      <c r="A760">
        <v>5.0535017833927796E-3</v>
      </c>
      <c r="B760">
        <v>0.160565407969461</v>
      </c>
      <c r="C760">
        <v>0.121634691275306</v>
      </c>
      <c r="D760">
        <v>0.31046495749542902</v>
      </c>
      <c r="E760">
        <v>0.23130795004468299</v>
      </c>
    </row>
    <row r="761" spans="1:5" x14ac:dyDescent="0.2">
      <c r="A761">
        <v>5.0601686722890797E-3</v>
      </c>
      <c r="B761">
        <v>0.16071411347241199</v>
      </c>
      <c r="C761">
        <v>0.12174355844658299</v>
      </c>
      <c r="D761">
        <v>0.31057747542020497</v>
      </c>
      <c r="E761">
        <v>0.23141221849392299</v>
      </c>
    </row>
    <row r="762" spans="1:5" x14ac:dyDescent="0.2">
      <c r="A762">
        <v>5.0668355611853703E-3</v>
      </c>
      <c r="B762">
        <v>0.16086144794631599</v>
      </c>
      <c r="C762">
        <v>0.121852324765653</v>
      </c>
      <c r="D762">
        <v>0.31068984839769198</v>
      </c>
      <c r="E762">
        <v>0.23151552989408999</v>
      </c>
    </row>
    <row r="763" spans="1:5" x14ac:dyDescent="0.2">
      <c r="A763">
        <v>5.0735024500816704E-3</v>
      </c>
      <c r="B763">
        <v>0.16100742391473299</v>
      </c>
      <c r="C763">
        <v>0.121960990454308</v>
      </c>
      <c r="D763">
        <v>0.31080207656567999</v>
      </c>
      <c r="E763">
        <v>0.231617892899765</v>
      </c>
    </row>
    <row r="764" spans="1:5" x14ac:dyDescent="0.2">
      <c r="A764">
        <v>5.0801693389779697E-3</v>
      </c>
      <c r="B764">
        <v>0.161152053901223</v>
      </c>
      <c r="C764">
        <v>0.122069555734338</v>
      </c>
      <c r="D764">
        <v>0.31091416006196199</v>
      </c>
      <c r="E764">
        <v>0.23171931616553201</v>
      </c>
    </row>
    <row r="765" spans="1:5" x14ac:dyDescent="0.2">
      <c r="A765">
        <v>5.0868362278742602E-3</v>
      </c>
      <c r="B765">
        <v>0.16129535042934801</v>
      </c>
      <c r="C765">
        <v>0.122178020827536</v>
      </c>
      <c r="D765">
        <v>0.31102609902432699</v>
      </c>
      <c r="E765">
        <v>0.23181980834597099</v>
      </c>
    </row>
    <row r="766" spans="1:5" x14ac:dyDescent="0.2">
      <c r="A766">
        <v>5.0935031167705603E-3</v>
      </c>
      <c r="B766">
        <v>0.161437326022667</v>
      </c>
      <c r="C766">
        <v>0.12228638595569299</v>
      </c>
      <c r="D766">
        <v>0.31113789359056698</v>
      </c>
      <c r="E766">
        <v>0.23191937809566401</v>
      </c>
    </row>
    <row r="767" spans="1:5" x14ac:dyDescent="0.2">
      <c r="A767">
        <v>5.1001700056668596E-3</v>
      </c>
      <c r="B767">
        <v>0.161577993204742</v>
      </c>
      <c r="C767">
        <v>0.122394651340599</v>
      </c>
      <c r="D767">
        <v>0.31124954389847398</v>
      </c>
      <c r="E767">
        <v>0.232018034069194</v>
      </c>
    </row>
    <row r="768" spans="1:5" x14ac:dyDescent="0.2">
      <c r="A768">
        <v>5.1068368945631501E-3</v>
      </c>
      <c r="B768">
        <v>0.16171736449913299</v>
      </c>
      <c r="C768">
        <v>0.122502817204046</v>
      </c>
      <c r="D768">
        <v>0.31136105008583898</v>
      </c>
      <c r="E768">
        <v>0.23211578492114299</v>
      </c>
    </row>
    <row r="769" spans="1:5" x14ac:dyDescent="0.2">
      <c r="A769">
        <v>5.1135037834594502E-3</v>
      </c>
      <c r="B769">
        <v>0.1618554524294</v>
      </c>
      <c r="C769">
        <v>0.122610883767826</v>
      </c>
      <c r="D769">
        <v>0.31147241229045203</v>
      </c>
      <c r="E769">
        <v>0.23221263930609101</v>
      </c>
    </row>
    <row r="770" spans="1:5" x14ac:dyDescent="0.2">
      <c r="A770">
        <v>5.1201706723557503E-3</v>
      </c>
      <c r="B770">
        <v>0.161992269519104</v>
      </c>
      <c r="C770">
        <v>0.122718851253729</v>
      </c>
      <c r="D770">
        <v>0.31158363065010602</v>
      </c>
      <c r="E770">
        <v>0.23230860587862201</v>
      </c>
    </row>
    <row r="771" spans="1:5" x14ac:dyDescent="0.2">
      <c r="A771">
        <v>5.12683756125204E-3</v>
      </c>
      <c r="B771">
        <v>0.162127828291805</v>
      </c>
      <c r="C771">
        <v>0.122826719883547</v>
      </c>
      <c r="D771">
        <v>0.31169470530259102</v>
      </c>
      <c r="E771">
        <v>0.232403693293318</v>
      </c>
    </row>
    <row r="772" spans="1:5" x14ac:dyDescent="0.2">
      <c r="A772">
        <v>5.1335044501483401E-3</v>
      </c>
      <c r="B772">
        <v>0.162262141271065</v>
      </c>
      <c r="C772">
        <v>0.122934489879072</v>
      </c>
      <c r="D772">
        <v>0.31180563638569803</v>
      </c>
      <c r="E772">
        <v>0.23249791020475899</v>
      </c>
    </row>
    <row r="773" spans="1:5" x14ac:dyDescent="0.2">
      <c r="A773">
        <v>5.1401713390446403E-3</v>
      </c>
      <c r="B773">
        <v>0.16239522098044401</v>
      </c>
      <c r="C773">
        <v>0.123042161462094</v>
      </c>
      <c r="D773">
        <v>0.31191642403721997</v>
      </c>
      <c r="E773">
        <v>0.23259126526752799</v>
      </c>
    </row>
    <row r="774" spans="1:5" x14ac:dyDescent="0.2">
      <c r="A774">
        <v>5.14683822794093E-3</v>
      </c>
      <c r="B774">
        <v>0.16252707994350199</v>
      </c>
      <c r="C774">
        <v>0.123149734854405</v>
      </c>
      <c r="D774">
        <v>0.31202706839494598</v>
      </c>
      <c r="E774">
        <v>0.232683767136207</v>
      </c>
    </row>
    <row r="775" spans="1:5" x14ac:dyDescent="0.2">
      <c r="A775">
        <v>5.1535051168372301E-3</v>
      </c>
      <c r="B775">
        <v>0.16265773068379999</v>
      </c>
      <c r="C775">
        <v>0.123257210277796</v>
      </c>
      <c r="D775">
        <v>0.312137569596668</v>
      </c>
      <c r="E775">
        <v>0.23277542446537799</v>
      </c>
    </row>
    <row r="776" spans="1:5" x14ac:dyDescent="0.2">
      <c r="A776">
        <v>5.1601720057335198E-3</v>
      </c>
      <c r="B776">
        <v>0.162787185724898</v>
      </c>
      <c r="C776">
        <v>0.123364587954059</v>
      </c>
      <c r="D776">
        <v>0.31224792778017801</v>
      </c>
      <c r="E776">
        <v>0.23286624590962199</v>
      </c>
    </row>
    <row r="777" spans="1:5" x14ac:dyDescent="0.2">
      <c r="A777">
        <v>5.1668388946298199E-3</v>
      </c>
      <c r="B777">
        <v>0.162915457590357</v>
      </c>
      <c r="C777">
        <v>0.12347186810498401</v>
      </c>
      <c r="D777">
        <v>0.31235814308326598</v>
      </c>
      <c r="E777">
        <v>0.23295624012352301</v>
      </c>
    </row>
    <row r="778" spans="1:5" x14ac:dyDescent="0.2">
      <c r="A778">
        <v>5.17350578352612E-3</v>
      </c>
      <c r="B778">
        <v>0.163042558803738</v>
      </c>
      <c r="C778">
        <v>0.123579050952364</v>
      </c>
      <c r="D778">
        <v>0.31246821564372401</v>
      </c>
      <c r="E778">
        <v>0.23304541576165999</v>
      </c>
    </row>
    <row r="779" spans="1:5" x14ac:dyDescent="0.2">
      <c r="A779">
        <v>5.1801726724224097E-3</v>
      </c>
      <c r="B779">
        <v>0.16316850188860099</v>
      </c>
      <c r="C779">
        <v>0.123686136717989</v>
      </c>
      <c r="D779">
        <v>0.31257814559934399</v>
      </c>
      <c r="E779">
        <v>0.23313378147861699</v>
      </c>
    </row>
    <row r="780" spans="1:5" x14ac:dyDescent="0.2">
      <c r="A780">
        <v>5.1868395613187098E-3</v>
      </c>
      <c r="B780">
        <v>0.16329329936850601</v>
      </c>
      <c r="C780">
        <v>0.12379312562365</v>
      </c>
      <c r="D780">
        <v>0.31268793308791498</v>
      </c>
      <c r="E780">
        <v>0.233221345928976</v>
      </c>
    </row>
    <row r="781" spans="1:5" x14ac:dyDescent="0.2">
      <c r="A781">
        <v>5.1935064502150099E-3</v>
      </c>
      <c r="B781">
        <v>0.16341696376701501</v>
      </c>
      <c r="C781">
        <v>0.12390001789114</v>
      </c>
      <c r="D781">
        <v>0.31279757824722998</v>
      </c>
      <c r="E781">
        <v>0.233308117767318</v>
      </c>
    </row>
    <row r="782" spans="1:5" x14ac:dyDescent="0.2">
      <c r="A782">
        <v>5.2001733391112996E-3</v>
      </c>
      <c r="B782">
        <v>0.16353950760768801</v>
      </c>
      <c r="C782">
        <v>0.12400681374224801</v>
      </c>
      <c r="D782">
        <v>0.31290708121507999</v>
      </c>
      <c r="E782">
        <v>0.23339410564822499</v>
      </c>
    </row>
    <row r="783" spans="1:5" x14ac:dyDescent="0.2">
      <c r="A783">
        <v>5.2068402280075997E-3</v>
      </c>
      <c r="B783">
        <v>0.16366094341408499</v>
      </c>
      <c r="C783">
        <v>0.124113513398767</v>
      </c>
      <c r="D783">
        <v>0.313016442129255</v>
      </c>
      <c r="E783">
        <v>0.23347931822627899</v>
      </c>
    </row>
    <row r="784" spans="1:5" x14ac:dyDescent="0.2">
      <c r="A784">
        <v>5.2135071169038998E-3</v>
      </c>
      <c r="B784">
        <v>0.16378128370976699</v>
      </c>
      <c r="C784">
        <v>0.12422011708248799</v>
      </c>
      <c r="D784">
        <v>0.31312566112754803</v>
      </c>
      <c r="E784">
        <v>0.233563764156062</v>
      </c>
    </row>
    <row r="785" spans="1:5" x14ac:dyDescent="0.2">
      <c r="A785">
        <v>5.2201740058001904E-3</v>
      </c>
      <c r="B785">
        <v>0.16390054101829499</v>
      </c>
      <c r="C785">
        <v>0.124326625015203</v>
      </c>
      <c r="D785">
        <v>0.31323473834774901</v>
      </c>
      <c r="E785">
        <v>0.23364745209215601</v>
      </c>
    </row>
    <row r="786" spans="1:5" x14ac:dyDescent="0.2">
      <c r="A786">
        <v>5.2268408946964896E-3</v>
      </c>
      <c r="B786">
        <v>0.16401872786322899</v>
      </c>
      <c r="C786">
        <v>0.124433037418701</v>
      </c>
      <c r="D786">
        <v>0.313343673927649</v>
      </c>
      <c r="E786">
        <v>0.233730390689143</v>
      </c>
    </row>
    <row r="787" spans="1:5" x14ac:dyDescent="0.2">
      <c r="A787">
        <v>5.2335077835927897E-3</v>
      </c>
      <c r="B787">
        <v>0.16413585676813</v>
      </c>
      <c r="C787">
        <v>0.124539354514776</v>
      </c>
      <c r="D787">
        <v>0.31345246800504001</v>
      </c>
      <c r="E787">
        <v>0.233812588601605</v>
      </c>
    </row>
    <row r="788" spans="1:5" x14ac:dyDescent="0.2">
      <c r="A788">
        <v>5.2401746724890803E-3</v>
      </c>
      <c r="B788">
        <v>0.16425194025655701</v>
      </c>
      <c r="C788">
        <v>0.124645576525217</v>
      </c>
      <c r="D788">
        <v>0.31356112071771403</v>
      </c>
      <c r="E788">
        <v>0.23389405448412301</v>
      </c>
    </row>
    <row r="789" spans="1:5" x14ac:dyDescent="0.2">
      <c r="A789">
        <v>5.2468415613853804E-3</v>
      </c>
      <c r="B789">
        <v>0.16436699085207301</v>
      </c>
      <c r="C789">
        <v>0.124751703671817</v>
      </c>
      <c r="D789">
        <v>0.31366963220346</v>
      </c>
      <c r="E789">
        <v>0.23397479699127999</v>
      </c>
    </row>
    <row r="790" spans="1:5" x14ac:dyDescent="0.2">
      <c r="A790">
        <v>5.2535084502816796E-3</v>
      </c>
      <c r="B790">
        <v>0.16448102107823701</v>
      </c>
      <c r="C790">
        <v>0.124857736176366</v>
      </c>
      <c r="D790">
        <v>0.31377800260007099</v>
      </c>
      <c r="E790">
        <v>0.23405482477765799</v>
      </c>
    </row>
    <row r="791" spans="1:5" x14ac:dyDescent="0.2">
      <c r="A791">
        <v>5.2601753391779702E-3</v>
      </c>
      <c r="B791">
        <v>0.16459404345861001</v>
      </c>
      <c r="C791">
        <v>0.12496367426065599</v>
      </c>
      <c r="D791">
        <v>0.313886232045337</v>
      </c>
      <c r="E791">
        <v>0.23413414649783701</v>
      </c>
    </row>
    <row r="792" spans="1:5" x14ac:dyDescent="0.2">
      <c r="A792">
        <v>5.2668422280742703E-3</v>
      </c>
      <c r="B792">
        <v>0.16470607051675301</v>
      </c>
      <c r="C792">
        <v>0.12506951814647899</v>
      </c>
      <c r="D792">
        <v>0.31399432067705102</v>
      </c>
      <c r="E792">
        <v>0.23421277080640199</v>
      </c>
    </row>
    <row r="793" spans="1:5" x14ac:dyDescent="0.2">
      <c r="A793">
        <v>5.2735091169705704E-3</v>
      </c>
      <c r="B793">
        <v>0.16481711477622499</v>
      </c>
      <c r="C793">
        <v>0.12517526805562501</v>
      </c>
      <c r="D793">
        <v>0.314102268633002</v>
      </c>
      <c r="E793">
        <v>0.234290706357932</v>
      </c>
    </row>
    <row r="794" spans="1:5" x14ac:dyDescent="0.2">
      <c r="A794">
        <v>5.2801760058668601E-3</v>
      </c>
      <c r="B794">
        <v>0.16492718876058801</v>
      </c>
      <c r="C794">
        <v>0.12528092420988499</v>
      </c>
      <c r="D794">
        <v>0.314210076050983</v>
      </c>
      <c r="E794">
        <v>0.234367961807011</v>
      </c>
    </row>
    <row r="795" spans="1:5" x14ac:dyDescent="0.2">
      <c r="A795">
        <v>5.2868428947631602E-3</v>
      </c>
      <c r="B795">
        <v>0.16503630499340299</v>
      </c>
      <c r="C795">
        <v>0.125386486831052</v>
      </c>
      <c r="D795">
        <v>0.31431774306878402</v>
      </c>
      <c r="E795">
        <v>0.234444545808219</v>
      </c>
    </row>
    <row r="796" spans="1:5" x14ac:dyDescent="0.2">
      <c r="A796">
        <v>5.2935097836594603E-3</v>
      </c>
      <c r="B796">
        <v>0.16514447599822901</v>
      </c>
      <c r="C796">
        <v>0.12549195614091699</v>
      </c>
      <c r="D796">
        <v>0.314425269824196</v>
      </c>
      <c r="E796">
        <v>0.23452046701613999</v>
      </c>
    </row>
    <row r="797" spans="1:5" x14ac:dyDescent="0.2">
      <c r="A797">
        <v>5.30017667255575E-3</v>
      </c>
      <c r="B797">
        <v>0.16525171429862801</v>
      </c>
      <c r="C797">
        <v>0.12559733236126999</v>
      </c>
      <c r="D797">
        <v>0.31453265645501199</v>
      </c>
      <c r="E797">
        <v>0.234595734085355</v>
      </c>
    </row>
    <row r="798" spans="1:5" x14ac:dyDescent="0.2">
      <c r="A798">
        <v>5.3068435614520501E-3</v>
      </c>
      <c r="B798">
        <v>0.16535803241815999</v>
      </c>
      <c r="C798">
        <v>0.12570261571390301</v>
      </c>
      <c r="D798">
        <v>0.31463990309902201</v>
      </c>
      <c r="E798">
        <v>0.234670355670445</v>
      </c>
    </row>
    <row r="799" spans="1:5" x14ac:dyDescent="0.2">
      <c r="A799">
        <v>5.3135104503483502E-3</v>
      </c>
      <c r="B799">
        <v>0.165463442880385</v>
      </c>
      <c r="C799">
        <v>0.12580780642060699</v>
      </c>
      <c r="D799">
        <v>0.31474700989401699</v>
      </c>
      <c r="E799">
        <v>0.23474434042599299</v>
      </c>
    </row>
    <row r="800" spans="1:5" x14ac:dyDescent="0.2">
      <c r="A800">
        <v>5.3201773392446399E-3</v>
      </c>
      <c r="B800">
        <v>0.165567958208864</v>
      </c>
      <c r="C800">
        <v>0.12591290470317401</v>
      </c>
      <c r="D800">
        <v>0.314853976977789</v>
      </c>
      <c r="E800">
        <v>0.23481769700658101</v>
      </c>
    </row>
    <row r="801" spans="1:5" x14ac:dyDescent="0.2">
      <c r="A801">
        <v>5.32684422814094E-3</v>
      </c>
      <c r="B801">
        <v>0.165671590927158</v>
      </c>
      <c r="C801">
        <v>0.126017910783395</v>
      </c>
      <c r="D801">
        <v>0.31496080448812802</v>
      </c>
      <c r="E801">
        <v>0.23489043406679</v>
      </c>
    </row>
    <row r="802" spans="1:5" x14ac:dyDescent="0.2">
      <c r="A802">
        <v>5.3335111170372297E-3</v>
      </c>
      <c r="B802">
        <v>0.165774353558827</v>
      </c>
      <c r="C802">
        <v>0.12612282488306101</v>
      </c>
      <c r="D802">
        <v>0.31506749256282601</v>
      </c>
      <c r="E802">
        <v>0.23496256026120299</v>
      </c>
    </row>
    <row r="803" spans="1:5" x14ac:dyDescent="0.2">
      <c r="A803">
        <v>5.3401780059335298E-3</v>
      </c>
      <c r="B803">
        <v>0.16587625862743199</v>
      </c>
      <c r="C803">
        <v>0.12622764722396301</v>
      </c>
      <c r="D803">
        <v>0.31517404133967503</v>
      </c>
      <c r="E803">
        <v>0.235034084244401</v>
      </c>
    </row>
    <row r="804" spans="1:5" x14ac:dyDescent="0.2">
      <c r="A804">
        <v>5.3468448948298299E-3</v>
      </c>
      <c r="B804">
        <v>0.16597731865653301</v>
      </c>
      <c r="C804">
        <v>0.12633237802789299</v>
      </c>
      <c r="D804">
        <v>0.31528045095646501</v>
      </c>
      <c r="E804">
        <v>0.23510501467096701</v>
      </c>
    </row>
    <row r="805" spans="1:5" x14ac:dyDescent="0.2">
      <c r="A805">
        <v>5.3535117837261196E-3</v>
      </c>
      <c r="B805">
        <v>0.166077546169692</v>
      </c>
      <c r="C805">
        <v>0.12643701751664299</v>
      </c>
      <c r="D805">
        <v>0.31538672155098801</v>
      </c>
      <c r="E805">
        <v>0.23517536019548199</v>
      </c>
    </row>
    <row r="806" spans="1:5" x14ac:dyDescent="0.2">
      <c r="A806">
        <v>5.3601786726224197E-3</v>
      </c>
      <c r="B806">
        <v>0.16617695369046701</v>
      </c>
      <c r="C806">
        <v>0.126541565912003</v>
      </c>
      <c r="D806">
        <v>0.31549285326103399</v>
      </c>
      <c r="E806">
        <v>0.23524512947252699</v>
      </c>
    </row>
    <row r="807" spans="1:5" x14ac:dyDescent="0.2">
      <c r="A807">
        <v>5.3668455615187198E-3</v>
      </c>
      <c r="B807">
        <v>0.16627555374242101</v>
      </c>
      <c r="C807">
        <v>0.126646023435764</v>
      </c>
      <c r="D807">
        <v>0.31559884622439599</v>
      </c>
      <c r="E807">
        <v>0.23531433115668601</v>
      </c>
    </row>
    <row r="808" spans="1:5" x14ac:dyDescent="0.2">
      <c r="A808">
        <v>5.3735124504150104E-3</v>
      </c>
      <c r="B808">
        <v>0.166373358849113</v>
      </c>
      <c r="C808">
        <v>0.12675039030971799</v>
      </c>
      <c r="D808">
        <v>0.31570470057886402</v>
      </c>
      <c r="E808">
        <v>0.23538297390254001</v>
      </c>
    </row>
    <row r="809" spans="1:5" x14ac:dyDescent="0.2">
      <c r="A809">
        <v>5.3801793393113096E-3</v>
      </c>
      <c r="B809">
        <v>0.16647038153410501</v>
      </c>
      <c r="C809">
        <v>0.12685466675565699</v>
      </c>
      <c r="D809">
        <v>0.31581041646222902</v>
      </c>
      <c r="E809">
        <v>0.235451066364671</v>
      </c>
    </row>
    <row r="810" spans="1:5" x14ac:dyDescent="0.2">
      <c r="A810">
        <v>5.3868462282076097E-3</v>
      </c>
      <c r="B810">
        <v>0.166566634320956</v>
      </c>
      <c r="C810">
        <v>0.12695885299537099</v>
      </c>
      <c r="D810">
        <v>0.31591599401228299</v>
      </c>
      <c r="E810">
        <v>0.23551861719766001</v>
      </c>
    </row>
    <row r="811" spans="1:5" x14ac:dyDescent="0.2">
      <c r="A811">
        <v>5.3935131171039003E-3</v>
      </c>
      <c r="B811">
        <v>0.166662129733228</v>
      </c>
      <c r="C811">
        <v>0.12706294925065201</v>
      </c>
      <c r="D811">
        <v>0.31602143336681698</v>
      </c>
      <c r="E811">
        <v>0.23558563505609001</v>
      </c>
    </row>
    <row r="812" spans="1:5" x14ac:dyDescent="0.2">
      <c r="A812">
        <v>5.4001800060002004E-3</v>
      </c>
      <c r="B812">
        <v>0.16675688029447999</v>
      </c>
      <c r="C812">
        <v>0.12716695574329201</v>
      </c>
      <c r="D812">
        <v>0.31612673466362201</v>
      </c>
      <c r="E812">
        <v>0.23565212859454299</v>
      </c>
    </row>
    <row r="813" spans="1:5" x14ac:dyDescent="0.2">
      <c r="A813">
        <v>5.4068468948964997E-3</v>
      </c>
      <c r="B813">
        <v>0.16685089852827401</v>
      </c>
      <c r="C813">
        <v>0.12727087269508</v>
      </c>
      <c r="D813">
        <v>0.31623189804048901</v>
      </c>
      <c r="E813">
        <v>0.2357181064676</v>
      </c>
    </row>
    <row r="814" spans="1:5" x14ac:dyDescent="0.2">
      <c r="A814">
        <v>5.4135137837927902E-3</v>
      </c>
      <c r="B814">
        <v>0.166944196958171</v>
      </c>
      <c r="C814">
        <v>0.12737470032781001</v>
      </c>
      <c r="D814">
        <v>0.31633692363520999</v>
      </c>
      <c r="E814">
        <v>0.23578357732984401</v>
      </c>
    </row>
    <row r="815" spans="1:5" x14ac:dyDescent="0.2">
      <c r="A815">
        <v>5.4201806726890903E-3</v>
      </c>
      <c r="B815">
        <v>0.16703678810772901</v>
      </c>
      <c r="C815">
        <v>0.12747843886327101</v>
      </c>
      <c r="D815">
        <v>0.31644181158557599</v>
      </c>
      <c r="E815">
        <v>0.23584854983585599</v>
      </c>
    </row>
    <row r="816" spans="1:5" x14ac:dyDescent="0.2">
      <c r="A816">
        <v>5.4268475615853896E-3</v>
      </c>
      <c r="B816">
        <v>0.16712868450051099</v>
      </c>
      <c r="C816">
        <v>0.127582088523256</v>
      </c>
      <c r="D816">
        <v>0.31654656202937798</v>
      </c>
      <c r="E816">
        <v>0.23591303264021901</v>
      </c>
    </row>
    <row r="817" spans="1:5" x14ac:dyDescent="0.2">
      <c r="A817">
        <v>5.4335144504816801E-3</v>
      </c>
      <c r="B817">
        <v>0.167219898660077</v>
      </c>
      <c r="C817">
        <v>0.12768564952955599</v>
      </c>
      <c r="D817">
        <v>0.31665117510440699</v>
      </c>
      <c r="E817">
        <v>0.235977034397513</v>
      </c>
    </row>
    <row r="818" spans="1:5" x14ac:dyDescent="0.2">
      <c r="A818">
        <v>5.4401813393779802E-3</v>
      </c>
      <c r="B818">
        <v>0.16731044310998699</v>
      </c>
      <c r="C818">
        <v>0.12778912210396101</v>
      </c>
      <c r="D818">
        <v>0.31675565094845398</v>
      </c>
      <c r="E818">
        <v>0.23604056376232199</v>
      </c>
    </row>
    <row r="819" spans="1:5" x14ac:dyDescent="0.2">
      <c r="A819">
        <v>5.4468482282742803E-3</v>
      </c>
      <c r="B819">
        <v>0.167400330373801</v>
      </c>
      <c r="C819">
        <v>0.127892506468264</v>
      </c>
      <c r="D819">
        <v>0.31685998969931101</v>
      </c>
      <c r="E819">
        <v>0.23610362938922599</v>
      </c>
    </row>
    <row r="820" spans="1:5" x14ac:dyDescent="0.2">
      <c r="A820">
        <v>5.45351511717057E-3</v>
      </c>
      <c r="B820">
        <v>0.16748957297508199</v>
      </c>
      <c r="C820">
        <v>0.12799580284425499</v>
      </c>
      <c r="D820">
        <v>0.31696419149476901</v>
      </c>
      <c r="E820">
        <v>0.236166239932809</v>
      </c>
    </row>
    <row r="821" spans="1:5" x14ac:dyDescent="0.2">
      <c r="A821">
        <v>5.4601820060668702E-3</v>
      </c>
      <c r="B821">
        <v>0.16757818343738801</v>
      </c>
      <c r="C821">
        <v>0.12809901145372601</v>
      </c>
      <c r="D821">
        <v>0.31706825647261899</v>
      </c>
      <c r="E821">
        <v>0.236228404047651</v>
      </c>
    </row>
    <row r="822" spans="1:5" x14ac:dyDescent="0.2">
      <c r="A822">
        <v>5.4668488949631703E-3</v>
      </c>
      <c r="B822">
        <v>0.16766617428428099</v>
      </c>
      <c r="C822">
        <v>0.12820213251846899</v>
      </c>
      <c r="D822">
        <v>0.31717218477065201</v>
      </c>
      <c r="E822">
        <v>0.23629013038833499</v>
      </c>
    </row>
    <row r="823" spans="1:5" x14ac:dyDescent="0.2">
      <c r="A823">
        <v>5.47351578385946E-3</v>
      </c>
      <c r="B823">
        <v>0.16775355803932099</v>
      </c>
      <c r="C823">
        <v>0.128305166260273</v>
      </c>
      <c r="D823">
        <v>0.31727597652666001</v>
      </c>
      <c r="E823">
        <v>0.236351427609443</v>
      </c>
    </row>
    <row r="824" spans="1:5" x14ac:dyDescent="0.2">
      <c r="A824">
        <v>5.4801826727557601E-3</v>
      </c>
      <c r="B824">
        <v>0.167840347226068</v>
      </c>
      <c r="C824">
        <v>0.12840811290093199</v>
      </c>
      <c r="D824">
        <v>0.31737963187843399</v>
      </c>
      <c r="E824">
        <v>0.23641230436555599</v>
      </c>
    </row>
    <row r="825" spans="1:5" x14ac:dyDescent="0.2">
      <c r="A825">
        <v>5.4868495616520602E-3</v>
      </c>
      <c r="B825">
        <v>0.16792655436808401</v>
      </c>
      <c r="C825">
        <v>0.12851097266223499</v>
      </c>
      <c r="D825">
        <v>0.317483150963764</v>
      </c>
      <c r="E825">
        <v>0.23647276931125699</v>
      </c>
    </row>
    <row r="826" spans="1:5" x14ac:dyDescent="0.2">
      <c r="A826">
        <v>5.4935164505483499E-3</v>
      </c>
      <c r="B826">
        <v>0.168012191988929</v>
      </c>
      <c r="C826">
        <v>0.12861374576597501</v>
      </c>
      <c r="D826">
        <v>0.317586533920443</v>
      </c>
      <c r="E826">
        <v>0.23653283110112699</v>
      </c>
    </row>
    <row r="827" spans="1:5" x14ac:dyDescent="0.2">
      <c r="A827">
        <v>5.50018333944465E-3</v>
      </c>
      <c r="B827">
        <v>0.16809727261216301</v>
      </c>
      <c r="C827">
        <v>0.12871643243394201</v>
      </c>
      <c r="D827">
        <v>0.31768978088625999</v>
      </c>
      <c r="E827">
        <v>0.236592498389749</v>
      </c>
    </row>
    <row r="828" spans="1:5" x14ac:dyDescent="0.2">
      <c r="A828">
        <v>5.5068502283409397E-3</v>
      </c>
      <c r="B828">
        <v>0.168181808761348</v>
      </c>
      <c r="C828">
        <v>0.12881903288792901</v>
      </c>
      <c r="D828">
        <v>0.31779289199900901</v>
      </c>
      <c r="E828">
        <v>0.23665177983170399</v>
      </c>
    </row>
    <row r="829" spans="1:5" x14ac:dyDescent="0.2">
      <c r="A829">
        <v>5.5135171172372398E-3</v>
      </c>
      <c r="B829">
        <v>0.168265812960043</v>
      </c>
      <c r="C829">
        <v>0.128921547349725</v>
      </c>
      <c r="D829">
        <v>0.31789586739647901</v>
      </c>
      <c r="E829">
        <v>0.236710684081574</v>
      </c>
    </row>
    <row r="830" spans="1:5" x14ac:dyDescent="0.2">
      <c r="A830">
        <v>5.5201840061335399E-3</v>
      </c>
      <c r="B830">
        <v>0.16834929773180801</v>
      </c>
      <c r="C830">
        <v>0.12902397604112301</v>
      </c>
      <c r="D830">
        <v>0.31799870721646201</v>
      </c>
      <c r="E830">
        <v>0.236769219793941</v>
      </c>
    </row>
    <row r="831" spans="1:5" x14ac:dyDescent="0.2">
      <c r="A831">
        <v>5.5268508950298296E-3</v>
      </c>
      <c r="B831">
        <v>0.16843227560020599</v>
      </c>
      <c r="C831">
        <v>0.12912631918391401</v>
      </c>
      <c r="D831">
        <v>0.31810141159674998</v>
      </c>
      <c r="E831">
        <v>0.236827395623387</v>
      </c>
    </row>
    <row r="832" spans="1:5" x14ac:dyDescent="0.2">
      <c r="A832">
        <v>5.5335177839261297E-3</v>
      </c>
      <c r="B832">
        <v>0.16851475908879601</v>
      </c>
      <c r="C832">
        <v>0.12922857699988899</v>
      </c>
      <c r="D832">
        <v>0.318203980675133</v>
      </c>
      <c r="E832">
        <v>0.23688522022449399</v>
      </c>
    </row>
    <row r="833" spans="1:5" x14ac:dyDescent="0.2">
      <c r="A833">
        <v>5.5401846728224298E-3</v>
      </c>
      <c r="B833">
        <v>0.16859676072113899</v>
      </c>
      <c r="C833">
        <v>0.12933074971083999</v>
      </c>
      <c r="D833">
        <v>0.31830641458940201</v>
      </c>
      <c r="E833">
        <v>0.236942702251843</v>
      </c>
    </row>
    <row r="834" spans="1:5" x14ac:dyDescent="0.2">
      <c r="A834">
        <v>5.5468515617187204E-3</v>
      </c>
      <c r="B834">
        <v>0.16867829302079501</v>
      </c>
      <c r="C834">
        <v>0.129432837538557</v>
      </c>
      <c r="D834">
        <v>0.31840871347735</v>
      </c>
      <c r="E834">
        <v>0.236999850360018</v>
      </c>
    </row>
    <row r="835" spans="1:5" x14ac:dyDescent="0.2">
      <c r="A835">
        <v>5.5535184506150196E-3</v>
      </c>
      <c r="B835">
        <v>0.168759368511325</v>
      </c>
      <c r="C835">
        <v>0.12953484070483201</v>
      </c>
      <c r="D835">
        <v>0.31851087747676599</v>
      </c>
      <c r="E835">
        <v>0.23705667320359899</v>
      </c>
    </row>
    <row r="836" spans="1:5" x14ac:dyDescent="0.2">
      <c r="A836">
        <v>5.5601853395113197E-3</v>
      </c>
      <c r="B836">
        <v>0.16883999971628999</v>
      </c>
      <c r="C836">
        <v>0.129636759431456</v>
      </c>
      <c r="D836">
        <v>0.31861290672544301</v>
      </c>
      <c r="E836">
        <v>0.237113179437168</v>
      </c>
    </row>
    <row r="837" spans="1:5" x14ac:dyDescent="0.2">
      <c r="A837">
        <v>5.5668522284076103E-3</v>
      </c>
      <c r="B837">
        <v>0.16892019915925</v>
      </c>
      <c r="C837">
        <v>0.129738593940221</v>
      </c>
      <c r="D837">
        <v>0.31871480136117097</v>
      </c>
      <c r="E837">
        <v>0.23716937771530799</v>
      </c>
    </row>
    <row r="838" spans="1:5" x14ac:dyDescent="0.2">
      <c r="A838">
        <v>5.5735191173039104E-3</v>
      </c>
      <c r="B838">
        <v>0.16899997936376501</v>
      </c>
      <c r="C838">
        <v>0.12984034445291801</v>
      </c>
      <c r="D838">
        <v>0.31881656152174198</v>
      </c>
      <c r="E838">
        <v>0.23722527669259999</v>
      </c>
    </row>
    <row r="839" spans="1:5" x14ac:dyDescent="0.2">
      <c r="A839">
        <v>5.5801860062002096E-3</v>
      </c>
      <c r="B839">
        <v>0.16907935285339701</v>
      </c>
      <c r="C839">
        <v>0.129942011191338</v>
      </c>
      <c r="D839">
        <v>0.31891818734494698</v>
      </c>
      <c r="E839">
        <v>0.23728088502362699</v>
      </c>
    </row>
    <row r="840" spans="1:5" x14ac:dyDescent="0.2">
      <c r="A840">
        <v>5.5868528950965002E-3</v>
      </c>
      <c r="B840">
        <v>0.169158332151705</v>
      </c>
      <c r="C840">
        <v>0.130043594377273</v>
      </c>
      <c r="D840">
        <v>0.31901967896857703</v>
      </c>
      <c r="E840">
        <v>0.23733621136297001</v>
      </c>
    </row>
    <row r="841" spans="1:5" x14ac:dyDescent="0.2">
      <c r="A841">
        <v>5.5935197839928003E-3</v>
      </c>
      <c r="B841">
        <v>0.16923692978225099</v>
      </c>
      <c r="C841">
        <v>0.130145094232513</v>
      </c>
      <c r="D841">
        <v>0.31912103653042401</v>
      </c>
      <c r="E841">
        <v>0.23739126436521099</v>
      </c>
    </row>
    <row r="842" spans="1:5" x14ac:dyDescent="0.2">
      <c r="A842">
        <v>5.6001866728891004E-3</v>
      </c>
      <c r="B842">
        <v>0.169315158268595</v>
      </c>
      <c r="C842">
        <v>0.13024651097885101</v>
      </c>
      <c r="D842">
        <v>0.31922226016827798</v>
      </c>
      <c r="E842">
        <v>0.23744605268493199</v>
      </c>
    </row>
    <row r="843" spans="1:5" x14ac:dyDescent="0.2">
      <c r="A843">
        <v>5.6068535617853901E-3</v>
      </c>
      <c r="B843">
        <v>0.16939303013429799</v>
      </c>
      <c r="C843">
        <v>0.13034784483807599</v>
      </c>
      <c r="D843">
        <v>0.31932335001993101</v>
      </c>
      <c r="E843">
        <v>0.237500584976715</v>
      </c>
    </row>
    <row r="844" spans="1:5" x14ac:dyDescent="0.2">
      <c r="A844">
        <v>5.6135204506816902E-3</v>
      </c>
      <c r="B844">
        <v>0.16947055790291901</v>
      </c>
      <c r="C844">
        <v>0.13044909603198199</v>
      </c>
      <c r="D844">
        <v>0.31942430622317303</v>
      </c>
      <c r="E844">
        <v>0.23755486989514099</v>
      </c>
    </row>
    <row r="845" spans="1:5" x14ac:dyDescent="0.2">
      <c r="A845">
        <v>5.6201873395779903E-3</v>
      </c>
      <c r="B845">
        <v>0.16954775409802</v>
      </c>
      <c r="C845">
        <v>0.13055026478235801</v>
      </c>
      <c r="D845">
        <v>0.31952512891579798</v>
      </c>
      <c r="E845">
        <v>0.23760891609479401</v>
      </c>
    </row>
    <row r="846" spans="1:5" x14ac:dyDescent="0.2">
      <c r="A846">
        <v>5.62685422847428E-3</v>
      </c>
      <c r="B846">
        <v>0.16962463124316199</v>
      </c>
      <c r="C846">
        <v>0.130651351310997</v>
      </c>
      <c r="D846">
        <v>0.31962581823559399</v>
      </c>
      <c r="E846">
        <v>0.237662732230254</v>
      </c>
    </row>
    <row r="847" spans="1:5" x14ac:dyDescent="0.2">
      <c r="A847">
        <v>5.6335211173705801E-3</v>
      </c>
      <c r="B847">
        <v>0.16970120186190399</v>
      </c>
      <c r="C847">
        <v>0.130752355839689</v>
      </c>
      <c r="D847">
        <v>0.319726374320354</v>
      </c>
      <c r="E847">
        <v>0.23771632695610401</v>
      </c>
    </row>
    <row r="848" spans="1:5" x14ac:dyDescent="0.2">
      <c r="A848">
        <v>5.6401880062668802E-3</v>
      </c>
      <c r="B848">
        <v>0.169777478477807</v>
      </c>
      <c r="C848">
        <v>0.130853278590227</v>
      </c>
      <c r="D848">
        <v>0.319826797307869</v>
      </c>
      <c r="E848">
        <v>0.23776970892692501</v>
      </c>
    </row>
    <row r="849" spans="1:5" x14ac:dyDescent="0.2">
      <c r="A849">
        <v>5.6468548951631699E-3</v>
      </c>
      <c r="B849">
        <v>0.16985347361443301</v>
      </c>
      <c r="C849">
        <v>0.1309541197844</v>
      </c>
      <c r="D849">
        <v>0.319927087335931</v>
      </c>
      <c r="E849">
        <v>0.23782288679729999</v>
      </c>
    </row>
    <row r="850" spans="1:5" x14ac:dyDescent="0.2">
      <c r="A850">
        <v>5.65352178405947E-3</v>
      </c>
      <c r="B850">
        <v>0.16992919979534099</v>
      </c>
      <c r="C850">
        <v>0.131054879644001</v>
      </c>
      <c r="D850">
        <v>0.320027244542329</v>
      </c>
      <c r="E850">
        <v>0.23787586922181</v>
      </c>
    </row>
    <row r="851" spans="1:5" x14ac:dyDescent="0.2">
      <c r="A851">
        <v>5.6601886729557701E-3</v>
      </c>
      <c r="B851">
        <v>0.17000466954409199</v>
      </c>
      <c r="C851">
        <v>0.13115555839081999</v>
      </c>
      <c r="D851">
        <v>0.320127269064856</v>
      </c>
      <c r="E851">
        <v>0.237928664855037</v>
      </c>
    </row>
    <row r="852" spans="1:5" x14ac:dyDescent="0.2">
      <c r="A852">
        <v>5.6668555618520598E-3</v>
      </c>
      <c r="B852">
        <v>0.170079895384247</v>
      </c>
      <c r="C852">
        <v>0.13125615624664999</v>
      </c>
      <c r="D852">
        <v>0.320227161041303</v>
      </c>
      <c r="E852">
        <v>0.23798128235156399</v>
      </c>
    </row>
    <row r="853" spans="1:5" x14ac:dyDescent="0.2">
      <c r="A853">
        <v>5.6735224507483599E-3</v>
      </c>
      <c r="B853">
        <v>0.170154889839365</v>
      </c>
      <c r="C853">
        <v>0.131356673433281</v>
      </c>
      <c r="D853">
        <v>0.32032692060946</v>
      </c>
      <c r="E853">
        <v>0.238033730365971</v>
      </c>
    </row>
    <row r="854" spans="1:5" x14ac:dyDescent="0.2">
      <c r="A854">
        <v>5.6801893396446496E-3</v>
      </c>
      <c r="B854">
        <v>0.17022966543300899</v>
      </c>
      <c r="C854">
        <v>0.131457110172504</v>
      </c>
      <c r="D854">
        <v>0.32042654790712</v>
      </c>
      <c r="E854">
        <v>0.23808601755284201</v>
      </c>
    </row>
    <row r="855" spans="1:5" x14ac:dyDescent="0.2">
      <c r="A855">
        <v>5.6868562285409497E-3</v>
      </c>
      <c r="B855">
        <v>0.17030423468873801</v>
      </c>
      <c r="C855">
        <v>0.13155746668611201</v>
      </c>
      <c r="D855">
        <v>0.320526043072073</v>
      </c>
      <c r="E855">
        <v>0.23813815256675699</v>
      </c>
    </row>
    <row r="856" spans="1:5" x14ac:dyDescent="0.2">
      <c r="A856">
        <v>5.6935231174372498E-3</v>
      </c>
      <c r="B856">
        <v>0.17037861013011299</v>
      </c>
      <c r="C856">
        <v>0.13165774319589499</v>
      </c>
      <c r="D856">
        <v>0.320625406242111</v>
      </c>
      <c r="E856">
        <v>0.23819014406229899</v>
      </c>
    </row>
    <row r="857" spans="1:5" x14ac:dyDescent="0.2">
      <c r="A857">
        <v>5.7001900063335404E-3</v>
      </c>
      <c r="B857">
        <v>0.17045280428069401</v>
      </c>
      <c r="C857">
        <v>0.13175793992364401</v>
      </c>
      <c r="D857">
        <v>0.32072463755502501</v>
      </c>
      <c r="E857">
        <v>0.23824200069404999</v>
      </c>
    </row>
    <row r="858" spans="1:5" x14ac:dyDescent="0.2">
      <c r="A858">
        <v>5.7068568952298396E-3</v>
      </c>
      <c r="B858">
        <v>0.17052682966404301</v>
      </c>
      <c r="C858">
        <v>0.131858057091151</v>
      </c>
      <c r="D858">
        <v>0.32082373714860501</v>
      </c>
      <c r="E858">
        <v>0.23829373111659199</v>
      </c>
    </row>
    <row r="859" spans="1:5" x14ac:dyDescent="0.2">
      <c r="A859">
        <v>5.7135237841261398E-3</v>
      </c>
      <c r="B859">
        <v>0.170600698803719</v>
      </c>
      <c r="C859">
        <v>0.13195809492020799</v>
      </c>
      <c r="D859">
        <v>0.32092270516064397</v>
      </c>
      <c r="E859">
        <v>0.23834534398450599</v>
      </c>
    </row>
    <row r="860" spans="1:5" x14ac:dyDescent="0.2">
      <c r="A860">
        <v>5.7201906730224303E-3</v>
      </c>
      <c r="B860">
        <v>0.17067442422328299</v>
      </c>
      <c r="C860">
        <v>0.132058053632605</v>
      </c>
      <c r="D860">
        <v>0.32102154172893299</v>
      </c>
      <c r="E860">
        <v>0.23839684795237501</v>
      </c>
    </row>
    <row r="861" spans="1:5" x14ac:dyDescent="0.2">
      <c r="A861">
        <v>5.7268575619187304E-3</v>
      </c>
      <c r="B861">
        <v>0.170748018446296</v>
      </c>
      <c r="C861">
        <v>0.13215793345013299</v>
      </c>
      <c r="D861">
        <v>0.32112024699126201</v>
      </c>
      <c r="E861">
        <v>0.23844825167478001</v>
      </c>
    </row>
    <row r="862" spans="1:5" x14ac:dyDescent="0.2">
      <c r="A862">
        <v>5.7335244508150297E-3</v>
      </c>
      <c r="B862">
        <v>0.17082149399631799</v>
      </c>
      <c r="C862">
        <v>0.13225773459458501</v>
      </c>
      <c r="D862">
        <v>0.32121882108542199</v>
      </c>
      <c r="E862">
        <v>0.23849956380630299</v>
      </c>
    </row>
    <row r="863" spans="1:5" x14ac:dyDescent="0.2">
      <c r="A863">
        <v>5.7401913397113202E-3</v>
      </c>
      <c r="B863">
        <v>0.17089486339691101</v>
      </c>
      <c r="C863">
        <v>0.13235745728775</v>
      </c>
      <c r="D863">
        <v>0.32131726414920603</v>
      </c>
      <c r="E863">
        <v>0.23855079300152701</v>
      </c>
    </row>
    <row r="864" spans="1:5" x14ac:dyDescent="0.2">
      <c r="A864">
        <v>5.7468582286076203E-3</v>
      </c>
      <c r="B864">
        <v>0.170968139171633</v>
      </c>
      <c r="C864">
        <v>0.132457101751422</v>
      </c>
      <c r="D864">
        <v>0.32141557632040502</v>
      </c>
      <c r="E864">
        <v>0.238601947915032</v>
      </c>
    </row>
    <row r="865" spans="1:5" x14ac:dyDescent="0.2">
      <c r="A865">
        <v>5.7535251175039196E-3</v>
      </c>
      <c r="B865">
        <v>0.17104133384404699</v>
      </c>
      <c r="C865">
        <v>0.13255666820739001</v>
      </c>
      <c r="D865">
        <v>0.32151375773680901</v>
      </c>
      <c r="E865">
        <v>0.23865303720140199</v>
      </c>
    </row>
    <row r="866" spans="1:5" x14ac:dyDescent="0.2">
      <c r="A866">
        <v>5.7601920064002101E-3</v>
      </c>
      <c r="B866">
        <v>0.17111445993771199</v>
      </c>
      <c r="C866">
        <v>0.132656156877447</v>
      </c>
      <c r="D866">
        <v>0.32161180853620902</v>
      </c>
      <c r="E866">
        <v>0.238704069515218</v>
      </c>
    </row>
    <row r="867" spans="1:5" x14ac:dyDescent="0.2">
      <c r="A867">
        <v>5.7668588952965102E-3</v>
      </c>
      <c r="B867">
        <v>0.17118752997618999</v>
      </c>
      <c r="C867">
        <v>0.132755567983383</v>
      </c>
      <c r="D867">
        <v>0.32170972885639798</v>
      </c>
      <c r="E867">
        <v>0.23875505351106099</v>
      </c>
    </row>
    <row r="868" spans="1:5" x14ac:dyDescent="0.2">
      <c r="A868">
        <v>5.7735257841928104E-3</v>
      </c>
      <c r="B868">
        <v>0.17126055648304001</v>
      </c>
      <c r="C868">
        <v>0.13285490174699</v>
      </c>
      <c r="D868">
        <v>0.32180751883516501</v>
      </c>
      <c r="E868">
        <v>0.238805997843515</v>
      </c>
    </row>
    <row r="869" spans="1:5" x14ac:dyDescent="0.2">
      <c r="A869">
        <v>5.7801926730891E-3</v>
      </c>
      <c r="B869">
        <v>0.17133355198182301</v>
      </c>
      <c r="C869">
        <v>0.132954158390059</v>
      </c>
      <c r="D869">
        <v>0.32190517861030299</v>
      </c>
      <c r="E869">
        <v>0.23885691116715899</v>
      </c>
    </row>
    <row r="870" spans="1:5" x14ac:dyDescent="0.2">
      <c r="A870">
        <v>5.7868595619854002E-3</v>
      </c>
      <c r="B870">
        <v>0.17140652899610101</v>
      </c>
      <c r="C870">
        <v>0.133053338134382</v>
      </c>
      <c r="D870">
        <v>0.32200270831960298</v>
      </c>
      <c r="E870">
        <v>0.238907802136578</v>
      </c>
    </row>
    <row r="871" spans="1:5" x14ac:dyDescent="0.2">
      <c r="A871">
        <v>5.7935264508817003E-3</v>
      </c>
      <c r="B871">
        <v>0.17147950004943199</v>
      </c>
      <c r="C871">
        <v>0.13315244120174899</v>
      </c>
      <c r="D871">
        <v>0.32210010810085599</v>
      </c>
      <c r="E871">
        <v>0.23895867940635199</v>
      </c>
    </row>
    <row r="872" spans="1:5" x14ac:dyDescent="0.2">
      <c r="A872">
        <v>5.80019333977799E-3</v>
      </c>
      <c r="B872">
        <v>0.17155247766537901</v>
      </c>
      <c r="C872">
        <v>0.133251467813952</v>
      </c>
      <c r="D872">
        <v>0.322197378091852</v>
      </c>
      <c r="E872">
        <v>0.23900955163106399</v>
      </c>
    </row>
    <row r="873" spans="1:5" x14ac:dyDescent="0.2">
      <c r="A873">
        <v>5.8068602286742901E-3</v>
      </c>
      <c r="B873">
        <v>0.171625474367501</v>
      </c>
      <c r="C873">
        <v>0.13335041819278201</v>
      </c>
      <c r="D873">
        <v>0.32229451843038398</v>
      </c>
      <c r="E873">
        <v>0.23906042746529499</v>
      </c>
    </row>
    <row r="874" spans="1:5" x14ac:dyDescent="0.2">
      <c r="A874">
        <v>5.8135271175705902E-3</v>
      </c>
      <c r="B874">
        <v>0.17169850267935999</v>
      </c>
      <c r="C874">
        <v>0.13344929256003099</v>
      </c>
      <c r="D874">
        <v>0.32239152925424203</v>
      </c>
      <c r="E874">
        <v>0.239111315563627</v>
      </c>
    </row>
    <row r="875" spans="1:5" x14ac:dyDescent="0.2">
      <c r="A875">
        <v>5.8201940064668799E-3</v>
      </c>
      <c r="B875">
        <v>0.17177157512451499</v>
      </c>
      <c r="C875">
        <v>0.13354809113749</v>
      </c>
      <c r="D875">
        <v>0.32248841070121798</v>
      </c>
      <c r="E875">
        <v>0.23916222458064201</v>
      </c>
    </row>
    <row r="876" spans="1:5" x14ac:dyDescent="0.2">
      <c r="A876">
        <v>5.82686089536318E-3</v>
      </c>
      <c r="B876">
        <v>0.17184470422652801</v>
      </c>
      <c r="C876">
        <v>0.13364681414695001</v>
      </c>
      <c r="D876">
        <v>0.322585162909103</v>
      </c>
      <c r="E876">
        <v>0.239213163170923</v>
      </c>
    </row>
    <row r="877" spans="1:5" x14ac:dyDescent="0.2">
      <c r="A877">
        <v>5.8335277842594801E-3</v>
      </c>
      <c r="B877">
        <v>0.171917902508958</v>
      </c>
      <c r="C877">
        <v>0.133745461810203</v>
      </c>
      <c r="D877">
        <v>0.32268178601568798</v>
      </c>
      <c r="E877">
        <v>0.23926413998905</v>
      </c>
    </row>
    <row r="878" spans="1:5" x14ac:dyDescent="0.2">
      <c r="A878">
        <v>5.8401946731557698E-3</v>
      </c>
      <c r="B878">
        <v>0.17199118249536699</v>
      </c>
      <c r="C878">
        <v>0.13384403434903999</v>
      </c>
      <c r="D878">
        <v>0.32277828015876397</v>
      </c>
      <c r="E878">
        <v>0.23931516368960701</v>
      </c>
    </row>
    <row r="879" spans="1:5" x14ac:dyDescent="0.2">
      <c r="A879">
        <v>5.8468615620520699E-3</v>
      </c>
      <c r="B879">
        <v>0.172064556709314</v>
      </c>
      <c r="C879">
        <v>0.133942531985251</v>
      </c>
      <c r="D879">
        <v>0.32287464547612299</v>
      </c>
      <c r="E879">
        <v>0.23936624292717401</v>
      </c>
    </row>
    <row r="880" spans="1:5" x14ac:dyDescent="0.2">
      <c r="A880">
        <v>5.85352845094837E-3</v>
      </c>
      <c r="B880">
        <v>0.172138037674362</v>
      </c>
      <c r="C880">
        <v>0.13404095494062901</v>
      </c>
      <c r="D880">
        <v>0.32297088210555602</v>
      </c>
      <c r="E880">
        <v>0.239417386356334</v>
      </c>
    </row>
    <row r="881" spans="1:5" x14ac:dyDescent="0.2">
      <c r="A881">
        <v>5.8601953398446597E-3</v>
      </c>
      <c r="B881">
        <v>0.17221163791406899</v>
      </c>
      <c r="C881">
        <v>0.13413930343696501</v>
      </c>
      <c r="D881">
        <v>0.32306699018485302</v>
      </c>
      <c r="E881">
        <v>0.239468602631669</v>
      </c>
    </row>
    <row r="882" spans="1:5" x14ac:dyDescent="0.2">
      <c r="A882">
        <v>5.8668622287409598E-3</v>
      </c>
      <c r="B882">
        <v>0.172285369951997</v>
      </c>
      <c r="C882">
        <v>0.13423757769604899</v>
      </c>
      <c r="D882">
        <v>0.32316296985180698</v>
      </c>
      <c r="E882">
        <v>0.23951990040776</v>
      </c>
    </row>
    <row r="883" spans="1:5" x14ac:dyDescent="0.2">
      <c r="A883">
        <v>5.8735291176372504E-3</v>
      </c>
      <c r="B883">
        <v>0.17235924631170599</v>
      </c>
      <c r="C883">
        <v>0.13433577793967399</v>
      </c>
      <c r="D883">
        <v>0.32325882124420802</v>
      </c>
      <c r="E883">
        <v>0.239571288339189</v>
      </c>
    </row>
    <row r="884" spans="1:5" x14ac:dyDescent="0.2">
      <c r="A884">
        <v>5.8801960065335496E-3</v>
      </c>
      <c r="B884">
        <v>0.17243327951675799</v>
      </c>
      <c r="C884">
        <v>0.13443390438962999</v>
      </c>
      <c r="D884">
        <v>0.32335454449984802</v>
      </c>
      <c r="E884">
        <v>0.23962277508054</v>
      </c>
    </row>
    <row r="885" spans="1:5" x14ac:dyDescent="0.2">
      <c r="A885">
        <v>5.8868628954298497E-3</v>
      </c>
      <c r="B885">
        <v>0.17250748209071101</v>
      </c>
      <c r="C885">
        <v>0.13453195726771</v>
      </c>
      <c r="D885">
        <v>0.32345013975651699</v>
      </c>
      <c r="E885">
        <v>0.23967436928639199</v>
      </c>
    </row>
    <row r="886" spans="1:5" x14ac:dyDescent="0.2">
      <c r="A886">
        <v>5.8935297843261403E-3</v>
      </c>
      <c r="B886">
        <v>0.17258186655712801</v>
      </c>
      <c r="C886">
        <v>0.13462993679570301</v>
      </c>
      <c r="D886">
        <v>0.32354560715200797</v>
      </c>
      <c r="E886">
        <v>0.239726079611329</v>
      </c>
    </row>
    <row r="887" spans="1:5" x14ac:dyDescent="0.2">
      <c r="A887">
        <v>5.9001966732224404E-3</v>
      </c>
      <c r="B887">
        <v>0.17265644543956801</v>
      </c>
      <c r="C887">
        <v>0.13472784319540199</v>
      </c>
      <c r="D887">
        <v>0.32364094682411099</v>
      </c>
      <c r="E887">
        <v>0.23977791470993101</v>
      </c>
    </row>
    <row r="888" spans="1:5" x14ac:dyDescent="0.2">
      <c r="A888">
        <v>5.9068635621187396E-3</v>
      </c>
      <c r="B888">
        <v>0.17273123126159201</v>
      </c>
      <c r="C888">
        <v>0.13482567668859699</v>
      </c>
      <c r="D888">
        <v>0.32373615891061702</v>
      </c>
      <c r="E888">
        <v>0.239829883236782</v>
      </c>
    </row>
    <row r="889" spans="1:5" x14ac:dyDescent="0.2">
      <c r="A889">
        <v>5.9135304510150302E-3</v>
      </c>
      <c r="B889">
        <v>0.172806236546761</v>
      </c>
      <c r="C889">
        <v>0.13492343749708099</v>
      </c>
      <c r="D889">
        <v>0.32383124354931803</v>
      </c>
      <c r="E889">
        <v>0.239881993846463</v>
      </c>
    </row>
    <row r="890" spans="1:5" x14ac:dyDescent="0.2">
      <c r="A890">
        <v>5.9201973399113303E-3</v>
      </c>
      <c r="B890">
        <v>0.172881473818635</v>
      </c>
      <c r="C890">
        <v>0.135021125842644</v>
      </c>
      <c r="D890">
        <v>0.323926200878005</v>
      </c>
      <c r="E890">
        <v>0.23993425519355599</v>
      </c>
    </row>
    <row r="891" spans="1:5" x14ac:dyDescent="0.2">
      <c r="A891">
        <v>5.9268642288076304E-3</v>
      </c>
      <c r="B891">
        <v>0.17295695560077501</v>
      </c>
      <c r="C891">
        <v>0.13511874194707801</v>
      </c>
      <c r="D891">
        <v>0.324021031034469</v>
      </c>
      <c r="E891">
        <v>0.239986675932642</v>
      </c>
    </row>
    <row r="892" spans="1:5" x14ac:dyDescent="0.2">
      <c r="A892">
        <v>5.9335311177039201E-3</v>
      </c>
      <c r="B892">
        <v>0.17303269441674099</v>
      </c>
      <c r="C892">
        <v>0.13521628603217301</v>
      </c>
      <c r="D892">
        <v>0.32411573415650102</v>
      </c>
      <c r="E892">
        <v>0.240039264718305</v>
      </c>
    </row>
    <row r="893" spans="1:5" x14ac:dyDescent="0.2">
      <c r="A893">
        <v>5.9401980066002202E-3</v>
      </c>
      <c r="B893">
        <v>0.17310870279009399</v>
      </c>
      <c r="C893">
        <v>0.13531375831972201</v>
      </c>
      <c r="D893">
        <v>0.32421031038189302</v>
      </c>
      <c r="E893">
        <v>0.24009203020512401</v>
      </c>
    </row>
    <row r="894" spans="1:5" x14ac:dyDescent="0.2">
      <c r="A894">
        <v>5.9468648954965203E-3</v>
      </c>
      <c r="B894">
        <v>0.17318499324439501</v>
      </c>
      <c r="C894">
        <v>0.13541115903151599</v>
      </c>
      <c r="D894">
        <v>0.32430475984843599</v>
      </c>
      <c r="E894">
        <v>0.240144981047684</v>
      </c>
    </row>
    <row r="895" spans="1:5" x14ac:dyDescent="0.2">
      <c r="A895">
        <v>5.95353178439281E-3</v>
      </c>
      <c r="B895">
        <v>0.17326157830320299</v>
      </c>
      <c r="C895">
        <v>0.13550848838934501</v>
      </c>
      <c r="D895">
        <v>0.32439908269392098</v>
      </c>
      <c r="E895">
        <v>0.240198125900565</v>
      </c>
    </row>
    <row r="896" spans="1:5" x14ac:dyDescent="0.2">
      <c r="A896">
        <v>5.9601986732891101E-3</v>
      </c>
      <c r="B896">
        <v>0.173338470490081</v>
      </c>
      <c r="C896">
        <v>0.13560574661500099</v>
      </c>
      <c r="D896">
        <v>0.32449327905613801</v>
      </c>
      <c r="E896">
        <v>0.24025147341834899</v>
      </c>
    </row>
    <row r="897" spans="1:5" x14ac:dyDescent="0.2">
      <c r="A897">
        <v>5.9668655621854102E-3</v>
      </c>
      <c r="B897">
        <v>0.17341568232858701</v>
      </c>
      <c r="C897">
        <v>0.13570293393027599</v>
      </c>
      <c r="D897">
        <v>0.324587349072881</v>
      </c>
      <c r="E897">
        <v>0.240305032255619</v>
      </c>
    </row>
    <row r="898" spans="1:5" x14ac:dyDescent="0.2">
      <c r="A898">
        <v>5.9735324510816999E-3</v>
      </c>
      <c r="B898">
        <v>0.17349322634228401</v>
      </c>
      <c r="C898">
        <v>0.13580005055696101</v>
      </c>
      <c r="D898">
        <v>0.32468129288193898</v>
      </c>
      <c r="E898">
        <v>0.240358811066955</v>
      </c>
    </row>
    <row r="899" spans="1:5" x14ac:dyDescent="0.2">
      <c r="A899">
        <v>5.980199339978E-3</v>
      </c>
      <c r="B899">
        <v>0.17357111505473</v>
      </c>
      <c r="C899">
        <v>0.13589709671684599</v>
      </c>
      <c r="D899">
        <v>0.32477511062110298</v>
      </c>
      <c r="E899">
        <v>0.24041281850694099</v>
      </c>
    </row>
    <row r="900" spans="1:5" x14ac:dyDescent="0.2">
      <c r="A900">
        <v>5.9868662288743001E-3</v>
      </c>
      <c r="B900">
        <v>0.17364936098948799</v>
      </c>
      <c r="C900">
        <v>0.135994072631724</v>
      </c>
      <c r="D900">
        <v>0.32486880242816601</v>
      </c>
      <c r="E900">
        <v>0.24046706323015801</v>
      </c>
    </row>
    <row r="901" spans="1:5" x14ac:dyDescent="0.2">
      <c r="A901">
        <v>5.9935331177705898E-3</v>
      </c>
      <c r="B901">
        <v>0.173727976670117</v>
      </c>
      <c r="C901">
        <v>0.136090978523386</v>
      </c>
      <c r="D901">
        <v>0.32496236844091803</v>
      </c>
      <c r="E901">
        <v>0.24052155389118801</v>
      </c>
    </row>
    <row r="902" spans="1:5" x14ac:dyDescent="0.2">
      <c r="A902">
        <v>6.0002000066668899E-3</v>
      </c>
      <c r="B902">
        <v>0.173806974620107</v>
      </c>
      <c r="C902">
        <v>0.136187814613622</v>
      </c>
      <c r="D902">
        <v>0.32505580879715101</v>
      </c>
      <c r="E902">
        <v>0.24057629914456599</v>
      </c>
    </row>
    <row r="903" spans="1:5" x14ac:dyDescent="0.2">
      <c r="A903">
        <v>6.00686689556319E-3</v>
      </c>
      <c r="B903">
        <v>0.173886364489867</v>
      </c>
      <c r="C903">
        <v>0.13628458112422501</v>
      </c>
      <c r="D903">
        <v>0.32514912363465498</v>
      </c>
      <c r="E903">
        <v>0.24063130578248401</v>
      </c>
    </row>
    <row r="904" spans="1:5" x14ac:dyDescent="0.2">
      <c r="A904">
        <v>6.0135337844594797E-3</v>
      </c>
      <c r="B904">
        <v>0.17396614542564301</v>
      </c>
      <c r="C904">
        <v>0.13638127827698501</v>
      </c>
      <c r="D904">
        <v>0.32524231309122198</v>
      </c>
      <c r="E904">
        <v>0.24068657378828101</v>
      </c>
    </row>
    <row r="905" spans="1:5" x14ac:dyDescent="0.2">
      <c r="A905">
        <v>6.0202006733557798E-3</v>
      </c>
      <c r="B905">
        <v>0.174046314173779</v>
      </c>
      <c r="C905">
        <v>0.136477906293694</v>
      </c>
      <c r="D905">
        <v>0.32533537730464301</v>
      </c>
      <c r="E905">
        <v>0.240742101589667</v>
      </c>
    </row>
    <row r="906" spans="1:5" x14ac:dyDescent="0.2">
      <c r="A906">
        <v>6.02686756225208E-3</v>
      </c>
      <c r="B906">
        <v>0.17412686748061501</v>
      </c>
      <c r="C906">
        <v>0.13657446539614301</v>
      </c>
      <c r="D906">
        <v>0.32542831641270997</v>
      </c>
      <c r="E906">
        <v>0.240797887614352</v>
      </c>
    </row>
    <row r="907" spans="1:5" x14ac:dyDescent="0.2">
      <c r="A907">
        <v>6.0335344511483696E-3</v>
      </c>
      <c r="B907">
        <v>0.17420780209249301</v>
      </c>
      <c r="C907">
        <v>0.13667095580612401</v>
      </c>
      <c r="D907">
        <v>0.32552113055321302</v>
      </c>
      <c r="E907">
        <v>0.24085393029004301</v>
      </c>
    </row>
    <row r="908" spans="1:5" x14ac:dyDescent="0.2">
      <c r="A908">
        <v>6.0402013400446698E-3</v>
      </c>
      <c r="B908">
        <v>0.17428911475575501</v>
      </c>
      <c r="C908">
        <v>0.13676737774542699</v>
      </c>
      <c r="D908">
        <v>0.325613819863944</v>
      </c>
      <c r="E908">
        <v>0.240910228044452</v>
      </c>
    </row>
    <row r="909" spans="1:5" x14ac:dyDescent="0.2">
      <c r="A909">
        <v>6.0468682289409699E-3</v>
      </c>
      <c r="B909">
        <v>0.17437080221674101</v>
      </c>
      <c r="C909">
        <v>0.13686373143584399</v>
      </c>
      <c r="D909">
        <v>0.32570638448269401</v>
      </c>
      <c r="E909">
        <v>0.24096677930528601</v>
      </c>
    </row>
    <row r="910" spans="1:5" x14ac:dyDescent="0.2">
      <c r="A910">
        <v>6.0535351178372604E-3</v>
      </c>
      <c r="B910">
        <v>0.17445286122179299</v>
      </c>
      <c r="C910">
        <v>0.136960017099167</v>
      </c>
      <c r="D910">
        <v>0.32579882454725401</v>
      </c>
      <c r="E910">
        <v>0.24102358250025499</v>
      </c>
    </row>
    <row r="911" spans="1:5" x14ac:dyDescent="0.2">
      <c r="A911">
        <v>6.0602020067335597E-3</v>
      </c>
      <c r="B911">
        <v>0.174535288517253</v>
      </c>
      <c r="C911">
        <v>0.137056234957186</v>
      </c>
      <c r="D911">
        <v>0.32589114019541598</v>
      </c>
      <c r="E911">
        <v>0.241080636057068</v>
      </c>
    </row>
    <row r="912" spans="1:5" x14ac:dyDescent="0.2">
      <c r="A912">
        <v>6.0668688956298502E-3</v>
      </c>
      <c r="B912">
        <v>0.17461808084946201</v>
      </c>
      <c r="C912">
        <v>0.13715238523169301</v>
      </c>
      <c r="D912">
        <v>0.32598333156497</v>
      </c>
      <c r="E912">
        <v>0.241137938403435</v>
      </c>
    </row>
    <row r="913" spans="1:5" x14ac:dyDescent="0.2">
      <c r="A913">
        <v>6.0735357845261503E-3</v>
      </c>
      <c r="B913">
        <v>0.174701234964761</v>
      </c>
      <c r="C913">
        <v>0.137248468144479</v>
      </c>
      <c r="D913">
        <v>0.326075398793708</v>
      </c>
      <c r="E913">
        <v>0.241195487967064</v>
      </c>
    </row>
    <row r="914" spans="1:5" x14ac:dyDescent="0.2">
      <c r="A914">
        <v>6.0802026734224496E-3</v>
      </c>
      <c r="B914">
        <v>0.174784747609493</v>
      </c>
      <c r="C914">
        <v>0.137344483917336</v>
      </c>
      <c r="D914">
        <v>0.32616734201942099</v>
      </c>
      <c r="E914">
        <v>0.241253283175665</v>
      </c>
    </row>
    <row r="915" spans="1:5" x14ac:dyDescent="0.2">
      <c r="A915">
        <v>6.0868695623187401E-3</v>
      </c>
      <c r="B915">
        <v>0.17486861552999799</v>
      </c>
      <c r="C915">
        <v>0.137440432772055</v>
      </c>
      <c r="D915">
        <v>0.32625916137990102</v>
      </c>
      <c r="E915">
        <v>0.241311322456947</v>
      </c>
    </row>
    <row r="916" spans="1:5" x14ac:dyDescent="0.2">
      <c r="A916">
        <v>6.0935364512150402E-3</v>
      </c>
      <c r="B916">
        <v>0.174952835472618</v>
      </c>
      <c r="C916">
        <v>0.13753631493042601</v>
      </c>
      <c r="D916">
        <v>0.32635085701293798</v>
      </c>
      <c r="E916">
        <v>0.241369604238619</v>
      </c>
    </row>
    <row r="917" spans="1:5" x14ac:dyDescent="0.2">
      <c r="A917">
        <v>6.1002033401113404E-3</v>
      </c>
      <c r="B917">
        <v>0.17503740418369401</v>
      </c>
      <c r="C917">
        <v>0.13763213061424201</v>
      </c>
      <c r="D917">
        <v>0.32644242905632298</v>
      </c>
      <c r="E917">
        <v>0.24142812694839</v>
      </c>
    </row>
    <row r="918" spans="1:5" x14ac:dyDescent="0.2">
      <c r="A918">
        <v>6.1068702290076301E-3</v>
      </c>
      <c r="B918">
        <v>0.17512231840956799</v>
      </c>
      <c r="C918">
        <v>0.13772788004529399</v>
      </c>
      <c r="D918">
        <v>0.32653387764784902</v>
      </c>
      <c r="E918">
        <v>0.24148688901397</v>
      </c>
    </row>
    <row r="919" spans="1:5" x14ac:dyDescent="0.2">
      <c r="A919">
        <v>6.1135371179039302E-3</v>
      </c>
      <c r="B919">
        <v>0.17520757489658201</v>
      </c>
      <c r="C919">
        <v>0.137823563445372</v>
      </c>
      <c r="D919">
        <v>0.326625202925305</v>
      </c>
      <c r="E919">
        <v>0.24154588886306799</v>
      </c>
    </row>
    <row r="920" spans="1:5" x14ac:dyDescent="0.2">
      <c r="A920">
        <v>6.1202040068002303E-3</v>
      </c>
      <c r="B920">
        <v>0.175293170391076</v>
      </c>
      <c r="C920">
        <v>0.13791918103626899</v>
      </c>
      <c r="D920">
        <v>0.32671640502648402</v>
      </c>
      <c r="E920">
        <v>0.24160512492339301</v>
      </c>
    </row>
    <row r="921" spans="1:5" x14ac:dyDescent="0.2">
      <c r="A921">
        <v>6.12687089569652E-3</v>
      </c>
      <c r="B921">
        <v>0.17537910163939199</v>
      </c>
      <c r="C921">
        <v>0.13801473303977599</v>
      </c>
      <c r="D921">
        <v>0.32680748408917698</v>
      </c>
      <c r="E921">
        <v>0.24166459562265399</v>
      </c>
    </row>
    <row r="922" spans="1:5" x14ac:dyDescent="0.2">
      <c r="A922">
        <v>6.1335377845928201E-3</v>
      </c>
      <c r="B922">
        <v>0.175465365387872</v>
      </c>
      <c r="C922">
        <v>0.138110219677683</v>
      </c>
      <c r="D922">
        <v>0.32689844025117398</v>
      </c>
      <c r="E922">
        <v>0.24172429938855999</v>
      </c>
    </row>
    <row r="923" spans="1:5" x14ac:dyDescent="0.2">
      <c r="A923">
        <v>6.1402046734891202E-3</v>
      </c>
      <c r="B923">
        <v>0.175551958382857</v>
      </c>
      <c r="C923">
        <v>0.138205641171782</v>
      </c>
      <c r="D923">
        <v>0.32698927365026798</v>
      </c>
      <c r="E923">
        <v>0.24178423464882101</v>
      </c>
    </row>
    <row r="924" spans="1:5" x14ac:dyDescent="0.2">
      <c r="A924">
        <v>6.1468715623854099E-3</v>
      </c>
      <c r="B924">
        <v>0.17563887737068901</v>
      </c>
      <c r="C924">
        <v>0.13830099774386501</v>
      </c>
      <c r="D924">
        <v>0.32707998442424802</v>
      </c>
      <c r="E924">
        <v>0.241844399831145</v>
      </c>
    </row>
    <row r="925" spans="1:5" x14ac:dyDescent="0.2">
      <c r="A925">
        <v>6.15353845128171E-3</v>
      </c>
      <c r="B925">
        <v>0.17572611909770799</v>
      </c>
      <c r="C925">
        <v>0.13839628961572301</v>
      </c>
      <c r="D925">
        <v>0.32717057271090699</v>
      </c>
      <c r="E925">
        <v>0.241904793363243</v>
      </c>
    </row>
    <row r="926" spans="1:5" x14ac:dyDescent="0.2">
      <c r="A926">
        <v>6.1602053401780101E-3</v>
      </c>
      <c r="B926">
        <v>0.17581368031025699</v>
      </c>
      <c r="C926">
        <v>0.138491517009147</v>
      </c>
      <c r="D926">
        <v>0.32726103864803602</v>
      </c>
      <c r="E926">
        <v>0.24196541367282201</v>
      </c>
    </row>
    <row r="927" spans="1:5" x14ac:dyDescent="0.2">
      <c r="A927">
        <v>6.1668722290742998E-3</v>
      </c>
      <c r="B927">
        <v>0.175901557754677</v>
      </c>
      <c r="C927">
        <v>0.13858668014592801</v>
      </c>
      <c r="D927">
        <v>0.32735138237342598</v>
      </c>
      <c r="E927">
        <v>0.24202625918759299</v>
      </c>
    </row>
    <row r="928" spans="1:5" x14ac:dyDescent="0.2">
      <c r="A928">
        <v>6.1735391179705999E-3</v>
      </c>
      <c r="B928">
        <v>0.175989748177309</v>
      </c>
      <c r="C928">
        <v>0.13868177924785799</v>
      </c>
      <c r="D928">
        <v>0.32744160402486699</v>
      </c>
      <c r="E928">
        <v>0.242087328335265</v>
      </c>
    </row>
    <row r="929" spans="1:5" x14ac:dyDescent="0.2">
      <c r="A929">
        <v>6.1802060068669E-3</v>
      </c>
      <c r="B929">
        <v>0.17607824832449501</v>
      </c>
      <c r="C929">
        <v>0.13877681453672699</v>
      </c>
      <c r="D929">
        <v>0.327531703740152</v>
      </c>
      <c r="E929">
        <v>0.242148619543546</v>
      </c>
    </row>
    <row r="930" spans="1:5" x14ac:dyDescent="0.2">
      <c r="A930">
        <v>6.1868728957631897E-3</v>
      </c>
      <c r="B930">
        <v>0.17616705494257601</v>
      </c>
      <c r="C930">
        <v>0.138871786234328</v>
      </c>
      <c r="D930">
        <v>0.32762168165707101</v>
      </c>
      <c r="E930">
        <v>0.24221013124014601</v>
      </c>
    </row>
    <row r="931" spans="1:5" x14ac:dyDescent="0.2">
      <c r="A931">
        <v>6.1935397846594898E-3</v>
      </c>
      <c r="B931">
        <v>0.17625616477789399</v>
      </c>
      <c r="C931">
        <v>0.138966694562452</v>
      </c>
      <c r="D931">
        <v>0.32771153791341701</v>
      </c>
      <c r="E931">
        <v>0.24227186185277499</v>
      </c>
    </row>
    <row r="932" spans="1:5" x14ac:dyDescent="0.2">
      <c r="A932">
        <v>6.2002066735557899E-3</v>
      </c>
      <c r="B932">
        <v>0.17634557457678901</v>
      </c>
      <c r="C932">
        <v>0.13906153974288901</v>
      </c>
      <c r="D932">
        <v>0.327801272646979</v>
      </c>
      <c r="E932">
        <v>0.24233380980913999</v>
      </c>
    </row>
    <row r="933" spans="1:5" x14ac:dyDescent="0.2">
      <c r="A933">
        <v>6.2068735624520796E-3</v>
      </c>
      <c r="B933">
        <v>0.17643528108560499</v>
      </c>
      <c r="C933">
        <v>0.139156321997432</v>
      </c>
      <c r="D933">
        <v>0.327890885995549</v>
      </c>
      <c r="E933">
        <v>0.242395973536952</v>
      </c>
    </row>
    <row r="934" spans="1:5" x14ac:dyDescent="0.2">
      <c r="A934">
        <v>6.2135404513483797E-3</v>
      </c>
      <c r="B934">
        <v>0.17652528105068099</v>
      </c>
      <c r="C934">
        <v>0.13925104154786999</v>
      </c>
      <c r="D934">
        <v>0.32798037809691799</v>
      </c>
      <c r="E934">
        <v>0.24245835146392</v>
      </c>
    </row>
    <row r="935" spans="1:5" x14ac:dyDescent="0.2">
      <c r="A935">
        <v>6.2202073402446798E-3</v>
      </c>
      <c r="B935">
        <v>0.17661557121836</v>
      </c>
      <c r="C935">
        <v>0.13934569861599699</v>
      </c>
      <c r="D935">
        <v>0.32806974908887898</v>
      </c>
      <c r="E935">
        <v>0.24252094201775301</v>
      </c>
    </row>
    <row r="936" spans="1:5" x14ac:dyDescent="0.2">
      <c r="A936">
        <v>6.2268742291409704E-3</v>
      </c>
      <c r="B936">
        <v>0.17670614833498299</v>
      </c>
      <c r="C936">
        <v>0.13944029342360301</v>
      </c>
      <c r="D936">
        <v>0.32815899910921997</v>
      </c>
      <c r="E936">
        <v>0.24258374362616</v>
      </c>
    </row>
    <row r="937" spans="1:5" x14ac:dyDescent="0.2">
      <c r="A937">
        <v>6.2335411180372696E-3</v>
      </c>
      <c r="B937">
        <v>0.176797009146892</v>
      </c>
      <c r="C937">
        <v>0.13953482619247901</v>
      </c>
      <c r="D937">
        <v>0.32824812829573502</v>
      </c>
      <c r="E937">
        <v>0.24264675471685099</v>
      </c>
    </row>
    <row r="938" spans="1:5" x14ac:dyDescent="0.2">
      <c r="A938">
        <v>6.2402080069335602E-3</v>
      </c>
      <c r="B938">
        <v>0.17688815040042699</v>
      </c>
      <c r="C938">
        <v>0.13962929714441599</v>
      </c>
      <c r="D938">
        <v>0.32833713678621501</v>
      </c>
      <c r="E938">
        <v>0.242709973717534</v>
      </c>
    </row>
    <row r="939" spans="1:5" x14ac:dyDescent="0.2">
      <c r="A939">
        <v>6.2468748958298603E-3</v>
      </c>
      <c r="B939">
        <v>0.17697956884193</v>
      </c>
      <c r="C939">
        <v>0.139723706501207</v>
      </c>
      <c r="D939">
        <v>0.32842602471844901</v>
      </c>
      <c r="E939">
        <v>0.24277339905591799</v>
      </c>
    </row>
    <row r="940" spans="1:5" x14ac:dyDescent="0.2">
      <c r="A940">
        <v>6.2535417847261604E-3</v>
      </c>
      <c r="B940">
        <v>0.177071261217743</v>
      </c>
      <c r="C940">
        <v>0.13981805448464199</v>
      </c>
      <c r="D940">
        <v>0.32851479223023</v>
      </c>
      <c r="E940">
        <v>0.242837029159714</v>
      </c>
    </row>
    <row r="941" spans="1:5" x14ac:dyDescent="0.2">
      <c r="A941">
        <v>6.2602086736224501E-3</v>
      </c>
      <c r="B941">
        <v>0.177163224274207</v>
      </c>
      <c r="C941">
        <v>0.13991234131651201</v>
      </c>
      <c r="D941">
        <v>0.32860343945935</v>
      </c>
      <c r="E941">
        <v>0.24290086245662901</v>
      </c>
    </row>
    <row r="942" spans="1:5" x14ac:dyDescent="0.2">
      <c r="A942">
        <v>6.2668755625187502E-3</v>
      </c>
      <c r="B942">
        <v>0.17725545475766399</v>
      </c>
      <c r="C942">
        <v>0.14000656721860899</v>
      </c>
      <c r="D942">
        <v>0.328691966543598</v>
      </c>
      <c r="E942">
        <v>0.24296489737437399</v>
      </c>
    </row>
    <row r="943" spans="1:5" x14ac:dyDescent="0.2">
      <c r="A943">
        <v>6.2735424514150503E-3</v>
      </c>
      <c r="B943">
        <v>0.177347949414456</v>
      </c>
      <c r="C943">
        <v>0.140100732412724</v>
      </c>
      <c r="D943">
        <v>0.32878037362076601</v>
      </c>
      <c r="E943">
        <v>0.24302913234065801</v>
      </c>
    </row>
    <row r="944" spans="1:5" x14ac:dyDescent="0.2">
      <c r="A944">
        <v>6.28020934031134E-3</v>
      </c>
      <c r="B944">
        <v>0.17744070499092199</v>
      </c>
      <c r="C944">
        <v>0.14019483712064901</v>
      </c>
      <c r="D944">
        <v>0.32886866082864602</v>
      </c>
      <c r="E944">
        <v>0.243093565783189</v>
      </c>
    </row>
    <row r="945" spans="1:5" x14ac:dyDescent="0.2">
      <c r="A945">
        <v>6.2868762292076401E-3</v>
      </c>
      <c r="B945">
        <v>0.177533718233406</v>
      </c>
      <c r="C945">
        <v>0.14028888156417399</v>
      </c>
      <c r="D945">
        <v>0.32895682830502898</v>
      </c>
      <c r="E945">
        <v>0.24315819612967701</v>
      </c>
    </row>
    <row r="946" spans="1:5" x14ac:dyDescent="0.2">
      <c r="A946">
        <v>6.2935431181039402E-3</v>
      </c>
      <c r="B946">
        <v>0.17762698588824799</v>
      </c>
      <c r="C946">
        <v>0.140382865965091</v>
      </c>
      <c r="D946">
        <v>0.329044876187706</v>
      </c>
      <c r="E946">
        <v>0.24322302180783101</v>
      </c>
    </row>
    <row r="947" spans="1:5" x14ac:dyDescent="0.2">
      <c r="A947">
        <v>6.3002100070002299E-3</v>
      </c>
      <c r="B947">
        <v>0.17772050470178999</v>
      </c>
      <c r="C947">
        <v>0.14047679054519199</v>
      </c>
      <c r="D947">
        <v>0.32913280461446798</v>
      </c>
      <c r="E947">
        <v>0.24328804124536099</v>
      </c>
    </row>
    <row r="948" spans="1:5" x14ac:dyDescent="0.2">
      <c r="A948">
        <v>6.30687689589653E-3</v>
      </c>
      <c r="B948">
        <v>0.17781427142037301</v>
      </c>
      <c r="C948">
        <v>0.14057065552626699</v>
      </c>
      <c r="D948">
        <v>0.32922061372310601</v>
      </c>
      <c r="E948">
        <v>0.243353252869975</v>
      </c>
    </row>
    <row r="949" spans="1:5" x14ac:dyDescent="0.2">
      <c r="A949">
        <v>6.3135437847928301E-3</v>
      </c>
      <c r="B949">
        <v>0.17790828279033899</v>
      </c>
      <c r="C949">
        <v>0.140664461130108</v>
      </c>
      <c r="D949">
        <v>0.329308303651412</v>
      </c>
      <c r="E949">
        <v>0.24341865510938299</v>
      </c>
    </row>
    <row r="950" spans="1:5" x14ac:dyDescent="0.2">
      <c r="A950">
        <v>6.3202106736891198E-3</v>
      </c>
      <c r="B950">
        <v>0.178002535558029</v>
      </c>
      <c r="C950">
        <v>0.14075820757850599</v>
      </c>
      <c r="D950">
        <v>0.329395874537177</v>
      </c>
      <c r="E950">
        <v>0.24348424639129401</v>
      </c>
    </row>
    <row r="951" spans="1:5" x14ac:dyDescent="0.2">
      <c r="A951">
        <v>6.3268775625854199E-3</v>
      </c>
      <c r="B951">
        <v>0.17809702646978501</v>
      </c>
      <c r="C951">
        <v>0.14085189509325299</v>
      </c>
      <c r="D951">
        <v>0.32948332651819101</v>
      </c>
      <c r="E951">
        <v>0.243550025143416</v>
      </c>
    </row>
    <row r="952" spans="1:5" x14ac:dyDescent="0.2">
      <c r="A952">
        <v>6.33354445148172E-3</v>
      </c>
      <c r="B952">
        <v>0.178191752271948</v>
      </c>
      <c r="C952">
        <v>0.14094552389614001</v>
      </c>
      <c r="D952">
        <v>0.32957065973224697</v>
      </c>
      <c r="E952">
        <v>0.24361598979346</v>
      </c>
    </row>
    <row r="953" spans="1:5" x14ac:dyDescent="0.2">
      <c r="A953">
        <v>6.3402113403780097E-3</v>
      </c>
      <c r="B953">
        <v>0.17828670971086</v>
      </c>
      <c r="C953">
        <v>0.14103909420895699</v>
      </c>
      <c r="D953">
        <v>0.329657874317135</v>
      </c>
      <c r="E953">
        <v>0.243682138769135</v>
      </c>
    </row>
    <row r="954" spans="1:5" x14ac:dyDescent="0.2">
      <c r="A954">
        <v>6.3468782292743098E-3</v>
      </c>
      <c r="B954">
        <v>0.17838189553286199</v>
      </c>
      <c r="C954">
        <v>0.14113260625349699</v>
      </c>
      <c r="D954">
        <v>0.32974497041064699</v>
      </c>
      <c r="E954">
        <v>0.24374847049814899</v>
      </c>
    </row>
    <row r="955" spans="1:5" x14ac:dyDescent="0.2">
      <c r="A955">
        <v>6.35354511817061E-3</v>
      </c>
      <c r="B955">
        <v>0.178477306484295</v>
      </c>
      <c r="C955">
        <v>0.14122606025155099</v>
      </c>
      <c r="D955">
        <v>0.32983194815057398</v>
      </c>
      <c r="E955">
        <v>0.243814983408213</v>
      </c>
    </row>
    <row r="956" spans="1:5" x14ac:dyDescent="0.2">
      <c r="A956">
        <v>6.3602120070668997E-3</v>
      </c>
      <c r="B956">
        <v>0.17857293931150101</v>
      </c>
      <c r="C956">
        <v>0.14131945642491001</v>
      </c>
      <c r="D956">
        <v>0.32991880767470699</v>
      </c>
      <c r="E956">
        <v>0.243881675927034</v>
      </c>
    </row>
    <row r="957" spans="1:5" x14ac:dyDescent="0.2">
      <c r="A957">
        <v>6.3668788959631998E-3</v>
      </c>
      <c r="B957">
        <v>0.17866879076082201</v>
      </c>
      <c r="C957">
        <v>0.14141279499536499</v>
      </c>
      <c r="D957">
        <v>0.33000554912083802</v>
      </c>
      <c r="E957">
        <v>0.243948546482323</v>
      </c>
    </row>
    <row r="958" spans="1:5" x14ac:dyDescent="0.2">
      <c r="A958">
        <v>6.3735457848594999E-3</v>
      </c>
      <c r="B958">
        <v>0.178764857578598</v>
      </c>
      <c r="C958">
        <v>0.14150607618470701</v>
      </c>
      <c r="D958">
        <v>0.330092172626756</v>
      </c>
      <c r="E958">
        <v>0.244015593501788</v>
      </c>
    </row>
    <row r="959" spans="1:5" x14ac:dyDescent="0.2">
      <c r="A959">
        <v>6.3802126737557904E-3</v>
      </c>
      <c r="B959">
        <v>0.178861136511172</v>
      </c>
      <c r="C959">
        <v>0.141599300214729</v>
      </c>
      <c r="D959">
        <v>0.33017867833025499</v>
      </c>
      <c r="E959">
        <v>0.244082815413138</v>
      </c>
    </row>
    <row r="960" spans="1:5" x14ac:dyDescent="0.2">
      <c r="A960">
        <v>6.3868795626520897E-3</v>
      </c>
      <c r="B960">
        <v>0.17895762430488399</v>
      </c>
      <c r="C960">
        <v>0.14169246730721999</v>
      </c>
      <c r="D960">
        <v>0.330265066369125</v>
      </c>
      <c r="E960">
        <v>0.24415021064408399</v>
      </c>
    </row>
    <row r="961" spans="1:5" x14ac:dyDescent="0.2">
      <c r="A961">
        <v>6.3935464515483898E-3</v>
      </c>
      <c r="B961">
        <v>0.17905431770607699</v>
      </c>
      <c r="C961">
        <v>0.14178557768397301</v>
      </c>
      <c r="D961">
        <v>0.33035133688115598</v>
      </c>
      <c r="E961">
        <v>0.24421777762233399</v>
      </c>
    </row>
    <row r="962" spans="1:5" x14ac:dyDescent="0.2">
      <c r="A962">
        <v>6.4002133404446803E-3</v>
      </c>
      <c r="B962">
        <v>0.179151213461091</v>
      </c>
      <c r="C962">
        <v>0.14187863156677899</v>
      </c>
      <c r="D962">
        <v>0.33043749000414102</v>
      </c>
      <c r="E962">
        <v>0.24428551477559701</v>
      </c>
    </row>
    <row r="963" spans="1:5" x14ac:dyDescent="0.2">
      <c r="A963">
        <v>6.4068802293409796E-3</v>
      </c>
      <c r="B963">
        <v>0.17924830831626901</v>
      </c>
      <c r="C963">
        <v>0.141971629177429</v>
      </c>
      <c r="D963">
        <v>0.33052352587587103</v>
      </c>
      <c r="E963">
        <v>0.24435342053158299</v>
      </c>
    </row>
    <row r="964" spans="1:5" x14ac:dyDescent="0.2">
      <c r="A964">
        <v>6.4135471182372797E-3</v>
      </c>
      <c r="B964">
        <v>0.179345599017951</v>
      </c>
      <c r="C964">
        <v>0.142064570737714</v>
      </c>
      <c r="D964">
        <v>0.330609444634136</v>
      </c>
      <c r="E964">
        <v>0.244421493318</v>
      </c>
    </row>
    <row r="965" spans="1:5" x14ac:dyDescent="0.2">
      <c r="A965">
        <v>6.4202140071335703E-3</v>
      </c>
      <c r="B965">
        <v>0.17944308231247899</v>
      </c>
      <c r="C965">
        <v>0.14215745646942601</v>
      </c>
      <c r="D965">
        <v>0.33069524641672898</v>
      </c>
      <c r="E965">
        <v>0.24448973156255799</v>
      </c>
    </row>
    <row r="966" spans="1:5" x14ac:dyDescent="0.2">
      <c r="A966">
        <v>6.4268808960298704E-3</v>
      </c>
      <c r="B966">
        <v>0.17954075494619401</v>
      </c>
      <c r="C966">
        <v>0.14225028659435501</v>
      </c>
      <c r="D966">
        <v>0.33078093136143999</v>
      </c>
      <c r="E966">
        <v>0.244558133692966</v>
      </c>
    </row>
    <row r="967" spans="1:5" x14ac:dyDescent="0.2">
      <c r="A967">
        <v>6.4335477849261601E-3</v>
      </c>
      <c r="B967">
        <v>0.17963861366543901</v>
      </c>
      <c r="C967">
        <v>0.142343061334294</v>
      </c>
      <c r="D967">
        <v>0.33086649960606002</v>
      </c>
      <c r="E967">
        <v>0.244626698136934</v>
      </c>
    </row>
    <row r="968" spans="1:5" x14ac:dyDescent="0.2">
      <c r="A968">
        <v>6.4402146738224602E-3</v>
      </c>
      <c r="B968">
        <v>0.17973665521655299</v>
      </c>
      <c r="C968">
        <v>0.14243578091103401</v>
      </c>
      <c r="D968">
        <v>0.33095195128838101</v>
      </c>
      <c r="E968">
        <v>0.24469542332217001</v>
      </c>
    </row>
    <row r="969" spans="1:5" x14ac:dyDescent="0.2">
      <c r="A969">
        <v>6.4468815627187603E-3</v>
      </c>
      <c r="B969">
        <v>0.17983487634588</v>
      </c>
      <c r="C969">
        <v>0.14252844554636501</v>
      </c>
      <c r="D969">
        <v>0.33103728654619402</v>
      </c>
      <c r="E969">
        <v>0.24476430767638299</v>
      </c>
    </row>
    <row r="970" spans="1:5" x14ac:dyDescent="0.2">
      <c r="A970">
        <v>6.45354845161505E-3</v>
      </c>
      <c r="B970">
        <v>0.17993327379976001</v>
      </c>
      <c r="C970">
        <v>0.14262105546208001</v>
      </c>
      <c r="D970">
        <v>0.33112250551729</v>
      </c>
      <c r="E970">
        <v>0.24483334962728401</v>
      </c>
    </row>
    <row r="971" spans="1:5" x14ac:dyDescent="0.2">
      <c r="A971">
        <v>6.4602153405113501E-3</v>
      </c>
      <c r="B971">
        <v>0.18003184432453401</v>
      </c>
      <c r="C971">
        <v>0.14271361087996901</v>
      </c>
      <c r="D971">
        <v>0.33120760833946</v>
      </c>
      <c r="E971">
        <v>0.24490254760258101</v>
      </c>
    </row>
    <row r="972" spans="1:5" x14ac:dyDescent="0.2">
      <c r="A972">
        <v>6.4668822294076502E-3</v>
      </c>
      <c r="B972">
        <v>0.180130584666545</v>
      </c>
      <c r="C972">
        <v>0.142806112021823</v>
      </c>
      <c r="D972">
        <v>0.33129259515049603</v>
      </c>
      <c r="E972">
        <v>0.24497190002998201</v>
      </c>
    </row>
    <row r="973" spans="1:5" x14ac:dyDescent="0.2">
      <c r="A973">
        <v>6.4735491183039399E-3</v>
      </c>
      <c r="B973">
        <v>0.180229491572133</v>
      </c>
      <c r="C973">
        <v>0.142898559109435</v>
      </c>
      <c r="D973">
        <v>0.33137746608818802</v>
      </c>
      <c r="E973">
        <v>0.24504140533719901</v>
      </c>
    </row>
    <row r="974" spans="1:5" x14ac:dyDescent="0.2">
      <c r="A974">
        <v>6.48021600720024E-3</v>
      </c>
      <c r="B974">
        <v>0.18032856178764101</v>
      </c>
      <c r="C974">
        <v>0.142990952364595</v>
      </c>
      <c r="D974">
        <v>0.33146222129032799</v>
      </c>
      <c r="E974">
        <v>0.24511106195193899</v>
      </c>
    </row>
    <row r="975" spans="1:5" x14ac:dyDescent="0.2">
      <c r="A975">
        <v>6.4868828960965401E-3</v>
      </c>
      <c r="B975">
        <v>0.18042779205940901</v>
      </c>
      <c r="C975">
        <v>0.143083292009095</v>
      </c>
      <c r="D975">
        <v>0.33154686089470797</v>
      </c>
      <c r="E975">
        <v>0.24518086830191199</v>
      </c>
    </row>
    <row r="976" spans="1:5" x14ac:dyDescent="0.2">
      <c r="A976">
        <v>6.4935497849928298E-3</v>
      </c>
      <c r="B976">
        <v>0.180527179133778</v>
      </c>
      <c r="C976">
        <v>0.14317557826472499</v>
      </c>
      <c r="D976">
        <v>0.33163138503911799</v>
      </c>
      <c r="E976">
        <v>0.24525082281482699</v>
      </c>
    </row>
    <row r="977" spans="1:5" x14ac:dyDescent="0.2">
      <c r="A977">
        <v>6.5002166738891299E-3</v>
      </c>
      <c r="B977">
        <v>0.18062671975709199</v>
      </c>
      <c r="C977">
        <v>0.14326781135327801</v>
      </c>
      <c r="D977">
        <v>0.33171579386134997</v>
      </c>
      <c r="E977">
        <v>0.245320923918393</v>
      </c>
    </row>
    <row r="978" spans="1:5" x14ac:dyDescent="0.2">
      <c r="A978">
        <v>6.50688356278543E-3</v>
      </c>
      <c r="B978">
        <v>0.18072641067569001</v>
      </c>
      <c r="C978">
        <v>0.14335999149654399</v>
      </c>
      <c r="D978">
        <v>0.33180008749919399</v>
      </c>
      <c r="E978">
        <v>0.24539117004031999</v>
      </c>
    </row>
    <row r="979" spans="1:5" x14ac:dyDescent="0.2">
      <c r="A979">
        <v>6.5135504516817197E-3</v>
      </c>
      <c r="B979">
        <v>0.18082624863591401</v>
      </c>
      <c r="C979">
        <v>0.14345211891631601</v>
      </c>
      <c r="D979">
        <v>0.33188426609044303</v>
      </c>
      <c r="E979">
        <v>0.245461559608316</v>
      </c>
    </row>
    <row r="980" spans="1:5" x14ac:dyDescent="0.2">
      <c r="A980">
        <v>6.5202173405780198E-3</v>
      </c>
      <c r="B980">
        <v>0.18092623038410699</v>
      </c>
      <c r="C980">
        <v>0.14354419383438299</v>
      </c>
      <c r="D980">
        <v>0.33196832977288698</v>
      </c>
      <c r="E980">
        <v>0.24553209105009099</v>
      </c>
    </row>
    <row r="981" spans="1:5" x14ac:dyDescent="0.2">
      <c r="A981">
        <v>6.5268842294743199E-3</v>
      </c>
      <c r="B981">
        <v>0.18102635266660799</v>
      </c>
      <c r="C981">
        <v>0.14363621647253699</v>
      </c>
      <c r="D981">
        <v>0.33205227868431703</v>
      </c>
      <c r="E981">
        <v>0.245602762793354</v>
      </c>
    </row>
    <row r="982" spans="1:5" x14ac:dyDescent="0.2">
      <c r="A982">
        <v>6.5335511183706096E-3</v>
      </c>
      <c r="B982">
        <v>0.18112661222976001</v>
      </c>
      <c r="C982">
        <v>0.14372818705257101</v>
      </c>
      <c r="D982">
        <v>0.33213611296252499</v>
      </c>
      <c r="E982">
        <v>0.24567357326581499</v>
      </c>
    </row>
    <row r="983" spans="1:5" x14ac:dyDescent="0.2">
      <c r="A983">
        <v>6.5402180072669097E-3</v>
      </c>
      <c r="B983">
        <v>0.181227005819904</v>
      </c>
      <c r="C983">
        <v>0.14382010579627399</v>
      </c>
      <c r="D983">
        <v>0.33221983274530198</v>
      </c>
      <c r="E983">
        <v>0.24574452089518201</v>
      </c>
    </row>
    <row r="984" spans="1:5" x14ac:dyDescent="0.2">
      <c r="A984">
        <v>6.5468848961632098E-3</v>
      </c>
      <c r="B984">
        <v>0.18132753018338199</v>
      </c>
      <c r="C984">
        <v>0.143911972925439</v>
      </c>
      <c r="D984">
        <v>0.332303438170439</v>
      </c>
      <c r="E984">
        <v>0.245815604109165</v>
      </c>
    </row>
    <row r="985" spans="1:5" x14ac:dyDescent="0.2">
      <c r="A985">
        <v>6.5535517850595004E-3</v>
      </c>
      <c r="B985">
        <v>0.18142818206653499</v>
      </c>
      <c r="C985">
        <v>0.14400378866185601</v>
      </c>
      <c r="D985">
        <v>0.332386929375727</v>
      </c>
      <c r="E985">
        <v>0.24588682133547199</v>
      </c>
    </row>
    <row r="986" spans="1:5" x14ac:dyDescent="0.2">
      <c r="A986">
        <v>6.5602186739557996E-3</v>
      </c>
      <c r="B986">
        <v>0.181528958215704</v>
      </c>
      <c r="C986">
        <v>0.14409555322731701</v>
      </c>
      <c r="D986">
        <v>0.33247030649895798</v>
      </c>
      <c r="E986">
        <v>0.245958171001814</v>
      </c>
    </row>
    <row r="987" spans="1:5" x14ac:dyDescent="0.2">
      <c r="A987">
        <v>6.5668855628520997E-3</v>
      </c>
      <c r="B987">
        <v>0.181629855377232</v>
      </c>
      <c r="C987">
        <v>0.14418726684361399</v>
      </c>
      <c r="D987">
        <v>0.33255356967792199</v>
      </c>
      <c r="E987">
        <v>0.24602965153589901</v>
      </c>
    </row>
    <row r="988" spans="1:5" x14ac:dyDescent="0.2">
      <c r="A988">
        <v>6.5735524517483903E-3</v>
      </c>
      <c r="B988">
        <v>0.18173087029745799</v>
      </c>
      <c r="C988">
        <v>0.144278929732536</v>
      </c>
      <c r="D988">
        <v>0.33263671905041198</v>
      </c>
      <c r="E988">
        <v>0.246101261365436</v>
      </c>
    </row>
    <row r="989" spans="1:5" x14ac:dyDescent="0.2">
      <c r="A989">
        <v>6.5802193406446904E-3</v>
      </c>
      <c r="B989">
        <v>0.18183199972272601</v>
      </c>
      <c r="C989">
        <v>0.14437054211587699</v>
      </c>
      <c r="D989">
        <v>0.332719754754218</v>
      </c>
      <c r="E989">
        <v>0.24617299891813499</v>
      </c>
    </row>
    <row r="990" spans="1:5" x14ac:dyDescent="0.2">
      <c r="A990">
        <v>6.5868862295409896E-3</v>
      </c>
      <c r="B990">
        <v>0.181933240399375</v>
      </c>
      <c r="C990">
        <v>0.14446210421542699</v>
      </c>
      <c r="D990">
        <v>0.332802676927131</v>
      </c>
      <c r="E990">
        <v>0.246244862621704</v>
      </c>
    </row>
    <row r="991" spans="1:5" x14ac:dyDescent="0.2">
      <c r="A991">
        <v>6.5935531184372802E-3</v>
      </c>
      <c r="B991">
        <v>0.182034589073749</v>
      </c>
      <c r="C991">
        <v>0.144553616252977</v>
      </c>
      <c r="D991">
        <v>0.33288548570694199</v>
      </c>
      <c r="E991">
        <v>0.246316850903854</v>
      </c>
    </row>
    <row r="992" spans="1:5" x14ac:dyDescent="0.2">
      <c r="A992">
        <v>6.6002200073335803E-3</v>
      </c>
      <c r="B992">
        <v>0.18213604249218701</v>
      </c>
      <c r="C992">
        <v>0.14464507845031799</v>
      </c>
      <c r="D992">
        <v>0.332968181231444</v>
      </c>
      <c r="E992">
        <v>0.246388962192293</v>
      </c>
    </row>
    <row r="993" spans="1:5" x14ac:dyDescent="0.2">
      <c r="A993">
        <v>6.6068868962298804E-3</v>
      </c>
      <c r="B993">
        <v>0.18223759740103301</v>
      </c>
      <c r="C993">
        <v>0.14473649102924299</v>
      </c>
      <c r="D993">
        <v>0.33305076363842701</v>
      </c>
      <c r="E993">
        <v>0.24646119491473101</v>
      </c>
    </row>
    <row r="994" spans="1:5" x14ac:dyDescent="0.2">
      <c r="A994">
        <v>6.6135537851261701E-3</v>
      </c>
      <c r="B994">
        <v>0.182339250546626</v>
      </c>
      <c r="C994">
        <v>0.14482785421154201</v>
      </c>
      <c r="D994">
        <v>0.33313323306568199</v>
      </c>
      <c r="E994">
        <v>0.24653354749887599</v>
      </c>
    </row>
    <row r="995" spans="1:5" x14ac:dyDescent="0.2">
      <c r="A995">
        <v>6.6202206740224702E-3</v>
      </c>
      <c r="B995">
        <v>0.182440998675309</v>
      </c>
      <c r="C995">
        <v>0.14491916821900699</v>
      </c>
      <c r="D995">
        <v>0.33321558965100001</v>
      </c>
      <c r="E995">
        <v>0.24660601837243801</v>
      </c>
    </row>
    <row r="996" spans="1:5" x14ac:dyDescent="0.2">
      <c r="A996">
        <v>6.6268875629187599E-3</v>
      </c>
      <c r="B996">
        <v>0.18254283853342301</v>
      </c>
      <c r="C996">
        <v>0.145010433273428</v>
      </c>
      <c r="D996">
        <v>0.33329783353217302</v>
      </c>
      <c r="E996">
        <v>0.24667860596312599</v>
      </c>
    </row>
    <row r="997" spans="1:5" x14ac:dyDescent="0.2">
      <c r="A997">
        <v>6.63355445181506E-3</v>
      </c>
      <c r="B997">
        <v>0.18264476686730899</v>
      </c>
      <c r="C997">
        <v>0.14510164959659799</v>
      </c>
      <c r="D997">
        <v>0.33337996484699201</v>
      </c>
      <c r="E997">
        <v>0.246751308698649</v>
      </c>
    </row>
    <row r="998" spans="1:5" x14ac:dyDescent="0.2">
      <c r="A998">
        <v>6.6402213407113601E-3</v>
      </c>
      <c r="B998">
        <v>0.182746780423309</v>
      </c>
      <c r="C998">
        <v>0.14519281741030701</v>
      </c>
      <c r="D998">
        <v>0.33346198373324798</v>
      </c>
      <c r="E998">
        <v>0.24682412500671699</v>
      </c>
    </row>
    <row r="999" spans="1:5" x14ac:dyDescent="0.2">
      <c r="A999">
        <v>6.6468882296076498E-3</v>
      </c>
      <c r="B999">
        <v>0.182848875947765</v>
      </c>
      <c r="C999">
        <v>0.145283936936346</v>
      </c>
      <c r="D999">
        <v>0.33354389032873299</v>
      </c>
      <c r="E999">
        <v>0.246897053315038</v>
      </c>
    </row>
    <row r="1000" spans="1:5" x14ac:dyDescent="0.2">
      <c r="A1000">
        <v>6.6535551185039499E-3</v>
      </c>
      <c r="B1000">
        <v>0.18295105018701699</v>
      </c>
      <c r="C1000">
        <v>0.14537500839650799</v>
      </c>
      <c r="D1000">
        <v>0.333625684771237</v>
      </c>
      <c r="E1000">
        <v>0.246970092051322</v>
      </c>
    </row>
    <row r="1001" spans="1:5" x14ac:dyDescent="0.2">
      <c r="A1001">
        <v>6.66022200740025E-3</v>
      </c>
      <c r="B1001">
        <v>0.18305329988740801</v>
      </c>
      <c r="C1001">
        <v>0.14546603201258401</v>
      </c>
      <c r="D1001">
        <v>0.33370736719855199</v>
      </c>
      <c r="E1001">
        <v>0.24704323964327801</v>
      </c>
    </row>
    <row r="1002" spans="1:5" x14ac:dyDescent="0.2">
      <c r="A1002">
        <v>6.6668888962965397E-3</v>
      </c>
      <c r="B1002">
        <v>0.183155621795278</v>
      </c>
      <c r="C1002">
        <v>0.14555700800636301</v>
      </c>
      <c r="D1002">
        <v>0.33378893774846802</v>
      </c>
      <c r="E1002">
        <v>0.247116494518615</v>
      </c>
    </row>
    <row r="1003" spans="1:5" x14ac:dyDescent="0.2">
      <c r="A1003">
        <v>6.6735557851928399E-3</v>
      </c>
      <c r="B1003">
        <v>0.183258012656969</v>
      </c>
      <c r="C1003">
        <v>0.14564793659963901</v>
      </c>
      <c r="D1003">
        <v>0.33387039655877798</v>
      </c>
      <c r="E1003">
        <v>0.24718985510504299</v>
      </c>
    </row>
    <row r="1004" spans="1:5" x14ac:dyDescent="0.2">
      <c r="A1004">
        <v>6.68022267408914E-3</v>
      </c>
      <c r="B1004">
        <v>0.18336046921882301</v>
      </c>
      <c r="C1004">
        <v>0.14573881801420199</v>
      </c>
      <c r="D1004">
        <v>0.33395174376727299</v>
      </c>
      <c r="E1004">
        <v>0.247263319830271</v>
      </c>
    </row>
    <row r="1005" spans="1:5" x14ac:dyDescent="0.2">
      <c r="A1005">
        <v>6.6868895629854297E-3</v>
      </c>
      <c r="B1005">
        <v>0.18346298822718099</v>
      </c>
      <c r="C1005">
        <v>0.14582965247184401</v>
      </c>
      <c r="D1005">
        <v>0.33403297951174299</v>
      </c>
      <c r="E1005">
        <v>0.24733688712200699</v>
      </c>
    </row>
    <row r="1006" spans="1:5" x14ac:dyDescent="0.2">
      <c r="A1006">
        <v>6.6935564518817298E-3</v>
      </c>
      <c r="B1006">
        <v>0.18356556642838501</v>
      </c>
      <c r="C1006">
        <v>0.14592044019435499</v>
      </c>
      <c r="D1006">
        <v>0.33411410392997998</v>
      </c>
      <c r="E1006">
        <v>0.247410555407961</v>
      </c>
    </row>
    <row r="1007" spans="1:5" x14ac:dyDescent="0.2">
      <c r="A1007">
        <v>6.7002233407780299E-3</v>
      </c>
      <c r="B1007">
        <v>0.183668200568775</v>
      </c>
      <c r="C1007">
        <v>0.14601118140352801</v>
      </c>
      <c r="D1007">
        <v>0.33419511715977501</v>
      </c>
      <c r="E1007">
        <v>0.24748432311584301</v>
      </c>
    </row>
    <row r="1008" spans="1:5" x14ac:dyDescent="0.2">
      <c r="A1008">
        <v>6.7068902296743196E-3</v>
      </c>
      <c r="B1008">
        <v>0.18377088739469399</v>
      </c>
      <c r="C1008">
        <v>0.14610187632115301</v>
      </c>
      <c r="D1008">
        <v>0.33427601933891898</v>
      </c>
      <c r="E1008">
        <v>0.24755818867335999</v>
      </c>
    </row>
    <row r="1009" spans="1:5" x14ac:dyDescent="0.2">
      <c r="A1009">
        <v>6.7135571185706197E-3</v>
      </c>
      <c r="B1009">
        <v>0.183873623652483</v>
      </c>
      <c r="C1009">
        <v>0.14619252516902201</v>
      </c>
      <c r="D1009">
        <v>0.334356810605204</v>
      </c>
      <c r="E1009">
        <v>0.24763215050822401</v>
      </c>
    </row>
    <row r="1010" spans="1:5" x14ac:dyDescent="0.2">
      <c r="A1010">
        <v>6.7202240074669198E-3</v>
      </c>
      <c r="B1010">
        <v>0.18397640608848301</v>
      </c>
      <c r="C1010">
        <v>0.146283128168925</v>
      </c>
      <c r="D1010">
        <v>0.33443749109642001</v>
      </c>
      <c r="E1010">
        <v>0.247706207048142</v>
      </c>
    </row>
    <row r="1011" spans="1:5" x14ac:dyDescent="0.2">
      <c r="A1011">
        <v>6.7268908963632103E-3</v>
      </c>
      <c r="B1011">
        <v>0.18407923144903501</v>
      </c>
      <c r="C1011">
        <v>0.14637368554265501</v>
      </c>
      <c r="D1011">
        <v>0.33451806095035902</v>
      </c>
      <c r="E1011">
        <v>0.24778035672082399</v>
      </c>
    </row>
    <row r="1012" spans="1:5" x14ac:dyDescent="0.2">
      <c r="A1012">
        <v>6.7335577852595096E-3</v>
      </c>
      <c r="B1012">
        <v>0.184182096480482</v>
      </c>
      <c r="C1012">
        <v>0.14646419751200301</v>
      </c>
      <c r="D1012">
        <v>0.33459852030481302</v>
      </c>
      <c r="E1012">
        <v>0.24785459795397999</v>
      </c>
    </row>
    <row r="1013" spans="1:5" x14ac:dyDescent="0.2">
      <c r="A1013">
        <v>6.7402246741558097E-3</v>
      </c>
      <c r="B1013">
        <v>0.184284997929165</v>
      </c>
      <c r="C1013">
        <v>0.14655466429875999</v>
      </c>
      <c r="D1013">
        <v>0.33467886929757201</v>
      </c>
      <c r="E1013">
        <v>0.247928929175318</v>
      </c>
    </row>
    <row r="1014" spans="1:5" x14ac:dyDescent="0.2">
      <c r="A1014">
        <v>6.7468915630521003E-3</v>
      </c>
      <c r="B1014">
        <v>0.18438793254142499</v>
      </c>
      <c r="C1014">
        <v>0.14664508612471699</v>
      </c>
      <c r="D1014">
        <v>0.334759108066427</v>
      </c>
      <c r="E1014">
        <v>0.24800334881254699</v>
      </c>
    </row>
    <row r="1015" spans="1:5" x14ac:dyDescent="0.2">
      <c r="A1015">
        <v>6.7535584519484004E-3</v>
      </c>
      <c r="B1015">
        <v>0.184490897063603</v>
      </c>
      <c r="C1015">
        <v>0.146735463211665</v>
      </c>
      <c r="D1015">
        <v>0.33483923674916999</v>
      </c>
      <c r="E1015">
        <v>0.248077855293378</v>
      </c>
    </row>
    <row r="1016" spans="1:5" x14ac:dyDescent="0.2">
      <c r="A1016">
        <v>6.7602253408446996E-3</v>
      </c>
      <c r="B1016">
        <v>0.18459388824204101</v>
      </c>
      <c r="C1016">
        <v>0.14682579578139601</v>
      </c>
      <c r="D1016">
        <v>0.33491925548359203</v>
      </c>
      <c r="E1016">
        <v>0.248152447045518</v>
      </c>
    </row>
    <row r="1017" spans="1:5" x14ac:dyDescent="0.2">
      <c r="A1017">
        <v>6.7668922297409902E-3</v>
      </c>
      <c r="B1017">
        <v>0.18469690282308099</v>
      </c>
      <c r="C1017">
        <v>0.146916084055701</v>
      </c>
      <c r="D1017">
        <v>0.33499916440748501</v>
      </c>
      <c r="E1017">
        <v>0.248227122496678</v>
      </c>
    </row>
    <row r="1018" spans="1:5" x14ac:dyDescent="0.2">
      <c r="A1018">
        <v>6.7735591186372903E-3</v>
      </c>
      <c r="B1018">
        <v>0.18479993755306301</v>
      </c>
      <c r="C1018">
        <v>0.147006328256372</v>
      </c>
      <c r="D1018">
        <v>0.33507896365863898</v>
      </c>
      <c r="E1018">
        <v>0.24830188007456599</v>
      </c>
    </row>
    <row r="1019" spans="1:5" x14ac:dyDescent="0.2">
      <c r="A1019">
        <v>6.7802260075335904E-3</v>
      </c>
      <c r="B1019">
        <v>0.18490298917833001</v>
      </c>
      <c r="C1019">
        <v>0.14709652860519901</v>
      </c>
      <c r="D1019">
        <v>0.33515865337484502</v>
      </c>
      <c r="E1019">
        <v>0.248376718206891</v>
      </c>
    </row>
    <row r="1020" spans="1:5" x14ac:dyDescent="0.2">
      <c r="A1020">
        <v>6.7868928964298801E-3</v>
      </c>
      <c r="B1020">
        <v>0.185006054445223</v>
      </c>
      <c r="C1020">
        <v>0.147186685323975</v>
      </c>
      <c r="D1020">
        <v>0.33523823369389499</v>
      </c>
      <c r="E1020">
        <v>0.24845163532136399</v>
      </c>
    </row>
    <row r="1021" spans="1:5" x14ac:dyDescent="0.2">
      <c r="A1021">
        <v>6.7935597853261802E-3</v>
      </c>
      <c r="B1021">
        <v>0.18510913010008301</v>
      </c>
      <c r="C1021">
        <v>0.14727679863449</v>
      </c>
      <c r="D1021">
        <v>0.33531770475358103</v>
      </c>
      <c r="E1021">
        <v>0.24852662984569199</v>
      </c>
    </row>
    <row r="1022" spans="1:5" x14ac:dyDescent="0.2">
      <c r="A1022">
        <v>6.8002266742224699E-3</v>
      </c>
      <c r="B1022">
        <v>0.18521221288925199</v>
      </c>
      <c r="C1022">
        <v>0.147366868758535</v>
      </c>
      <c r="D1022">
        <v>0.335397066691692</v>
      </c>
      <c r="E1022">
        <v>0.24860170020758501</v>
      </c>
    </row>
    <row r="1023" spans="1:5" x14ac:dyDescent="0.2">
      <c r="A1023">
        <v>6.80689356311877E-3</v>
      </c>
      <c r="B1023">
        <v>0.185315299559071</v>
      </c>
      <c r="C1023">
        <v>0.14745689591790201</v>
      </c>
      <c r="D1023">
        <v>0.33547631964602098</v>
      </c>
      <c r="E1023">
        <v>0.248676844834753</v>
      </c>
    </row>
    <row r="1024" spans="1:5" x14ac:dyDescent="0.2">
      <c r="A1024">
        <v>6.8135604520150701E-3</v>
      </c>
      <c r="B1024">
        <v>0.185418386855881</v>
      </c>
      <c r="C1024">
        <v>0.14754688033438201</v>
      </c>
      <c r="D1024">
        <v>0.33555546375435902</v>
      </c>
      <c r="E1024">
        <v>0.248752062154905</v>
      </c>
    </row>
    <row r="1025" spans="1:5" x14ac:dyDescent="0.2">
      <c r="A1025">
        <v>6.8202273409113598E-3</v>
      </c>
      <c r="B1025">
        <v>0.18552147152602499</v>
      </c>
      <c r="C1025">
        <v>0.14763682222976701</v>
      </c>
      <c r="D1025">
        <v>0.335634499154497</v>
      </c>
      <c r="E1025">
        <v>0.24882735059574901</v>
      </c>
    </row>
    <row r="1026" spans="1:5" x14ac:dyDescent="0.2">
      <c r="A1026">
        <v>6.8268942298076599E-3</v>
      </c>
      <c r="B1026">
        <v>0.18562455031584299</v>
      </c>
      <c r="C1026">
        <v>0.14772672182584801</v>
      </c>
      <c r="D1026">
        <v>0.33571342598422599</v>
      </c>
      <c r="E1026">
        <v>0.248902708584995</v>
      </c>
    </row>
    <row r="1027" spans="1:5" x14ac:dyDescent="0.2">
      <c r="A1027">
        <v>6.83356111870396E-3</v>
      </c>
      <c r="B1027">
        <v>0.185727619971677</v>
      </c>
      <c r="C1027">
        <v>0.147816579344416</v>
      </c>
      <c r="D1027">
        <v>0.33579224438133698</v>
      </c>
      <c r="E1027">
        <v>0.248978134550353</v>
      </c>
    </row>
    <row r="1028" spans="1:5" x14ac:dyDescent="0.2">
      <c r="A1028">
        <v>6.8402280076002497E-3</v>
      </c>
      <c r="B1028">
        <v>0.18583067723986799</v>
      </c>
      <c r="C1028">
        <v>0.14790639500726199</v>
      </c>
      <c r="D1028">
        <v>0.33587095448362198</v>
      </c>
      <c r="E1028">
        <v>0.24905362691953101</v>
      </c>
    </row>
    <row r="1029" spans="1:5" x14ac:dyDescent="0.2">
      <c r="A1029">
        <v>6.8468948964965498E-3</v>
      </c>
      <c r="B1029">
        <v>0.185933718866758</v>
      </c>
      <c r="C1029">
        <v>0.14799616903617699</v>
      </c>
      <c r="D1029">
        <v>0.33594955642887198</v>
      </c>
      <c r="E1029">
        <v>0.24912918412023799</v>
      </c>
    </row>
    <row r="1030" spans="1:5" x14ac:dyDescent="0.2">
      <c r="A1030">
        <v>6.8535617853928499E-3</v>
      </c>
      <c r="B1030">
        <v>0.18603674159868899</v>
      </c>
      <c r="C1030">
        <v>0.14808590165295399</v>
      </c>
      <c r="D1030">
        <v>0.33602805035487798</v>
      </c>
      <c r="E1030">
        <v>0.24920480458018399</v>
      </c>
    </row>
    <row r="1031" spans="1:5" x14ac:dyDescent="0.2">
      <c r="A1031">
        <v>6.8602286742891396E-3</v>
      </c>
      <c r="B1031">
        <v>0.18613974218200099</v>
      </c>
      <c r="C1031">
        <v>0.14817559307938299</v>
      </c>
      <c r="D1031">
        <v>0.336106436399431</v>
      </c>
      <c r="E1031">
        <v>0.249280486727079</v>
      </c>
    </row>
    <row r="1032" spans="1:5" x14ac:dyDescent="0.2">
      <c r="A1032">
        <v>6.8668955631854397E-3</v>
      </c>
      <c r="B1032">
        <v>0.18624271736303699</v>
      </c>
      <c r="C1032">
        <v>0.14826524353725601</v>
      </c>
      <c r="D1032">
        <v>0.33618471470032202</v>
      </c>
      <c r="E1032">
        <v>0.24935622898863</v>
      </c>
    </row>
    <row r="1033" spans="1:5" x14ac:dyDescent="0.2">
      <c r="A1033">
        <v>6.8735624520817398E-3</v>
      </c>
      <c r="B1033">
        <v>0.186345663888137</v>
      </c>
      <c r="C1033">
        <v>0.14835485324836301</v>
      </c>
      <c r="D1033">
        <v>0.33626288539534299</v>
      </c>
      <c r="E1033">
        <v>0.249432029792548</v>
      </c>
    </row>
    <row r="1034" spans="1:5" x14ac:dyDescent="0.2">
      <c r="A1034">
        <v>6.8802293409780304E-3</v>
      </c>
      <c r="B1034">
        <v>0.18644857850364299</v>
      </c>
      <c r="C1034">
        <v>0.14844442243449699</v>
      </c>
      <c r="D1034">
        <v>0.33634094862228497</v>
      </c>
      <c r="E1034">
        <v>0.24950788756654099</v>
      </c>
    </row>
    <row r="1035" spans="1:5" x14ac:dyDescent="0.2">
      <c r="A1035">
        <v>6.8868962298743296E-3</v>
      </c>
      <c r="B1035">
        <v>0.186551457955897</v>
      </c>
      <c r="C1035">
        <v>0.14853395131744801</v>
      </c>
      <c r="D1035">
        <v>0.33641890451893902</v>
      </c>
      <c r="E1035">
        <v>0.24958380073831901</v>
      </c>
    </row>
    <row r="1036" spans="1:5" x14ac:dyDescent="0.2">
      <c r="A1036">
        <v>6.8935631187706297E-3</v>
      </c>
      <c r="B1036">
        <v>0.18665429899124</v>
      </c>
      <c r="C1036">
        <v>0.14862344011900799</v>
      </c>
      <c r="D1036">
        <v>0.33649675322309602</v>
      </c>
      <c r="E1036">
        <v>0.24965976773559101</v>
      </c>
    </row>
    <row r="1037" spans="1:5" x14ac:dyDescent="0.2">
      <c r="A1037">
        <v>6.9002300076669203E-3</v>
      </c>
      <c r="B1037">
        <v>0.18675709835601401</v>
      </c>
      <c r="C1037">
        <v>0.148712889060968</v>
      </c>
      <c r="D1037">
        <v>0.33657449487254798</v>
      </c>
      <c r="E1037">
        <v>0.24973578698606699</v>
      </c>
    </row>
    <row r="1038" spans="1:5" x14ac:dyDescent="0.2">
      <c r="A1038">
        <v>6.9068968965632204E-3</v>
      </c>
      <c r="B1038">
        <v>0.18685985279655901</v>
      </c>
      <c r="C1038">
        <v>0.14880229836511899</v>
      </c>
      <c r="D1038">
        <v>0.336652129605085</v>
      </c>
      <c r="E1038">
        <v>0.249811856917454</v>
      </c>
    </row>
    <row r="1039" spans="1:5" x14ac:dyDescent="0.2">
      <c r="A1039">
        <v>6.9135637854595196E-3</v>
      </c>
      <c r="B1039">
        <v>0.18696255905921799</v>
      </c>
      <c r="C1039">
        <v>0.14889166825325301</v>
      </c>
      <c r="D1039">
        <v>0.33672965755849998</v>
      </c>
      <c r="E1039">
        <v>0.24988797595746301</v>
      </c>
    </row>
    <row r="1040" spans="1:5" x14ac:dyDescent="0.2">
      <c r="A1040">
        <v>6.9202306743558102E-3</v>
      </c>
      <c r="B1040">
        <v>0.18706521389033101</v>
      </c>
      <c r="C1040">
        <v>0.14898099894716099</v>
      </c>
      <c r="D1040">
        <v>0.33680707887058198</v>
      </c>
      <c r="E1040">
        <v>0.249964142533803</v>
      </c>
    </row>
    <row r="1041" spans="1:5" x14ac:dyDescent="0.2">
      <c r="A1041">
        <v>6.9268975632521103E-3</v>
      </c>
      <c r="B1041">
        <v>0.187167814036241</v>
      </c>
      <c r="C1041">
        <v>0.149070290668634</v>
      </c>
      <c r="D1041">
        <v>0.33688439367912398</v>
      </c>
      <c r="E1041">
        <v>0.25004035507418299</v>
      </c>
    </row>
    <row r="1042" spans="1:5" x14ac:dyDescent="0.2">
      <c r="A1042">
        <v>6.9335644521484104E-3</v>
      </c>
      <c r="B1042">
        <v>0.187270356243289</v>
      </c>
      <c r="C1042">
        <v>0.14915954363946299</v>
      </c>
      <c r="D1042">
        <v>0.336961602121917</v>
      </c>
      <c r="E1042">
        <v>0.25011661200631202</v>
      </c>
    </row>
    <row r="1043" spans="1:5" x14ac:dyDescent="0.2">
      <c r="A1043">
        <v>6.9402313410447001E-3</v>
      </c>
      <c r="B1043">
        <v>0.18737283725781601</v>
      </c>
      <c r="C1043">
        <v>0.149248758081441</v>
      </c>
      <c r="D1043">
        <v>0.33703870433675098</v>
      </c>
      <c r="E1043">
        <v>0.25019291175789998</v>
      </c>
    </row>
    <row r="1044" spans="1:5" x14ac:dyDescent="0.2">
      <c r="A1044">
        <v>6.9468982299410002E-3</v>
      </c>
      <c r="B1044">
        <v>0.18747525382616301</v>
      </c>
      <c r="C1044">
        <v>0.14933793421635699</v>
      </c>
      <c r="D1044">
        <v>0.33711570046141798</v>
      </c>
      <c r="E1044">
        <v>0.25026925275665501</v>
      </c>
    </row>
    <row r="1045" spans="1:5" x14ac:dyDescent="0.2">
      <c r="A1045">
        <v>6.9535651188373003E-3</v>
      </c>
      <c r="B1045">
        <v>0.187577602694672</v>
      </c>
      <c r="C1045">
        <v>0.14942707226600399</v>
      </c>
      <c r="D1045">
        <v>0.33719259063370999</v>
      </c>
      <c r="E1045">
        <v>0.25034563343028599</v>
      </c>
    </row>
    <row r="1046" spans="1:5" x14ac:dyDescent="0.2">
      <c r="A1046">
        <v>6.96023200773359E-3</v>
      </c>
      <c r="B1046">
        <v>0.18767988060968499</v>
      </c>
      <c r="C1046">
        <v>0.149516172452173</v>
      </c>
      <c r="D1046">
        <v>0.33726937499141701</v>
      </c>
      <c r="E1046">
        <v>0.25042205220650399</v>
      </c>
    </row>
    <row r="1047" spans="1:5" x14ac:dyDescent="0.2">
      <c r="A1047">
        <v>6.9668988966298901E-3</v>
      </c>
      <c r="B1047">
        <v>0.18778208431754301</v>
      </c>
      <c r="C1047">
        <v>0.14960523499665501</v>
      </c>
      <c r="D1047">
        <v>0.337346053672331</v>
      </c>
      <c r="E1047">
        <v>0.250498507513017</v>
      </c>
    </row>
    <row r="1048" spans="1:5" x14ac:dyDescent="0.2">
      <c r="A1048">
        <v>6.9735657855261902E-3</v>
      </c>
      <c r="B1048">
        <v>0.18788421056458801</v>
      </c>
      <c r="C1048">
        <v>0.14969426012124101</v>
      </c>
      <c r="D1048">
        <v>0.33742262681424201</v>
      </c>
      <c r="E1048">
        <v>0.250574997777534</v>
      </c>
    </row>
    <row r="1049" spans="1:5" x14ac:dyDescent="0.2">
      <c r="A1049">
        <v>6.9802326744224799E-3</v>
      </c>
      <c r="B1049">
        <v>0.18798625609715999</v>
      </c>
      <c r="C1049">
        <v>0.149783248047723</v>
      </c>
      <c r="D1049">
        <v>0.33749909455494298</v>
      </c>
      <c r="E1049">
        <v>0.25065152142776498</v>
      </c>
    </row>
    <row r="1050" spans="1:5" x14ac:dyDescent="0.2">
      <c r="A1050">
        <v>6.9868995633187801E-3</v>
      </c>
      <c r="B1050">
        <v>0.188088217661601</v>
      </c>
      <c r="C1050">
        <v>0.149872198997892</v>
      </c>
      <c r="D1050">
        <v>0.33757545703222402</v>
      </c>
      <c r="E1050">
        <v>0.25072807689141802</v>
      </c>
    </row>
    <row r="1051" spans="1:5" x14ac:dyDescent="0.2">
      <c r="A1051">
        <v>6.9935664522150697E-3</v>
      </c>
      <c r="B1051">
        <v>0.18819009200425399</v>
      </c>
      <c r="C1051">
        <v>0.149961113193538</v>
      </c>
      <c r="D1051">
        <v>0.33765171438387598</v>
      </c>
      <c r="E1051">
        <v>0.25080466259620399</v>
      </c>
    </row>
    <row r="1052" spans="1:5" x14ac:dyDescent="0.2">
      <c r="A1052">
        <v>7.0002333411113699E-3</v>
      </c>
      <c r="B1052">
        <v>0.18829187587148499</v>
      </c>
      <c r="C1052">
        <v>0.15004999085645501</v>
      </c>
      <c r="D1052">
        <v>0.33772786674769101</v>
      </c>
      <c r="E1052">
        <v>0.25088127696983997</v>
      </c>
    </row>
    <row r="1053" spans="1:5" x14ac:dyDescent="0.2">
      <c r="A1053">
        <v>7.00690023000767E-3</v>
      </c>
      <c r="B1053">
        <v>0.18839356670153301</v>
      </c>
      <c r="C1053">
        <v>0.15013883220843199</v>
      </c>
      <c r="D1053">
        <v>0.337803914261461</v>
      </c>
      <c r="E1053">
        <v>0.25095791868086897</v>
      </c>
    </row>
    <row r="1054" spans="1:5" x14ac:dyDescent="0.2">
      <c r="A1054">
        <v>7.0135671189039597E-3</v>
      </c>
      <c r="B1054">
        <v>0.188495164424617</v>
      </c>
      <c r="C1054">
        <v>0.150227637471261</v>
      </c>
      <c r="D1054">
        <v>0.33787985706297502</v>
      </c>
      <c r="E1054">
        <v>0.25103458726523897</v>
      </c>
    </row>
    <row r="1055" spans="1:5" x14ac:dyDescent="0.2">
      <c r="A1055">
        <v>7.0202340078002598E-3</v>
      </c>
      <c r="B1055">
        <v>0.188596669531814</v>
      </c>
      <c r="C1055">
        <v>0.150316406866734</v>
      </c>
      <c r="D1055">
        <v>0.337955695290026</v>
      </c>
      <c r="E1055">
        <v>0.25111128245412001</v>
      </c>
    </row>
    <row r="1056" spans="1:5" x14ac:dyDescent="0.2">
      <c r="A1056">
        <v>7.0269008966965599E-3</v>
      </c>
      <c r="B1056">
        <v>0.188698082514203</v>
      </c>
      <c r="C1056">
        <v>0.15040514061664101</v>
      </c>
      <c r="D1056">
        <v>0.33803142908040401</v>
      </c>
      <c r="E1056">
        <v>0.25118800397868202</v>
      </c>
    </row>
    <row r="1057" spans="1:5" x14ac:dyDescent="0.2">
      <c r="A1057">
        <v>7.0335677855928496E-3</v>
      </c>
      <c r="B1057">
        <v>0.18879940386286001</v>
      </c>
      <c r="C1057">
        <v>0.15049383894277499</v>
      </c>
      <c r="D1057">
        <v>0.33810705857190099</v>
      </c>
      <c r="E1057">
        <v>0.25126475157009298</v>
      </c>
    </row>
    <row r="1058" spans="1:5" x14ac:dyDescent="0.2">
      <c r="A1058">
        <v>7.0402346744891497E-3</v>
      </c>
      <c r="B1058">
        <v>0.18890063406886301</v>
      </c>
      <c r="C1058">
        <v>0.150582502066926</v>
      </c>
      <c r="D1058">
        <v>0.33818258390230799</v>
      </c>
      <c r="E1058">
        <v>0.251341524959524</v>
      </c>
    </row>
    <row r="1059" spans="1:5" x14ac:dyDescent="0.2">
      <c r="A1059">
        <v>7.0469015633854498E-3</v>
      </c>
      <c r="B1059">
        <v>0.18900177362328799</v>
      </c>
      <c r="C1059">
        <v>0.15067113021088499</v>
      </c>
      <c r="D1059">
        <v>0.33825800520941701</v>
      </c>
      <c r="E1059">
        <v>0.251418323878143</v>
      </c>
    </row>
    <row r="1060" spans="1:5" x14ac:dyDescent="0.2">
      <c r="A1060">
        <v>7.0535684522817403E-3</v>
      </c>
      <c r="B1060">
        <v>0.18910282301721201</v>
      </c>
      <c r="C1060">
        <v>0.15075972359644399</v>
      </c>
      <c r="D1060">
        <v>0.33833332263101701</v>
      </c>
      <c r="E1060">
        <v>0.25149514805712198</v>
      </c>
    </row>
    <row r="1061" spans="1:5" x14ac:dyDescent="0.2">
      <c r="A1061">
        <v>7.0602353411780396E-3</v>
      </c>
      <c r="B1061">
        <v>0.18920378274171401</v>
      </c>
      <c r="C1061">
        <v>0.150848282445395</v>
      </c>
      <c r="D1061">
        <v>0.33840853630490197</v>
      </c>
      <c r="E1061">
        <v>0.25157199722762902</v>
      </c>
    </row>
    <row r="1062" spans="1:5" x14ac:dyDescent="0.2">
      <c r="A1062">
        <v>7.0669022300743397E-3</v>
      </c>
      <c r="B1062">
        <v>0.189304653287869</v>
      </c>
      <c r="C1062">
        <v>0.15093680697952699</v>
      </c>
      <c r="D1062">
        <v>0.33848364636886102</v>
      </c>
      <c r="E1062">
        <v>0.25164887112083401</v>
      </c>
    </row>
    <row r="1063" spans="1:5" x14ac:dyDescent="0.2">
      <c r="A1063">
        <v>7.0735691189706303E-3</v>
      </c>
      <c r="B1063">
        <v>0.18940543514675601</v>
      </c>
      <c r="C1063">
        <v>0.151025297420634</v>
      </c>
      <c r="D1063">
        <v>0.33855865296068699</v>
      </c>
      <c r="E1063">
        <v>0.25172576946790598</v>
      </c>
    </row>
    <row r="1064" spans="1:5" x14ac:dyDescent="0.2">
      <c r="A1064">
        <v>7.0802360078669304E-3</v>
      </c>
      <c r="B1064">
        <v>0.189506128809452</v>
      </c>
      <c r="C1064">
        <v>0.151113753990506</v>
      </c>
      <c r="D1064">
        <v>0.33863355621816998</v>
      </c>
      <c r="E1064">
        <v>0.25180269200001598</v>
      </c>
    </row>
    <row r="1065" spans="1:5" x14ac:dyDescent="0.2">
      <c r="A1065">
        <v>7.0869028967632296E-3</v>
      </c>
      <c r="B1065">
        <v>0.18960673476703299</v>
      </c>
      <c r="C1065">
        <v>0.15120217691093399</v>
      </c>
      <c r="D1065">
        <v>0.33870835627910101</v>
      </c>
      <c r="E1065">
        <v>0.251879638448332</v>
      </c>
    </row>
    <row r="1066" spans="1:5" x14ac:dyDescent="0.2">
      <c r="A1066">
        <v>7.0935697856595202E-3</v>
      </c>
      <c r="B1066">
        <v>0.18970725351057599</v>
      </c>
      <c r="C1066">
        <v>0.15129056640371</v>
      </c>
      <c r="D1066">
        <v>0.33878305328127201</v>
      </c>
      <c r="E1066">
        <v>0.25195660854402502</v>
      </c>
    </row>
    <row r="1067" spans="1:5" x14ac:dyDescent="0.2">
      <c r="A1067">
        <v>7.1002366745558203E-3</v>
      </c>
      <c r="B1067">
        <v>0.18980768553116001</v>
      </c>
      <c r="C1067">
        <v>0.151378922690625</v>
      </c>
      <c r="D1067">
        <v>0.33885764736247398</v>
      </c>
      <c r="E1067">
        <v>0.25203360201826402</v>
      </c>
    </row>
    <row r="1068" spans="1:5" x14ac:dyDescent="0.2">
      <c r="A1068">
        <v>7.1069035634521204E-3</v>
      </c>
      <c r="B1068">
        <v>0.189908031319861</v>
      </c>
      <c r="C1068">
        <v>0.15146724599347</v>
      </c>
      <c r="D1068">
        <v>0.33893213866049798</v>
      </c>
      <c r="E1068">
        <v>0.25211061860221801</v>
      </c>
    </row>
    <row r="1069" spans="1:5" x14ac:dyDescent="0.2">
      <c r="A1069">
        <v>7.1135704523484101E-3</v>
      </c>
      <c r="B1069">
        <v>0.19000829136775699</v>
      </c>
      <c r="C1069">
        <v>0.151555536534036</v>
      </c>
      <c r="D1069">
        <v>0.33900652731313602</v>
      </c>
      <c r="E1069">
        <v>0.252187658027058</v>
      </c>
    </row>
    <row r="1070" spans="1:5" x14ac:dyDescent="0.2">
      <c r="A1070">
        <v>7.1202373412447102E-3</v>
      </c>
      <c r="B1070">
        <v>0.190108466165924</v>
      </c>
      <c r="C1070">
        <v>0.151643794534116</v>
      </c>
      <c r="D1070">
        <v>0.33908081345817798</v>
      </c>
      <c r="E1070">
        <v>0.252264720023953</v>
      </c>
    </row>
    <row r="1071" spans="1:5" x14ac:dyDescent="0.2">
      <c r="A1071">
        <v>7.1269042301410103E-3</v>
      </c>
      <c r="B1071">
        <v>0.190208556205439</v>
      </c>
      <c r="C1071">
        <v>0.151732020215499</v>
      </c>
      <c r="D1071">
        <v>0.33915499723341602</v>
      </c>
      <c r="E1071">
        <v>0.25234180432407199</v>
      </c>
    </row>
    <row r="1072" spans="1:5" x14ac:dyDescent="0.2">
      <c r="A1072">
        <v>7.1335711190373E-3</v>
      </c>
      <c r="B1072">
        <v>0.190308561977381</v>
      </c>
      <c r="C1072">
        <v>0.15182021379997901</v>
      </c>
      <c r="D1072">
        <v>0.33922907877664099</v>
      </c>
      <c r="E1072">
        <v>0.25241891065858502</v>
      </c>
    </row>
    <row r="1073" spans="1:5" x14ac:dyDescent="0.2">
      <c r="A1073">
        <v>7.1402380079336001E-3</v>
      </c>
      <c r="B1073">
        <v>0.190408483972826</v>
      </c>
      <c r="C1073">
        <v>0.151908375509344</v>
      </c>
      <c r="D1073">
        <v>0.33930305822564499</v>
      </c>
      <c r="E1073">
        <v>0.252496038758662</v>
      </c>
    </row>
    <row r="1074" spans="1:5" x14ac:dyDescent="0.2">
      <c r="A1074">
        <v>7.1469048968299002E-3</v>
      </c>
      <c r="B1074">
        <v>0.19050832268285101</v>
      </c>
      <c r="C1074">
        <v>0.15199650556538799</v>
      </c>
      <c r="D1074">
        <v>0.33937693571821798</v>
      </c>
      <c r="E1074">
        <v>0.25257318835547199</v>
      </c>
    </row>
    <row r="1075" spans="1:5" x14ac:dyDescent="0.2">
      <c r="A1075">
        <v>7.1535717857261899E-3</v>
      </c>
      <c r="B1075">
        <v>0.19060807859853299</v>
      </c>
      <c r="C1075">
        <v>0.152084604189902</v>
      </c>
      <c r="D1075">
        <v>0.33945071139215099</v>
      </c>
      <c r="E1075">
        <v>0.25265035918018502</v>
      </c>
    </row>
    <row r="1076" spans="1:5" x14ac:dyDescent="0.2">
      <c r="A1076">
        <v>7.16023867462249E-3</v>
      </c>
      <c r="B1076">
        <v>0.19070775221095099</v>
      </c>
      <c r="C1076">
        <v>0.15217267160467601</v>
      </c>
      <c r="D1076">
        <v>0.33952438538523599</v>
      </c>
      <c r="E1076">
        <v>0.25272755096396998</v>
      </c>
    </row>
    <row r="1077" spans="1:5" x14ac:dyDescent="0.2">
      <c r="A1077">
        <v>7.1669055635187797E-3</v>
      </c>
      <c r="B1077">
        <v>0.19080734401117999</v>
      </c>
      <c r="C1077">
        <v>0.15226070803150099</v>
      </c>
      <c r="D1077">
        <v>0.33959795783526497</v>
      </c>
      <c r="E1077">
        <v>0.25280476343799801</v>
      </c>
    </row>
    <row r="1078" spans="1:5" x14ac:dyDescent="0.2">
      <c r="A1078">
        <v>7.1735724524150798E-3</v>
      </c>
      <c r="B1078">
        <v>0.19090685449029801</v>
      </c>
      <c r="C1078">
        <v>0.15234871369217001</v>
      </c>
      <c r="D1078">
        <v>0.33967142888002799</v>
      </c>
      <c r="E1078">
        <v>0.252881996333437</v>
      </c>
    </row>
    <row r="1079" spans="1:5" x14ac:dyDescent="0.2">
      <c r="A1079">
        <v>7.1802393413113799E-3</v>
      </c>
      <c r="B1079">
        <v>0.191006284139382</v>
      </c>
      <c r="C1079">
        <v>0.152436688808474</v>
      </c>
      <c r="D1079">
        <v>0.33974479865731599</v>
      </c>
      <c r="E1079">
        <v>0.25295924938145797</v>
      </c>
    </row>
    <row r="1080" spans="1:5" x14ac:dyDescent="0.2">
      <c r="A1080">
        <v>7.1869062302076696E-3</v>
      </c>
      <c r="B1080">
        <v>0.19110563344951001</v>
      </c>
      <c r="C1080">
        <v>0.152524633602204</v>
      </c>
      <c r="D1080">
        <v>0.33981806730492098</v>
      </c>
      <c r="E1080">
        <v>0.25303652231322898</v>
      </c>
    </row>
    <row r="1081" spans="1:5" x14ac:dyDescent="0.2">
      <c r="A1081">
        <v>7.1935731191039697E-3</v>
      </c>
      <c r="B1081">
        <v>0.19120490291175801</v>
      </c>
      <c r="C1081">
        <v>0.15261254829515</v>
      </c>
      <c r="D1081">
        <v>0.339891234960634</v>
      </c>
      <c r="E1081">
        <v>0.25311381485992102</v>
      </c>
    </row>
    <row r="1082" spans="1:5" x14ac:dyDescent="0.2">
      <c r="A1082">
        <v>7.2002400080002698E-3</v>
      </c>
      <c r="B1082">
        <v>0.191304093017204</v>
      </c>
      <c r="C1082">
        <v>0.152700433109105</v>
      </c>
      <c r="D1082">
        <v>0.33996430176224701</v>
      </c>
      <c r="E1082">
        <v>0.253191126752704</v>
      </c>
    </row>
    <row r="1083" spans="1:5" x14ac:dyDescent="0.2">
      <c r="A1083">
        <v>7.2069068968965604E-3</v>
      </c>
      <c r="B1083">
        <v>0.191403204256925</v>
      </c>
      <c r="C1083">
        <v>0.15278828826586</v>
      </c>
      <c r="D1083">
        <v>0.34003726784754901</v>
      </c>
      <c r="E1083">
        <v>0.25326845772274598</v>
      </c>
    </row>
    <row r="1084" spans="1:5" x14ac:dyDescent="0.2">
      <c r="A1084">
        <v>7.2135737857928596E-3</v>
      </c>
      <c r="B1084">
        <v>0.19150223712199901</v>
      </c>
      <c r="C1084">
        <v>0.15287611398720599</v>
      </c>
      <c r="D1084">
        <v>0.34011013335433399</v>
      </c>
      <c r="E1084">
        <v>0.25334580750121799</v>
      </c>
    </row>
    <row r="1085" spans="1:5" x14ac:dyDescent="0.2">
      <c r="A1085">
        <v>7.2202406746891597E-3</v>
      </c>
      <c r="B1085">
        <v>0.19160119210350099</v>
      </c>
      <c r="C1085">
        <v>0.15296391049493399</v>
      </c>
      <c r="D1085">
        <v>0.34018289842039101</v>
      </c>
      <c r="E1085">
        <v>0.25342317581928803</v>
      </c>
    </row>
    <row r="1086" spans="1:5" x14ac:dyDescent="0.2">
      <c r="A1086">
        <v>7.2269075635854503E-3</v>
      </c>
      <c r="B1086">
        <v>0.19170006969250999</v>
      </c>
      <c r="C1086">
        <v>0.153051678010836</v>
      </c>
      <c r="D1086">
        <v>0.34025556318351202</v>
      </c>
      <c r="E1086">
        <v>0.25350056240812702</v>
      </c>
    </row>
    <row r="1087" spans="1:5" x14ac:dyDescent="0.2">
      <c r="A1087">
        <v>7.2335744524817504E-3</v>
      </c>
      <c r="B1087">
        <v>0.19179887038010299</v>
      </c>
      <c r="C1087">
        <v>0.15313941675670301</v>
      </c>
      <c r="D1087">
        <v>0.34032812778148802</v>
      </c>
      <c r="E1087">
        <v>0.253577966998905</v>
      </c>
    </row>
    <row r="1088" spans="1:5" x14ac:dyDescent="0.2">
      <c r="A1088">
        <v>7.2402413413780497E-3</v>
      </c>
      <c r="B1088">
        <v>0.19189759465735601</v>
      </c>
      <c r="C1088">
        <v>0.153227126954325</v>
      </c>
      <c r="D1088">
        <v>0.34040059235211101</v>
      </c>
      <c r="E1088">
        <v>0.25365538932279003</v>
      </c>
    </row>
    <row r="1089" spans="1:5" x14ac:dyDescent="0.2">
      <c r="A1089">
        <v>7.2469082302743402E-3</v>
      </c>
      <c r="B1089">
        <v>0.19199624301534801</v>
      </c>
      <c r="C1089">
        <v>0.153314808825496</v>
      </c>
      <c r="D1089">
        <v>0.34047295703317199</v>
      </c>
      <c r="E1089">
        <v>0.25373282911095302</v>
      </c>
    </row>
    <row r="1090" spans="1:5" x14ac:dyDescent="0.2">
      <c r="A1090">
        <v>7.2535751191706403E-3</v>
      </c>
      <c r="B1090">
        <v>0.19209481594515501</v>
      </c>
      <c r="C1090">
        <v>0.15340246259200499</v>
      </c>
      <c r="D1090">
        <v>0.34054522196246201</v>
      </c>
      <c r="E1090">
        <v>0.25381028609456302</v>
      </c>
    </row>
    <row r="1091" spans="1:5" x14ac:dyDescent="0.2">
      <c r="A1091">
        <v>7.2602420080669404E-3</v>
      </c>
      <c r="B1091">
        <v>0.19219331393785399</v>
      </c>
      <c r="C1091">
        <v>0.15349008847564399</v>
      </c>
      <c r="D1091">
        <v>0.34061738727777102</v>
      </c>
      <c r="E1091">
        <v>0.25388776000478902</v>
      </c>
    </row>
    <row r="1092" spans="1:5" x14ac:dyDescent="0.2">
      <c r="A1092">
        <v>7.2669088969632301E-3</v>
      </c>
      <c r="B1092">
        <v>0.192291737484523</v>
      </c>
      <c r="C1092">
        <v>0.15357768669820501</v>
      </c>
      <c r="D1092">
        <v>0.34068945311689203</v>
      </c>
      <c r="E1092">
        <v>0.253965250572802</v>
      </c>
    </row>
    <row r="1093" spans="1:5" x14ac:dyDescent="0.2">
      <c r="A1093">
        <v>7.2735757858595302E-3</v>
      </c>
      <c r="B1093">
        <v>0.192390087076239</v>
      </c>
      <c r="C1093">
        <v>0.153665257481479</v>
      </c>
      <c r="D1093">
        <v>0.34076141961761602</v>
      </c>
      <c r="E1093">
        <v>0.25404275752977101</v>
      </c>
    </row>
    <row r="1094" spans="1:5" x14ac:dyDescent="0.2">
      <c r="A1094">
        <v>7.2802426747558303E-3</v>
      </c>
      <c r="B1094">
        <v>0.192488363204078</v>
      </c>
      <c r="C1094">
        <v>0.153752801047256</v>
      </c>
      <c r="D1094">
        <v>0.34083328691773301</v>
      </c>
      <c r="E1094">
        <v>0.25412028060686498</v>
      </c>
    </row>
    <row r="1095" spans="1:5" x14ac:dyDescent="0.2">
      <c r="A1095">
        <v>7.28690956365212E-3</v>
      </c>
      <c r="B1095">
        <v>0.192586566359119</v>
      </c>
      <c r="C1095">
        <v>0.153840317617329</v>
      </c>
      <c r="D1095">
        <v>0.340905055155035</v>
      </c>
      <c r="E1095">
        <v>0.254197819535254</v>
      </c>
    </row>
    <row r="1096" spans="1:5" x14ac:dyDescent="0.2">
      <c r="A1096">
        <v>7.2935764525484201E-3</v>
      </c>
      <c r="B1096">
        <v>0.19268469703243801</v>
      </c>
      <c r="C1096">
        <v>0.15392780741348799</v>
      </c>
      <c r="D1096">
        <v>0.34097672446731397</v>
      </c>
      <c r="E1096">
        <v>0.254275374046108</v>
      </c>
    </row>
    <row r="1097" spans="1:5" x14ac:dyDescent="0.2">
      <c r="A1097">
        <v>7.3002433414447203E-3</v>
      </c>
      <c r="B1097">
        <v>0.192782755715113</v>
      </c>
      <c r="C1097">
        <v>0.15401527065752499</v>
      </c>
      <c r="D1097">
        <v>0.34104829499236</v>
      </c>
      <c r="E1097">
        <v>0.25435294387059698</v>
      </c>
    </row>
    <row r="1098" spans="1:5" x14ac:dyDescent="0.2">
      <c r="A1098">
        <v>7.3069102303410099E-3</v>
      </c>
      <c r="B1098">
        <v>0.19288074289821999</v>
      </c>
      <c r="C1098">
        <v>0.15410270757123201</v>
      </c>
      <c r="D1098">
        <v>0.34111976686796402</v>
      </c>
      <c r="E1098">
        <v>0.25443052873988897</v>
      </c>
    </row>
    <row r="1099" spans="1:5" x14ac:dyDescent="0.2">
      <c r="A1099">
        <v>7.3135771192373101E-3</v>
      </c>
      <c r="B1099">
        <v>0.19297865907283801</v>
      </c>
      <c r="C1099">
        <v>0.15419011837639901</v>
      </c>
      <c r="D1099">
        <v>0.34119114023191799</v>
      </c>
      <c r="E1099">
        <v>0.25450812838515502</v>
      </c>
    </row>
    <row r="1100" spans="1:5" x14ac:dyDescent="0.2">
      <c r="A1100">
        <v>7.3202440081335998E-3</v>
      </c>
      <c r="B1100">
        <v>0.19307650473004201</v>
      </c>
      <c r="C1100">
        <v>0.15427750329481699</v>
      </c>
      <c r="D1100">
        <v>0.341262415222014</v>
      </c>
      <c r="E1100">
        <v>0.254585742537564</v>
      </c>
    </row>
    <row r="1101" spans="1:5" x14ac:dyDescent="0.2">
      <c r="A1101">
        <v>7.3269108970298999E-3</v>
      </c>
      <c r="B1101">
        <v>0.193174280360911</v>
      </c>
      <c r="C1101">
        <v>0.154364862548279</v>
      </c>
      <c r="D1101">
        <v>0.34133359197604202</v>
      </c>
      <c r="E1101">
        <v>0.254663370928286</v>
      </c>
    </row>
    <row r="1102" spans="1:5" x14ac:dyDescent="0.2">
      <c r="A1102">
        <v>7.3335777859262E-3</v>
      </c>
      <c r="B1102">
        <v>0.19327198645652099</v>
      </c>
      <c r="C1102">
        <v>0.15445219635857499</v>
      </c>
      <c r="D1102">
        <v>0.34140467063179297</v>
      </c>
      <c r="E1102">
        <v>0.25474101328849102</v>
      </c>
    </row>
    <row r="1103" spans="1:5" x14ac:dyDescent="0.2">
      <c r="A1103">
        <v>7.3402446748224897E-3</v>
      </c>
      <c r="B1103">
        <v>0.19336962350795001</v>
      </c>
      <c r="C1103">
        <v>0.15453950494749699</v>
      </c>
      <c r="D1103">
        <v>0.34147565132705898</v>
      </c>
      <c r="E1103">
        <v>0.25481866934934699</v>
      </c>
    </row>
    <row r="1104" spans="1:5" x14ac:dyDescent="0.2">
      <c r="A1104">
        <v>7.3469115637187898E-3</v>
      </c>
      <c r="B1104">
        <v>0.19346719200627399</v>
      </c>
      <c r="C1104">
        <v>0.15462678853683601</v>
      </c>
      <c r="D1104">
        <v>0.34154653419962999</v>
      </c>
      <c r="E1104">
        <v>0.25489633884202501</v>
      </c>
    </row>
    <row r="1105" spans="1:5" x14ac:dyDescent="0.2">
      <c r="A1105">
        <v>7.3535784526150899E-3</v>
      </c>
      <c r="B1105">
        <v>0.19356469244257199</v>
      </c>
      <c r="C1105">
        <v>0.15471404734838301</v>
      </c>
      <c r="D1105">
        <v>0.341617319387299</v>
      </c>
      <c r="E1105">
        <v>0.25497402149769399</v>
      </c>
    </row>
    <row r="1106" spans="1:5" x14ac:dyDescent="0.2">
      <c r="A1106">
        <v>7.3602453415113796E-3</v>
      </c>
      <c r="B1106">
        <v>0.19366212530791899</v>
      </c>
      <c r="C1106">
        <v>0.15480128160393</v>
      </c>
      <c r="D1106">
        <v>0.34168800702785701</v>
      </c>
      <c r="E1106">
        <v>0.255051717047524</v>
      </c>
    </row>
    <row r="1107" spans="1:5" x14ac:dyDescent="0.2">
      <c r="A1107">
        <v>7.3669122304076797E-3</v>
      </c>
      <c r="B1107">
        <v>0.19375949109339499</v>
      </c>
      <c r="C1107">
        <v>0.15488849152526701</v>
      </c>
      <c r="D1107">
        <v>0.34175859725909302</v>
      </c>
      <c r="E1107">
        <v>0.255129425222685</v>
      </c>
    </row>
    <row r="1108" spans="1:5" x14ac:dyDescent="0.2">
      <c r="A1108">
        <v>7.3735791193039798E-3</v>
      </c>
      <c r="B1108">
        <v>0.19385679029007399</v>
      </c>
      <c r="C1108">
        <v>0.15497567733418699</v>
      </c>
      <c r="D1108">
        <v>0.34182909021880098</v>
      </c>
      <c r="E1108">
        <v>0.255207145754345</v>
      </c>
    </row>
    <row r="1109" spans="1:5" x14ac:dyDescent="0.2">
      <c r="A1109">
        <v>7.3802460082002704E-3</v>
      </c>
      <c r="B1109">
        <v>0.193954023389036</v>
      </c>
      <c r="C1109">
        <v>0.15506283925247999</v>
      </c>
      <c r="D1109">
        <v>0.34189948604477099</v>
      </c>
      <c r="E1109">
        <v>0.25528487837367603</v>
      </c>
    </row>
    <row r="1110" spans="1:5" x14ac:dyDescent="0.2">
      <c r="A1110">
        <v>7.3869128970965696E-3</v>
      </c>
      <c r="B1110">
        <v>0.194051190881356</v>
      </c>
      <c r="C1110">
        <v>0.15514997750193801</v>
      </c>
      <c r="D1110">
        <v>0.34196978487479301</v>
      </c>
      <c r="E1110">
        <v>0.25536262281184502</v>
      </c>
    </row>
    <row r="1111" spans="1:5" x14ac:dyDescent="0.2">
      <c r="A1111">
        <v>7.3935797859928697E-3</v>
      </c>
      <c r="B1111">
        <v>0.194148293258112</v>
      </c>
      <c r="C1111">
        <v>0.15523709230435201</v>
      </c>
      <c r="D1111">
        <v>0.34203998684666098</v>
      </c>
      <c r="E1111">
        <v>0.25544037880002401</v>
      </c>
    </row>
    <row r="1112" spans="1:5" x14ac:dyDescent="0.2">
      <c r="A1112">
        <v>7.4002466748891603E-3</v>
      </c>
      <c r="B1112">
        <v>0.19424533101038199</v>
      </c>
      <c r="C1112">
        <v>0.15532418388151301</v>
      </c>
      <c r="D1112">
        <v>0.34211009209816401</v>
      </c>
      <c r="E1112">
        <v>0.255518146069381</v>
      </c>
    </row>
    <row r="1113" spans="1:5" x14ac:dyDescent="0.2">
      <c r="A1113">
        <v>7.4069135637854604E-3</v>
      </c>
      <c r="B1113">
        <v>0.19434230462924201</v>
      </c>
      <c r="C1113">
        <v>0.15541125245521301</v>
      </c>
      <c r="D1113">
        <v>0.34218010076709299</v>
      </c>
      <c r="E1113">
        <v>0.25559592435108602</v>
      </c>
    </row>
    <row r="1114" spans="1:5" x14ac:dyDescent="0.2">
      <c r="A1114">
        <v>7.4135804526817596E-3</v>
      </c>
      <c r="B1114">
        <v>0.19443921460576999</v>
      </c>
      <c r="C1114">
        <v>0.15549829824724301</v>
      </c>
      <c r="D1114">
        <v>0.34225001299124103</v>
      </c>
      <c r="E1114">
        <v>0.25567371337630801</v>
      </c>
    </row>
    <row r="1115" spans="1:5" x14ac:dyDescent="0.2">
      <c r="A1115">
        <v>7.4202473415780502E-3</v>
      </c>
      <c r="B1115">
        <v>0.19453606143104299</v>
      </c>
      <c r="C1115">
        <v>0.155585321479394</v>
      </c>
      <c r="D1115">
        <v>0.34231982890839802</v>
      </c>
      <c r="E1115">
        <v>0.255751512876219</v>
      </c>
    </row>
    <row r="1116" spans="1:5" x14ac:dyDescent="0.2">
      <c r="A1116">
        <v>7.4269142304743503E-3</v>
      </c>
      <c r="B1116">
        <v>0.194632845596138</v>
      </c>
      <c r="C1116">
        <v>0.15567232237345799</v>
      </c>
      <c r="D1116">
        <v>0.34238954865635601</v>
      </c>
      <c r="E1116">
        <v>0.25582932258198599</v>
      </c>
    </row>
    <row r="1117" spans="1:5" x14ac:dyDescent="0.2">
      <c r="A1117">
        <v>7.4335811193706504E-3</v>
      </c>
      <c r="B1117">
        <v>0.194729567592132</v>
      </c>
      <c r="C1117">
        <v>0.15575930115122499</v>
      </c>
      <c r="D1117">
        <v>0.34245917237290502</v>
      </c>
      <c r="E1117">
        <v>0.25590714222477901</v>
      </c>
    </row>
    <row r="1118" spans="1:5" x14ac:dyDescent="0.2">
      <c r="A1118">
        <v>7.4402480082669401E-3</v>
      </c>
      <c r="B1118">
        <v>0.19482622791010201</v>
      </c>
      <c r="C1118">
        <v>0.15584625803448801</v>
      </c>
      <c r="D1118">
        <v>0.34252870019583698</v>
      </c>
      <c r="E1118">
        <v>0.25598497153576899</v>
      </c>
    </row>
    <row r="1119" spans="1:5" x14ac:dyDescent="0.2">
      <c r="A1119">
        <v>7.4469148971632402E-3</v>
      </c>
      <c r="B1119">
        <v>0.19492282704112601</v>
      </c>
      <c r="C1119">
        <v>0.15593319324503699</v>
      </c>
      <c r="D1119">
        <v>0.342598132262943</v>
      </c>
      <c r="E1119">
        <v>0.25606281024612498</v>
      </c>
    </row>
    <row r="1120" spans="1:5" x14ac:dyDescent="0.2">
      <c r="A1120">
        <v>7.4535817860595403E-3</v>
      </c>
      <c r="B1120">
        <v>0.19501936547627999</v>
      </c>
      <c r="C1120">
        <v>0.15602010700466401</v>
      </c>
      <c r="D1120">
        <v>0.34266746871201498</v>
      </c>
      <c r="E1120">
        <v>0.25614065808701603</v>
      </c>
    </row>
    <row r="1121" spans="1:5" x14ac:dyDescent="0.2">
      <c r="A1121">
        <v>7.46024867495583E-3</v>
      </c>
      <c r="B1121">
        <v>0.19511584370664301</v>
      </c>
      <c r="C1121">
        <v>0.15610699953516</v>
      </c>
      <c r="D1121">
        <v>0.34273670968084302</v>
      </c>
      <c r="E1121">
        <v>0.256218514789612</v>
      </c>
    </row>
    <row r="1122" spans="1:5" x14ac:dyDescent="0.2">
      <c r="A1122">
        <v>7.4669155638521301E-3</v>
      </c>
      <c r="B1122">
        <v>0.19521226222329099</v>
      </c>
      <c r="C1122">
        <v>0.156193871058316</v>
      </c>
      <c r="D1122">
        <v>0.34280585530722002</v>
      </c>
      <c r="E1122">
        <v>0.25629638008508299</v>
      </c>
    </row>
    <row r="1123" spans="1:5" x14ac:dyDescent="0.2">
      <c r="A1123">
        <v>7.4735824527484302E-3</v>
      </c>
      <c r="B1123">
        <v>0.195308621517301</v>
      </c>
      <c r="C1123">
        <v>0.156280721795924</v>
      </c>
      <c r="D1123">
        <v>0.34287490572893498</v>
      </c>
      <c r="E1123">
        <v>0.25637425370459799</v>
      </c>
    </row>
    <row r="1124" spans="1:5" x14ac:dyDescent="0.2">
      <c r="A1124">
        <v>7.4802493416447199E-3</v>
      </c>
      <c r="B1124">
        <v>0.19540492207974999</v>
      </c>
      <c r="C1124">
        <v>0.156367551969775</v>
      </c>
      <c r="D1124">
        <v>0.34294386108378</v>
      </c>
      <c r="E1124">
        <v>0.25645213537932698</v>
      </c>
    </row>
    <row r="1125" spans="1:5" x14ac:dyDescent="0.2">
      <c r="A1125">
        <v>7.48691623054102E-3</v>
      </c>
      <c r="B1125">
        <v>0.195501164401716</v>
      </c>
      <c r="C1125">
        <v>0.156454361801659</v>
      </c>
      <c r="D1125">
        <v>0.34301272150954698</v>
      </c>
      <c r="E1125">
        <v>0.25653002484043902</v>
      </c>
    </row>
    <row r="1126" spans="1:5" x14ac:dyDescent="0.2">
      <c r="A1126">
        <v>7.4935831194373097E-3</v>
      </c>
      <c r="B1126">
        <v>0.195597348974276</v>
      </c>
      <c r="C1126">
        <v>0.15654115151337</v>
      </c>
      <c r="D1126">
        <v>0.34308148714402598</v>
      </c>
      <c r="E1126">
        <v>0.25660792181910402</v>
      </c>
    </row>
    <row r="1127" spans="1:5" x14ac:dyDescent="0.2">
      <c r="A1127">
        <v>7.5002500083336098E-3</v>
      </c>
      <c r="B1127">
        <v>0.195693476288508</v>
      </c>
      <c r="C1127">
        <v>0.15662792132669701</v>
      </c>
      <c r="D1127">
        <v>0.34315015812500899</v>
      </c>
      <c r="E1127">
        <v>0.25668582604649198</v>
      </c>
    </row>
    <row r="1128" spans="1:5" x14ac:dyDescent="0.2">
      <c r="A1128">
        <v>7.5069168972299099E-3</v>
      </c>
      <c r="B1128">
        <v>0.19578954683548699</v>
      </c>
      <c r="C1128">
        <v>0.15671467146343299</v>
      </c>
      <c r="D1128">
        <v>0.34321873459028701</v>
      </c>
      <c r="E1128">
        <v>0.25676373725377299</v>
      </c>
    </row>
    <row r="1129" spans="1:5" x14ac:dyDescent="0.2">
      <c r="A1129">
        <v>7.5135837861261996E-3</v>
      </c>
      <c r="B1129">
        <v>0.19588556110629199</v>
      </c>
      <c r="C1129">
        <v>0.156801402145367</v>
      </c>
      <c r="D1129">
        <v>0.343287216677652</v>
      </c>
      <c r="E1129">
        <v>0.25684165517211499</v>
      </c>
    </row>
    <row r="1130" spans="1:5" x14ac:dyDescent="0.2">
      <c r="A1130">
        <v>7.5202506750224997E-3</v>
      </c>
      <c r="B1130">
        <v>0.195981519591999</v>
      </c>
      <c r="C1130">
        <v>0.156888113594293</v>
      </c>
      <c r="D1130">
        <v>0.343355604524894</v>
      </c>
      <c r="E1130">
        <v>0.25691957953268901</v>
      </c>
    </row>
    <row r="1131" spans="1:5" x14ac:dyDescent="0.2">
      <c r="A1131">
        <v>7.5269175639187998E-3</v>
      </c>
      <c r="B1131">
        <v>0.19607742278368601</v>
      </c>
      <c r="C1131">
        <v>0.15697480603200001</v>
      </c>
      <c r="D1131">
        <v>0.34342389826980502</v>
      </c>
      <c r="E1131">
        <v>0.25699751006666299</v>
      </c>
    </row>
    <row r="1132" spans="1:5" x14ac:dyDescent="0.2">
      <c r="A1132">
        <v>7.5335844528150904E-3</v>
      </c>
      <c r="B1132">
        <v>0.19617327117243</v>
      </c>
      <c r="C1132">
        <v>0.157061479680281</v>
      </c>
      <c r="D1132">
        <v>0.343492098050176</v>
      </c>
      <c r="E1132">
        <v>0.25707544650520903</v>
      </c>
    </row>
    <row r="1133" spans="1:5" x14ac:dyDescent="0.2">
      <c r="A1133">
        <v>7.5402513417113896E-3</v>
      </c>
      <c r="B1133">
        <v>0.19626906524930901</v>
      </c>
      <c r="C1133">
        <v>0.15714813476092601</v>
      </c>
      <c r="D1133">
        <v>0.343560204003798</v>
      </c>
      <c r="E1133">
        <v>0.25715338857949499</v>
      </c>
    </row>
    <row r="1134" spans="1:5" x14ac:dyDescent="0.2">
      <c r="A1134">
        <v>7.5469182306076897E-3</v>
      </c>
      <c r="B1134">
        <v>0.196364805505398</v>
      </c>
      <c r="C1134">
        <v>0.15723477149572801</v>
      </c>
      <c r="D1134">
        <v>0.34362821626846202</v>
      </c>
      <c r="E1134">
        <v>0.25723133602069098</v>
      </c>
    </row>
    <row r="1135" spans="1:5" x14ac:dyDescent="0.2">
      <c r="A1135">
        <v>7.5535851195039803E-3</v>
      </c>
      <c r="B1135">
        <v>0.19646049243177599</v>
      </c>
      <c r="C1135">
        <v>0.157321390106476</v>
      </c>
      <c r="D1135">
        <v>0.34369613498196</v>
      </c>
      <c r="E1135">
        <v>0.25730928855996599</v>
      </c>
    </row>
    <row r="1136" spans="1:5" x14ac:dyDescent="0.2">
      <c r="A1136">
        <v>7.5602520084002804E-3</v>
      </c>
      <c r="B1136">
        <v>0.19655612651952001</v>
      </c>
      <c r="C1136">
        <v>0.15740799081496301</v>
      </c>
      <c r="D1136">
        <v>0.343763960282082</v>
      </c>
      <c r="E1136">
        <v>0.25738724592849099</v>
      </c>
    </row>
    <row r="1137" spans="1:5" x14ac:dyDescent="0.2">
      <c r="A1137">
        <v>7.5669188972965797E-3</v>
      </c>
      <c r="B1137">
        <v>0.19665170825970699</v>
      </c>
      <c r="C1137">
        <v>0.15749457384297999</v>
      </c>
      <c r="D1137">
        <v>0.34383169230662097</v>
      </c>
      <c r="E1137">
        <v>0.25746520785743399</v>
      </c>
    </row>
    <row r="1138" spans="1:5" x14ac:dyDescent="0.2">
      <c r="A1138">
        <v>7.5735857861928702E-3</v>
      </c>
      <c r="B1138">
        <v>0.19674723814341399</v>
      </c>
      <c r="C1138">
        <v>0.15758113941231799</v>
      </c>
      <c r="D1138">
        <v>0.34389933119336702</v>
      </c>
      <c r="E1138">
        <v>0.25754317407796601</v>
      </c>
    </row>
    <row r="1139" spans="1:5" x14ac:dyDescent="0.2">
      <c r="A1139">
        <v>7.5802526750891703E-3</v>
      </c>
      <c r="B1139">
        <v>0.19684271666171799</v>
      </c>
      <c r="C1139">
        <v>0.157667687744768</v>
      </c>
      <c r="D1139">
        <v>0.34396687708011098</v>
      </c>
      <c r="E1139">
        <v>0.25762114432125599</v>
      </c>
    </row>
    <row r="1140" spans="1:5" x14ac:dyDescent="0.2">
      <c r="A1140">
        <v>7.5869195639854704E-3</v>
      </c>
      <c r="B1140">
        <v>0.19693814430569601</v>
      </c>
      <c r="C1140">
        <v>0.157754219062122</v>
      </c>
      <c r="D1140">
        <v>0.34403433010464501</v>
      </c>
      <c r="E1140">
        <v>0.25769911831847397</v>
      </c>
    </row>
    <row r="1141" spans="1:5" x14ac:dyDescent="0.2">
      <c r="A1141">
        <v>7.5935864528817601E-3</v>
      </c>
      <c r="B1141">
        <v>0.19703352156642601</v>
      </c>
      <c r="C1141">
        <v>0.15784073358617001</v>
      </c>
      <c r="D1141">
        <v>0.34410169040476002</v>
      </c>
      <c r="E1141">
        <v>0.257777095800788</v>
      </c>
    </row>
    <row r="1142" spans="1:5" x14ac:dyDescent="0.2">
      <c r="A1142">
        <v>7.6002533417780602E-3</v>
      </c>
      <c r="B1142">
        <v>0.197128848934985</v>
      </c>
      <c r="C1142">
        <v>0.157927231538706</v>
      </c>
      <c r="D1142">
        <v>0.34416895811824699</v>
      </c>
      <c r="E1142">
        <v>0.25785507649937001</v>
      </c>
    </row>
    <row r="1143" spans="1:5" x14ac:dyDescent="0.2">
      <c r="A1143">
        <v>7.6069202306743603E-3</v>
      </c>
      <c r="B1143">
        <v>0.19722412690245</v>
      </c>
      <c r="C1143">
        <v>0.15801371314151799</v>
      </c>
      <c r="D1143">
        <v>0.34423613338289699</v>
      </c>
      <c r="E1143">
        <v>0.25793306014538803</v>
      </c>
    </row>
    <row r="1144" spans="1:5" x14ac:dyDescent="0.2">
      <c r="A1144">
        <v>7.61358711957065E-3</v>
      </c>
      <c r="B1144">
        <v>0.197319355959898</v>
      </c>
      <c r="C1144">
        <v>0.15810017861639999</v>
      </c>
      <c r="D1144">
        <v>0.34430321633650202</v>
      </c>
      <c r="E1144">
        <v>0.258011046470012</v>
      </c>
    </row>
    <row r="1145" spans="1:5" x14ac:dyDescent="0.2">
      <c r="A1145">
        <v>7.6202540084669501E-3</v>
      </c>
      <c r="B1145">
        <v>0.19741453659840699</v>
      </c>
      <c r="C1145">
        <v>0.15818662818514101</v>
      </c>
      <c r="D1145">
        <v>0.34437020711685301</v>
      </c>
      <c r="E1145">
        <v>0.25808903520441201</v>
      </c>
    </row>
    <row r="1146" spans="1:5" x14ac:dyDescent="0.2">
      <c r="A1146">
        <v>7.6269208973632503E-3</v>
      </c>
      <c r="B1146">
        <v>0.197509669309053</v>
      </c>
      <c r="C1146">
        <v>0.15827306206953501</v>
      </c>
      <c r="D1146">
        <v>0.34443710586173998</v>
      </c>
      <c r="E1146">
        <v>0.258167026079757</v>
      </c>
    </row>
    <row r="1147" spans="1:5" x14ac:dyDescent="0.2">
      <c r="A1147">
        <v>7.63358778625954E-3</v>
      </c>
      <c r="B1147">
        <v>0.19760475458291299</v>
      </c>
      <c r="C1147">
        <v>0.15835948049137</v>
      </c>
      <c r="D1147">
        <v>0.34450391270895597</v>
      </c>
      <c r="E1147">
        <v>0.25824501882721701</v>
      </c>
    </row>
    <row r="1148" spans="1:5" x14ac:dyDescent="0.2">
      <c r="A1148">
        <v>7.6402546751558401E-3</v>
      </c>
      <c r="B1148">
        <v>0.19769979291106601</v>
      </c>
      <c r="C1148">
        <v>0.15844588367244</v>
      </c>
      <c r="D1148">
        <v>0.344570627796291</v>
      </c>
      <c r="E1148">
        <v>0.25832301317796103</v>
      </c>
    </row>
    <row r="1149" spans="1:5" x14ac:dyDescent="0.2">
      <c r="A1149">
        <v>7.6469215640521402E-3</v>
      </c>
      <c r="B1149">
        <v>0.19779478478458801</v>
      </c>
      <c r="C1149">
        <v>0.158532271834536</v>
      </c>
      <c r="D1149">
        <v>0.34463725126153599</v>
      </c>
      <c r="E1149">
        <v>0.25840100886315998</v>
      </c>
    </row>
    <row r="1150" spans="1:5" x14ac:dyDescent="0.2">
      <c r="A1150">
        <v>7.6535884529484299E-3</v>
      </c>
      <c r="B1150">
        <v>0.19788973069455601</v>
      </c>
      <c r="C1150">
        <v>0.15861864519944799</v>
      </c>
      <c r="D1150">
        <v>0.34470378324248402</v>
      </c>
      <c r="E1150">
        <v>0.25847900561398202</v>
      </c>
    </row>
    <row r="1151" spans="1:5" x14ac:dyDescent="0.2">
      <c r="A1151">
        <v>7.66025534184473E-3</v>
      </c>
      <c r="B1151">
        <v>0.19798463113204701</v>
      </c>
      <c r="C1151">
        <v>0.158705003988968</v>
      </c>
      <c r="D1151">
        <v>0.34477022387692402</v>
      </c>
      <c r="E1151">
        <v>0.25855700316159802</v>
      </c>
    </row>
    <row r="1152" spans="1:5" x14ac:dyDescent="0.2">
      <c r="A1152">
        <v>7.6669222307410197E-3</v>
      </c>
      <c r="B1152">
        <v>0.19807948658813901</v>
      </c>
      <c r="C1152">
        <v>0.15879134842488701</v>
      </c>
      <c r="D1152">
        <v>0.344836573302649</v>
      </c>
      <c r="E1152">
        <v>0.25863500123717598</v>
      </c>
    </row>
    <row r="1153" spans="1:5" x14ac:dyDescent="0.2">
      <c r="A1153">
        <v>7.6735891196373198E-3</v>
      </c>
      <c r="B1153">
        <v>0.198174297553909</v>
      </c>
      <c r="C1153">
        <v>0.158877678728996</v>
      </c>
      <c r="D1153">
        <v>0.344902831657449</v>
      </c>
      <c r="E1153">
        <v>0.25871299957188798</v>
      </c>
    </row>
    <row r="1154" spans="1:5" x14ac:dyDescent="0.2">
      <c r="A1154">
        <v>7.6802560085336199E-3</v>
      </c>
      <c r="B1154">
        <v>0.198269064520434</v>
      </c>
      <c r="C1154">
        <v>0.15896399512308801</v>
      </c>
      <c r="D1154">
        <v>0.34496899907911599</v>
      </c>
      <c r="E1154">
        <v>0.25879099789690102</v>
      </c>
    </row>
    <row r="1155" spans="1:5" x14ac:dyDescent="0.2">
      <c r="A1155">
        <v>7.6869228974299096E-3</v>
      </c>
      <c r="B1155">
        <v>0.19836378797879101</v>
      </c>
      <c r="C1155">
        <v>0.159050297828953</v>
      </c>
      <c r="D1155">
        <v>0.34503507570544001</v>
      </c>
      <c r="E1155">
        <v>0.25886899594338603</v>
      </c>
    </row>
    <row r="1156" spans="1:5" x14ac:dyDescent="0.2">
      <c r="A1156">
        <v>7.6935897863262097E-3</v>
      </c>
      <c r="B1156">
        <v>0.19845846842005799</v>
      </c>
      <c r="C1156">
        <v>0.15913658706838199</v>
      </c>
      <c r="D1156">
        <v>0.345101061674214</v>
      </c>
      <c r="E1156">
        <v>0.25894699344251298</v>
      </c>
    </row>
    <row r="1157" spans="1:5" x14ac:dyDescent="0.2">
      <c r="A1157">
        <v>7.7002566752225098E-3</v>
      </c>
      <c r="B1157">
        <v>0.19855310633531101</v>
      </c>
      <c r="C1157">
        <v>0.15922286306316699</v>
      </c>
      <c r="D1157">
        <v>0.34516695712322798</v>
      </c>
      <c r="E1157">
        <v>0.25902499012544999</v>
      </c>
    </row>
    <row r="1158" spans="1:5" x14ac:dyDescent="0.2">
      <c r="A1158">
        <v>7.7069235641188004E-3</v>
      </c>
      <c r="B1158">
        <v>0.198647702215627</v>
      </c>
      <c r="C1158">
        <v>0.159309126035098</v>
      </c>
      <c r="D1158">
        <v>0.34523276219027399</v>
      </c>
      <c r="E1158">
        <v>0.25910298572336898</v>
      </c>
    </row>
    <row r="1159" spans="1:5" x14ac:dyDescent="0.2">
      <c r="A1159">
        <v>7.7135904530150996E-3</v>
      </c>
      <c r="B1159">
        <v>0.19874225655208499</v>
      </c>
      <c r="C1159">
        <v>0.159395376205969</v>
      </c>
      <c r="D1159">
        <v>0.34529847701314198</v>
      </c>
      <c r="E1159">
        <v>0.259180979967437</v>
      </c>
    </row>
    <row r="1160" spans="1:5" x14ac:dyDescent="0.2">
      <c r="A1160">
        <v>7.7202573419113997E-3</v>
      </c>
      <c r="B1160">
        <v>0.19883676983576101</v>
      </c>
      <c r="C1160">
        <v>0.15948161379756801</v>
      </c>
      <c r="D1160">
        <v>0.34536410172962501</v>
      </c>
      <c r="E1160">
        <v>0.25925897258882502</v>
      </c>
    </row>
    <row r="1161" spans="1:5" x14ac:dyDescent="0.2">
      <c r="A1161">
        <v>7.7269242308076903E-3</v>
      </c>
      <c r="B1161">
        <v>0.19893124255773201</v>
      </c>
      <c r="C1161">
        <v>0.159567839031689</v>
      </c>
      <c r="D1161">
        <v>0.34542963647751201</v>
      </c>
      <c r="E1161">
        <v>0.25933696331870298</v>
      </c>
    </row>
    <row r="1162" spans="1:5" x14ac:dyDescent="0.2">
      <c r="A1162">
        <v>7.7335911197039904E-3</v>
      </c>
      <c r="B1162">
        <v>0.19902567520907599</v>
      </c>
      <c r="C1162">
        <v>0.15965405213012199</v>
      </c>
      <c r="D1162">
        <v>0.345495081394596</v>
      </c>
      <c r="E1162">
        <v>0.25941495188823999</v>
      </c>
    </row>
    <row r="1163" spans="1:5" x14ac:dyDescent="0.2">
      <c r="A1163">
        <v>7.7402580086002896E-3</v>
      </c>
      <c r="B1163">
        <v>0.19912006828086901</v>
      </c>
      <c r="C1163">
        <v>0.15974025331465899</v>
      </c>
      <c r="D1163">
        <v>0.34556043661866698</v>
      </c>
      <c r="E1163">
        <v>0.25949293802860601</v>
      </c>
    </row>
    <row r="1164" spans="1:5" x14ac:dyDescent="0.2">
      <c r="A1164">
        <v>7.7469248974965802E-3</v>
      </c>
      <c r="B1164">
        <v>0.19921442226418901</v>
      </c>
      <c r="C1164">
        <v>0.15982644280708999</v>
      </c>
      <c r="D1164">
        <v>0.34562570228751799</v>
      </c>
      <c r="E1164">
        <v>0.259570921470969</v>
      </c>
    </row>
    <row r="1165" spans="1:5" x14ac:dyDescent="0.2">
      <c r="A1165">
        <v>7.7535917863928803E-3</v>
      </c>
      <c r="B1165">
        <v>0.199308737650114</v>
      </c>
      <c r="C1165">
        <v>0.15991262082920699</v>
      </c>
      <c r="D1165">
        <v>0.34569087853893798</v>
      </c>
      <c r="E1165">
        <v>0.25964890194650098</v>
      </c>
    </row>
    <row r="1166" spans="1:5" x14ac:dyDescent="0.2">
      <c r="A1166">
        <v>7.7602586752891804E-3</v>
      </c>
      <c r="B1166">
        <v>0.19940301492971901</v>
      </c>
      <c r="C1166">
        <v>0.15999878760280201</v>
      </c>
      <c r="D1166">
        <v>0.34575596551072002</v>
      </c>
      <c r="E1166">
        <v>0.25972687918637</v>
      </c>
    </row>
    <row r="1167" spans="1:5" x14ac:dyDescent="0.2">
      <c r="A1167">
        <v>7.7669255641854701E-3</v>
      </c>
      <c r="B1167">
        <v>0.19949725459408299</v>
      </c>
      <c r="C1167">
        <v>0.160084943349665</v>
      </c>
      <c r="D1167">
        <v>0.34582096334065399</v>
      </c>
      <c r="E1167">
        <v>0.25980485292174699</v>
      </c>
    </row>
    <row r="1168" spans="1:5" x14ac:dyDescent="0.2">
      <c r="A1168">
        <v>7.7735924530817702E-3</v>
      </c>
      <c r="B1168">
        <v>0.199591457134282</v>
      </c>
      <c r="C1168">
        <v>0.16017108829158899</v>
      </c>
      <c r="D1168">
        <v>0.34588587216653099</v>
      </c>
      <c r="E1168">
        <v>0.25988282288379999</v>
      </c>
    </row>
    <row r="1169" spans="1:5" x14ac:dyDescent="0.2">
      <c r="A1169">
        <v>7.7802593419780703E-3</v>
      </c>
      <c r="B1169">
        <v>0.19968562304139501</v>
      </c>
      <c r="C1169">
        <v>0.16025722265036399</v>
      </c>
      <c r="D1169">
        <v>0.34595069212614399</v>
      </c>
      <c r="E1169">
        <v>0.25996078880369899</v>
      </c>
    </row>
    <row r="1170" spans="1:5" x14ac:dyDescent="0.2">
      <c r="A1170">
        <v>7.78692623087436E-3</v>
      </c>
      <c r="B1170">
        <v>0.19977975280649701</v>
      </c>
      <c r="C1170">
        <v>0.16034334664778099</v>
      </c>
      <c r="D1170">
        <v>0.34601542335728303</v>
      </c>
      <c r="E1170">
        <v>0.26003875041261498</v>
      </c>
    </row>
    <row r="1171" spans="1:5" x14ac:dyDescent="0.2">
      <c r="A1171">
        <v>7.7935931197706601E-3</v>
      </c>
      <c r="B1171">
        <v>0.19987384692066601</v>
      </c>
      <c r="C1171">
        <v>0.160429460505632</v>
      </c>
      <c r="D1171">
        <v>0.34608006599773899</v>
      </c>
      <c r="E1171">
        <v>0.260116707441716</v>
      </c>
    </row>
    <row r="1172" spans="1:5" x14ac:dyDescent="0.2">
      <c r="A1172">
        <v>7.8002600086669602E-3</v>
      </c>
      <c r="B1172">
        <v>0.19996790587498001</v>
      </c>
      <c r="C1172">
        <v>0.160515564445709</v>
      </c>
      <c r="D1172">
        <v>0.34614462018530301</v>
      </c>
      <c r="E1172">
        <v>0.26019465962217198</v>
      </c>
    </row>
    <row r="1173" spans="1:5" x14ac:dyDescent="0.2">
      <c r="A1173">
        <v>7.8069268975632499E-3</v>
      </c>
      <c r="B1173">
        <v>0.20006193016051499</v>
      </c>
      <c r="C1173">
        <v>0.160601658689802</v>
      </c>
      <c r="D1173">
        <v>0.34620908605776701</v>
      </c>
      <c r="E1173">
        <v>0.26027260668515301</v>
      </c>
    </row>
    <row r="1174" spans="1:5" x14ac:dyDescent="0.2">
      <c r="A1174">
        <v>7.8135937864595491E-3</v>
      </c>
      <c r="B1174">
        <v>0.200155920268349</v>
      </c>
      <c r="C1174">
        <v>0.16068774345970299</v>
      </c>
      <c r="D1174">
        <v>0.34627346375292301</v>
      </c>
      <c r="E1174">
        <v>0.26035054836182803</v>
      </c>
    </row>
    <row r="1175" spans="1:5" x14ac:dyDescent="0.2">
      <c r="A1175">
        <v>7.8202606753558397E-3</v>
      </c>
      <c r="B1175">
        <v>0.20024987668955899</v>
      </c>
      <c r="C1175">
        <v>0.160773818977202</v>
      </c>
      <c r="D1175">
        <v>0.34633775340855999</v>
      </c>
      <c r="E1175">
        <v>0.26042848438336702</v>
      </c>
    </row>
    <row r="1176" spans="1:5" x14ac:dyDescent="0.2">
      <c r="A1176">
        <v>7.8269275642521407E-3</v>
      </c>
      <c r="B1176">
        <v>0.200343799915221</v>
      </c>
      <c r="C1176">
        <v>0.16085988546409299</v>
      </c>
      <c r="D1176">
        <v>0.34640195516247102</v>
      </c>
      <c r="E1176">
        <v>0.26050641448093997</v>
      </c>
    </row>
    <row r="1177" spans="1:5" x14ac:dyDescent="0.2">
      <c r="A1177">
        <v>7.8335944531484399E-3</v>
      </c>
      <c r="B1177">
        <v>0.20043769043641399</v>
      </c>
      <c r="C1177">
        <v>0.16094594314216401</v>
      </c>
      <c r="D1177">
        <v>0.34646606915244699</v>
      </c>
      <c r="E1177">
        <v>0.26058433838571698</v>
      </c>
    </row>
    <row r="1178" spans="1:5" x14ac:dyDescent="0.2">
      <c r="A1178">
        <v>7.8402613420447392E-3</v>
      </c>
      <c r="B1178">
        <v>0.200531548744215</v>
      </c>
      <c r="C1178">
        <v>0.16103199223320899</v>
      </c>
      <c r="D1178">
        <v>0.346530095516278</v>
      </c>
      <c r="E1178">
        <v>0.26066225582886599</v>
      </c>
    </row>
    <row r="1179" spans="1:5" x14ac:dyDescent="0.2">
      <c r="A1179">
        <v>7.8469282309410297E-3</v>
      </c>
      <c r="B1179">
        <v>0.20062537532970001</v>
      </c>
      <c r="C1179">
        <v>0.161118032959018</v>
      </c>
      <c r="D1179">
        <v>0.34659403439175601</v>
      </c>
      <c r="E1179">
        <v>0.26074016654155702</v>
      </c>
    </row>
    <row r="1180" spans="1:5" x14ac:dyDescent="0.2">
      <c r="A1180">
        <v>7.8535951198373307E-3</v>
      </c>
      <c r="B1180">
        <v>0.20071917068394701</v>
      </c>
      <c r="C1180">
        <v>0.161204065541383</v>
      </c>
      <c r="D1180">
        <v>0.34665788591667301</v>
      </c>
      <c r="E1180">
        <v>0.26081807025496101</v>
      </c>
    </row>
    <row r="1181" spans="1:5" x14ac:dyDescent="0.2">
      <c r="A1181">
        <v>7.8602620087336195E-3</v>
      </c>
      <c r="B1181">
        <v>0.20081293529803301</v>
      </c>
      <c r="C1181">
        <v>0.161290090202095</v>
      </c>
      <c r="D1181">
        <v>0.34672165022881901</v>
      </c>
      <c r="E1181">
        <v>0.26089596670024601</v>
      </c>
    </row>
    <row r="1182" spans="1:5" x14ac:dyDescent="0.2">
      <c r="A1182">
        <v>7.8669288976299205E-3</v>
      </c>
      <c r="B1182">
        <v>0.200906669663035</v>
      </c>
      <c r="C1182">
        <v>0.16137610716294401</v>
      </c>
      <c r="D1182">
        <v>0.346785327465986</v>
      </c>
      <c r="E1182">
        <v>0.26097385560858299</v>
      </c>
    </row>
    <row r="1183" spans="1:5" x14ac:dyDescent="0.2">
      <c r="A1183">
        <v>7.8735957865262197E-3</v>
      </c>
      <c r="B1183">
        <v>0.20100037427003001</v>
      </c>
      <c r="C1183">
        <v>0.16146211664572299</v>
      </c>
      <c r="D1183">
        <v>0.34684891776596399</v>
      </c>
      <c r="E1183">
        <v>0.26105173671114001</v>
      </c>
    </row>
    <row r="1184" spans="1:5" x14ac:dyDescent="0.2">
      <c r="A1184">
        <v>7.8802626754225207E-3</v>
      </c>
      <c r="B1184">
        <v>0.201094049610096</v>
      </c>
      <c r="C1184">
        <v>0.16154811887222301</v>
      </c>
      <c r="D1184">
        <v>0.34691242126654598</v>
      </c>
      <c r="E1184">
        <v>0.261129609739088</v>
      </c>
    </row>
    <row r="1185" spans="1:5" x14ac:dyDescent="0.2">
      <c r="A1185">
        <v>7.8869295643188096E-3</v>
      </c>
      <c r="B1185">
        <v>0.20118769617430901</v>
      </c>
      <c r="C1185">
        <v>0.161634114064235</v>
      </c>
      <c r="D1185">
        <v>0.34697583810552202</v>
      </c>
      <c r="E1185">
        <v>0.26120747442359599</v>
      </c>
    </row>
    <row r="1186" spans="1:5" x14ac:dyDescent="0.2">
      <c r="A1186">
        <v>7.8935964532151105E-3</v>
      </c>
      <c r="B1186">
        <v>0.201281314453748</v>
      </c>
      <c r="C1186">
        <v>0.16172010244355101</v>
      </c>
      <c r="D1186">
        <v>0.347039168420684</v>
      </c>
      <c r="E1186">
        <v>0.26128533049583402</v>
      </c>
    </row>
    <row r="1187" spans="1:5" x14ac:dyDescent="0.2">
      <c r="A1187">
        <v>7.9002633421113994E-3</v>
      </c>
      <c r="B1187">
        <v>0.20137490493948901</v>
      </c>
      <c r="C1187">
        <v>0.16180608423196099</v>
      </c>
      <c r="D1187">
        <v>0.34710241234982198</v>
      </c>
      <c r="E1187">
        <v>0.26136317768697098</v>
      </c>
    </row>
    <row r="1188" spans="1:5" x14ac:dyDescent="0.2">
      <c r="A1188">
        <v>7.9069302310077003E-3</v>
      </c>
      <c r="B1188">
        <v>0.20146846812260799</v>
      </c>
      <c r="C1188">
        <v>0.161892059651257</v>
      </c>
      <c r="D1188">
        <v>0.34716557003072901</v>
      </c>
      <c r="E1188">
        <v>0.26144101572817802</v>
      </c>
    </row>
    <row r="1189" spans="1:5" x14ac:dyDescent="0.2">
      <c r="A1189">
        <v>7.9135971199039996E-3</v>
      </c>
      <c r="B1189">
        <v>0.20156200449418499</v>
      </c>
      <c r="C1189">
        <v>0.16197802892322999</v>
      </c>
      <c r="D1189">
        <v>0.34722864160119399</v>
      </c>
      <c r="E1189">
        <v>0.261518844350622</v>
      </c>
    </row>
    <row r="1190" spans="1:5" x14ac:dyDescent="0.2">
      <c r="A1190">
        <v>7.9202640088002901E-3</v>
      </c>
      <c r="B1190">
        <v>0.20165551454529501</v>
      </c>
      <c r="C1190">
        <v>0.162063992269671</v>
      </c>
      <c r="D1190">
        <v>0.34729162719901002</v>
      </c>
      <c r="E1190">
        <v>0.26159666328547498</v>
      </c>
    </row>
    <row r="1191" spans="1:5" x14ac:dyDescent="0.2">
      <c r="A1191">
        <v>7.9269308976965894E-3</v>
      </c>
      <c r="B1191">
        <v>0.20174899876701499</v>
      </c>
      <c r="C1191">
        <v>0.162149949912373</v>
      </c>
      <c r="D1191">
        <v>0.347354526961968</v>
      </c>
      <c r="E1191">
        <v>0.261674472263906</v>
      </c>
    </row>
    <row r="1192" spans="1:5" x14ac:dyDescent="0.2">
      <c r="A1192">
        <v>7.9335977865928903E-3</v>
      </c>
      <c r="B1192">
        <v>0.201842457650424</v>
      </c>
      <c r="C1192">
        <v>0.16223590207312599</v>
      </c>
      <c r="D1192">
        <v>0.34741734102785898</v>
      </c>
      <c r="E1192">
        <v>0.26175227101708398</v>
      </c>
    </row>
    <row r="1193" spans="1:5" x14ac:dyDescent="0.2">
      <c r="A1193">
        <v>7.9402646754891792E-3</v>
      </c>
      <c r="B1193">
        <v>0.20193589168659801</v>
      </c>
      <c r="C1193">
        <v>0.16232184897372101</v>
      </c>
      <c r="D1193">
        <v>0.34748006953447302</v>
      </c>
      <c r="E1193">
        <v>0.26183005927617897</v>
      </c>
    </row>
    <row r="1194" spans="1:5" x14ac:dyDescent="0.2">
      <c r="A1194">
        <v>7.9469315643854802E-3</v>
      </c>
      <c r="B1194">
        <v>0.20202930136661501</v>
      </c>
      <c r="C1194">
        <v>0.16240779083595</v>
      </c>
      <c r="D1194">
        <v>0.34754271261960301</v>
      </c>
      <c r="E1194">
        <v>0.26190783677236101</v>
      </c>
    </row>
    <row r="1195" spans="1:5" x14ac:dyDescent="0.2">
      <c r="A1195">
        <v>7.9535984532817794E-3</v>
      </c>
      <c r="B1195">
        <v>0.20212268718154999</v>
      </c>
      <c r="C1195">
        <v>0.16249372788160299</v>
      </c>
      <c r="D1195">
        <v>0.347605270421039</v>
      </c>
      <c r="E1195">
        <v>0.26198560323679898</v>
      </c>
    </row>
    <row r="1196" spans="1:5" x14ac:dyDescent="0.2">
      <c r="A1196">
        <v>7.96026534217807E-3</v>
      </c>
      <c r="B1196">
        <v>0.20221604962248299</v>
      </c>
      <c r="C1196">
        <v>0.16257966033247401</v>
      </c>
      <c r="D1196">
        <v>0.347667743076573</v>
      </c>
      <c r="E1196">
        <v>0.26206335840066303</v>
      </c>
    </row>
    <row r="1197" spans="1:5" x14ac:dyDescent="0.2">
      <c r="A1197">
        <v>7.9669322310743692E-3</v>
      </c>
      <c r="B1197">
        <v>0.20230938918048999</v>
      </c>
      <c r="C1197">
        <v>0.162665588410352</v>
      </c>
      <c r="D1197">
        <v>0.347730130723996</v>
      </c>
      <c r="E1197">
        <v>0.26214110199512197</v>
      </c>
    </row>
    <row r="1198" spans="1:5" x14ac:dyDescent="0.2">
      <c r="A1198">
        <v>7.9735991199706702E-3</v>
      </c>
      <c r="B1198">
        <v>0.202402706346647</v>
      </c>
      <c r="C1198">
        <v>0.162751512337028</v>
      </c>
      <c r="D1198">
        <v>0.34779243350109901</v>
      </c>
      <c r="E1198">
        <v>0.26221883375134603</v>
      </c>
    </row>
    <row r="1199" spans="1:5" x14ac:dyDescent="0.2">
      <c r="A1199">
        <v>7.9802660088669607E-3</v>
      </c>
      <c r="B1199">
        <v>0.20249600161203299</v>
      </c>
      <c r="C1199">
        <v>0.16283743233429501</v>
      </c>
      <c r="D1199">
        <v>0.34785465154567302</v>
      </c>
      <c r="E1199">
        <v>0.26229655340050501</v>
      </c>
    </row>
    <row r="1200" spans="1:5" x14ac:dyDescent="0.2">
      <c r="A1200">
        <v>7.98693289776326E-3</v>
      </c>
      <c r="B1200">
        <v>0.20258927546772501</v>
      </c>
      <c r="C1200">
        <v>0.162923348623944</v>
      </c>
      <c r="D1200">
        <v>0.34791678499550999</v>
      </c>
      <c r="E1200">
        <v>0.26237426067376901</v>
      </c>
    </row>
    <row r="1201" spans="1:5" x14ac:dyDescent="0.2">
      <c r="A1201">
        <v>7.9935997866595592E-3</v>
      </c>
      <c r="B1201">
        <v>0.202682528404799</v>
      </c>
      <c r="C1201">
        <v>0.16300926142776501</v>
      </c>
      <c r="D1201">
        <v>0.34797883398840102</v>
      </c>
      <c r="E1201">
        <v>0.26245195530230597</v>
      </c>
    </row>
    <row r="1202" spans="1:5" x14ac:dyDescent="0.2">
      <c r="A1202">
        <v>8.0002666755558498E-3</v>
      </c>
      <c r="B1202">
        <v>0.20277576091434099</v>
      </c>
      <c r="C1202">
        <v>0.16309517096755</v>
      </c>
      <c r="D1202">
        <v>0.348040798662137</v>
      </c>
      <c r="E1202">
        <v>0.26252963701729798</v>
      </c>
    </row>
    <row r="1203" spans="1:5" x14ac:dyDescent="0.2">
      <c r="A1203">
        <v>8.0069335644521508E-3</v>
      </c>
      <c r="B1203">
        <v>0.202868973637061</v>
      </c>
      <c r="C1203">
        <v>0.163181077465091</v>
      </c>
      <c r="D1203">
        <v>0.34810267915450899</v>
      </c>
      <c r="E1203">
        <v>0.262607305747664</v>
      </c>
    </row>
    <row r="1204" spans="1:5" x14ac:dyDescent="0.2">
      <c r="A1204">
        <v>8.0136004533484396E-3</v>
      </c>
      <c r="B1204">
        <v>0.202962167744595</v>
      </c>
      <c r="C1204">
        <v>0.163266981142179</v>
      </c>
      <c r="D1204">
        <v>0.34816447560330799</v>
      </c>
      <c r="E1204">
        <v>0.26268496212398801</v>
      </c>
    </row>
    <row r="1205" spans="1:5" x14ac:dyDescent="0.2">
      <c r="A1205">
        <v>8.0202673422447406E-3</v>
      </c>
      <c r="B1205">
        <v>0.20305534452628901</v>
      </c>
      <c r="C1205">
        <v>0.16335288222060401</v>
      </c>
      <c r="D1205">
        <v>0.348226188146326</v>
      </c>
      <c r="E1205">
        <v>0.26276260693241199</v>
      </c>
    </row>
    <row r="1206" spans="1:5" x14ac:dyDescent="0.2">
      <c r="A1206">
        <v>8.0269342311410398E-3</v>
      </c>
      <c r="B1206">
        <v>0.20314850527149</v>
      </c>
      <c r="C1206">
        <v>0.16343878092215899</v>
      </c>
      <c r="D1206">
        <v>0.34828781692135402</v>
      </c>
      <c r="E1206">
        <v>0.26284024095908098</v>
      </c>
    </row>
    <row r="1207" spans="1:5" x14ac:dyDescent="0.2">
      <c r="A1207">
        <v>8.0336011200373408E-3</v>
      </c>
      <c r="B1207">
        <v>0.20324165126954299</v>
      </c>
      <c r="C1207">
        <v>0.163524677468634</v>
      </c>
      <c r="D1207">
        <v>0.348349362066182</v>
      </c>
      <c r="E1207">
        <v>0.26291786499014003</v>
      </c>
    </row>
    <row r="1208" spans="1:5" x14ac:dyDescent="0.2">
      <c r="A1208">
        <v>8.0402680089336296E-3</v>
      </c>
      <c r="B1208">
        <v>0.203334783809796</v>
      </c>
      <c r="C1208">
        <v>0.163610572081822</v>
      </c>
      <c r="D1208">
        <v>0.34841082371860399</v>
      </c>
      <c r="E1208">
        <v>0.26299547981173399</v>
      </c>
    </row>
    <row r="1209" spans="1:5" x14ac:dyDescent="0.2">
      <c r="A1209">
        <v>8.0469348978299306E-3</v>
      </c>
      <c r="B1209">
        <v>0.20342790418159401</v>
      </c>
      <c r="C1209">
        <v>0.16369646498351201</v>
      </c>
      <c r="D1209">
        <v>0.34847220201640799</v>
      </c>
      <c r="E1209">
        <v>0.26307308621000602</v>
      </c>
    </row>
    <row r="1210" spans="1:5" x14ac:dyDescent="0.2">
      <c r="A1210">
        <v>8.0536017867262194E-3</v>
      </c>
      <c r="B1210">
        <v>0.20352101367428299</v>
      </c>
      <c r="C1210">
        <v>0.16378235639549699</v>
      </c>
      <c r="D1210">
        <v>0.34853349709738801</v>
      </c>
      <c r="E1210">
        <v>0.263150684971102</v>
      </c>
    </row>
    <row r="1211" spans="1:5" x14ac:dyDescent="0.2">
      <c r="A1211">
        <v>8.0602686756225204E-3</v>
      </c>
      <c r="B1211">
        <v>0.20361411357721099</v>
      </c>
      <c r="C1211">
        <v>0.163868246539568</v>
      </c>
      <c r="D1211">
        <v>0.34859470909933299</v>
      </c>
      <c r="E1211">
        <v>0.26322827688116501</v>
      </c>
    </row>
    <row r="1212" spans="1:5" x14ac:dyDescent="0.2">
      <c r="A1212">
        <v>8.0669355645188196E-3</v>
      </c>
      <c r="B1212">
        <v>0.20370720517972199</v>
      </c>
      <c r="C1212">
        <v>0.16395413563751501</v>
      </c>
      <c r="D1212">
        <v>0.34865583816003498</v>
      </c>
      <c r="E1212">
        <v>0.26330586272634099</v>
      </c>
    </row>
    <row r="1213" spans="1:5" x14ac:dyDescent="0.2">
      <c r="A1213">
        <v>8.0736024534151102E-3</v>
      </c>
      <c r="B1213">
        <v>0.20380028977116399</v>
      </c>
      <c r="C1213">
        <v>0.16404002391113201</v>
      </c>
      <c r="D1213">
        <v>0.34871688441728599</v>
      </c>
      <c r="E1213">
        <v>0.26338344329277202</v>
      </c>
    </row>
    <row r="1214" spans="1:5" x14ac:dyDescent="0.2">
      <c r="A1214">
        <v>8.0802693423114094E-3</v>
      </c>
      <c r="B1214">
        <v>0.203893368640883</v>
      </c>
      <c r="C1214">
        <v>0.16412591158220799</v>
      </c>
      <c r="D1214">
        <v>0.34877784800887601</v>
      </c>
      <c r="E1214">
        <v>0.26346101936660499</v>
      </c>
    </row>
    <row r="1215" spans="1:5" x14ac:dyDescent="0.2">
      <c r="A1215">
        <v>8.0869362312077104E-3</v>
      </c>
      <c r="B1215">
        <v>0.203986443078224</v>
      </c>
      <c r="C1215">
        <v>0.16421179887253401</v>
      </c>
      <c r="D1215">
        <v>0.348838729072597</v>
      </c>
      <c r="E1215">
        <v>0.26353859173398297</v>
      </c>
    </row>
    <row r="1216" spans="1:5" x14ac:dyDescent="0.2">
      <c r="A1216">
        <v>8.0936031201039992E-3</v>
      </c>
      <c r="B1216">
        <v>0.20407951437253399</v>
      </c>
      <c r="C1216">
        <v>0.16429768600390399</v>
      </c>
      <c r="D1216">
        <v>0.34889952774624</v>
      </c>
      <c r="E1216">
        <v>0.26361616118105102</v>
      </c>
    </row>
    <row r="1217" spans="1:5" x14ac:dyDescent="0.2">
      <c r="A1217">
        <v>8.1002700090003002E-3</v>
      </c>
      <c r="B1217">
        <v>0.20417258381316</v>
      </c>
      <c r="C1217">
        <v>0.16438357319810601</v>
      </c>
      <c r="D1217">
        <v>0.34896024416759702</v>
      </c>
      <c r="E1217">
        <v>0.263693728493954</v>
      </c>
    </row>
    <row r="1218" spans="1:5" x14ac:dyDescent="0.2">
      <c r="A1218">
        <v>8.1069368978965994E-3</v>
      </c>
      <c r="B1218">
        <v>0.20426565268944799</v>
      </c>
      <c r="C1218">
        <v>0.16446946067693399</v>
      </c>
      <c r="D1218">
        <v>0.34902087847445801</v>
      </c>
      <c r="E1218">
        <v>0.26377129445883402</v>
      </c>
    </row>
    <row r="1219" spans="1:5" x14ac:dyDescent="0.2">
      <c r="A1219">
        <v>8.11360378679289E-3</v>
      </c>
      <c r="B1219">
        <v>0.20435872229074301</v>
      </c>
      <c r="C1219">
        <v>0.164555348662177</v>
      </c>
      <c r="D1219">
        <v>0.34908143080461401</v>
      </c>
      <c r="E1219">
        <v>0.26384885986183798</v>
      </c>
    </row>
    <row r="1220" spans="1:5" x14ac:dyDescent="0.2">
      <c r="A1220">
        <v>8.1202706756891892E-3</v>
      </c>
      <c r="B1220">
        <v>0.20445179390639301</v>
      </c>
      <c r="C1220">
        <v>0.164641237375629</v>
      </c>
      <c r="D1220">
        <v>0.34914190129585698</v>
      </c>
      <c r="E1220">
        <v>0.26392642548910999</v>
      </c>
    </row>
    <row r="1221" spans="1:5" x14ac:dyDescent="0.2">
      <c r="A1221">
        <v>8.1269375645854902E-3</v>
      </c>
      <c r="B1221">
        <v>0.20454486882574299</v>
      </c>
      <c r="C1221">
        <v>0.16472712703907899</v>
      </c>
      <c r="D1221">
        <v>0.34920229008597797</v>
      </c>
      <c r="E1221">
        <v>0.26400399212679398</v>
      </c>
    </row>
    <row r="1222" spans="1:5" x14ac:dyDescent="0.2">
      <c r="A1222">
        <v>8.1336044534817808E-3</v>
      </c>
      <c r="B1222">
        <v>0.20463794833814</v>
      </c>
      <c r="C1222">
        <v>0.16481301787431901</v>
      </c>
      <c r="D1222">
        <v>0.34926259731276899</v>
      </c>
      <c r="E1222">
        <v>0.26408156056103399</v>
      </c>
    </row>
    <row r="1223" spans="1:5" x14ac:dyDescent="0.2">
      <c r="A1223">
        <v>8.14027134237808E-3</v>
      </c>
      <c r="B1223">
        <v>0.204731033732929</v>
      </c>
      <c r="C1223">
        <v>0.16489891010314001</v>
      </c>
      <c r="D1223">
        <v>0.34932282311402002</v>
      </c>
      <c r="E1223">
        <v>0.26415913157797499</v>
      </c>
    </row>
    <row r="1224" spans="1:5" x14ac:dyDescent="0.2">
      <c r="A1224">
        <v>8.1469382312743793E-3</v>
      </c>
      <c r="B1224">
        <v>0.20482412629945801</v>
      </c>
      <c r="C1224">
        <v>0.164984803947334</v>
      </c>
      <c r="D1224">
        <v>0.34938296762752302</v>
      </c>
      <c r="E1224">
        <v>0.26423670596376098</v>
      </c>
    </row>
    <row r="1225" spans="1:5" x14ac:dyDescent="0.2">
      <c r="A1225">
        <v>8.1536051201706698E-3</v>
      </c>
      <c r="B1225">
        <v>0.20491722732707299</v>
      </c>
      <c r="C1225">
        <v>0.165070699628692</v>
      </c>
      <c r="D1225">
        <v>0.34944303099106899</v>
      </c>
      <c r="E1225">
        <v>0.26431428450453698</v>
      </c>
    </row>
    <row r="1226" spans="1:5" x14ac:dyDescent="0.2">
      <c r="A1226">
        <v>8.1602720090669708E-3</v>
      </c>
      <c r="B1226">
        <v>0.20501033810511901</v>
      </c>
      <c r="C1226">
        <v>0.16515659736900501</v>
      </c>
      <c r="D1226">
        <v>0.34950301334244899</v>
      </c>
      <c r="E1226">
        <v>0.26439186798644798</v>
      </c>
    </row>
    <row r="1227" spans="1:5" x14ac:dyDescent="0.2">
      <c r="A1227">
        <v>8.16693889796327E-3</v>
      </c>
      <c r="B1227">
        <v>0.20510345992294299</v>
      </c>
      <c r="C1227">
        <v>0.165242497390065</v>
      </c>
      <c r="D1227">
        <v>0.34956291481945401</v>
      </c>
      <c r="E1227">
        <v>0.26446945719563703</v>
      </c>
    </row>
    <row r="1228" spans="1:5" x14ac:dyDescent="0.2">
      <c r="A1228">
        <v>8.1736057868595606E-3</v>
      </c>
      <c r="B1228">
        <v>0.20519659406989099</v>
      </c>
      <c r="C1228">
        <v>0.16532839991366199</v>
      </c>
      <c r="D1228">
        <v>0.349622735559876</v>
      </c>
      <c r="E1228">
        <v>0.26454705291824898</v>
      </c>
    </row>
    <row r="1229" spans="1:5" x14ac:dyDescent="0.2">
      <c r="A1229">
        <v>8.1802726757558598E-3</v>
      </c>
      <c r="B1229">
        <v>0.20528974183531001</v>
      </c>
      <c r="C1229">
        <v>0.165414305161589</v>
      </c>
      <c r="D1229">
        <v>0.34968247570150501</v>
      </c>
      <c r="E1229">
        <v>0.264624655940428</v>
      </c>
    </row>
    <row r="1230" spans="1:5" x14ac:dyDescent="0.2">
      <c r="A1230">
        <v>8.1869395646521608E-3</v>
      </c>
      <c r="B1230">
        <v>0.20538290450854499</v>
      </c>
      <c r="C1230">
        <v>0.165500213355636</v>
      </c>
      <c r="D1230">
        <v>0.349742135382134</v>
      </c>
      <c r="E1230">
        <v>0.26470226704832001</v>
      </c>
    </row>
    <row r="1231" spans="1:5" x14ac:dyDescent="0.2">
      <c r="A1231">
        <v>8.1936064535484496E-3</v>
      </c>
      <c r="B1231">
        <v>0.20547608337894299</v>
      </c>
      <c r="C1231">
        <v>0.16558612471759501</v>
      </c>
      <c r="D1231">
        <v>0.34980171473955302</v>
      </c>
      <c r="E1231">
        <v>0.26477988702806798</v>
      </c>
    </row>
    <row r="1232" spans="1:5" x14ac:dyDescent="0.2">
      <c r="A1232">
        <v>8.2002733424447506E-3</v>
      </c>
      <c r="B1232">
        <v>0.20556927973585101</v>
      </c>
      <c r="C1232">
        <v>0.16567203946925699</v>
      </c>
      <c r="D1232">
        <v>0.349861213911553</v>
      </c>
      <c r="E1232">
        <v>0.26485751666581703</v>
      </c>
    </row>
    <row r="1233" spans="1:5" x14ac:dyDescent="0.2">
      <c r="A1233">
        <v>8.2069402313410394E-3</v>
      </c>
      <c r="B1233">
        <v>0.20566249486861399</v>
      </c>
      <c r="C1233">
        <v>0.16575795783241301</v>
      </c>
      <c r="D1233">
        <v>0.34992063303592602</v>
      </c>
      <c r="E1233">
        <v>0.26493515674771101</v>
      </c>
    </row>
    <row r="1234" spans="1:5" x14ac:dyDescent="0.2">
      <c r="A1234">
        <v>8.2136071202373404E-3</v>
      </c>
      <c r="B1234">
        <v>0.20575573006657899</v>
      </c>
      <c r="C1234">
        <v>0.165843880028855</v>
      </c>
      <c r="D1234">
        <v>0.34997997225046301</v>
      </c>
      <c r="E1234">
        <v>0.26501280805989502</v>
      </c>
    </row>
    <row r="1235" spans="1:5" x14ac:dyDescent="0.2">
      <c r="A1235">
        <v>8.2202740091336397E-3</v>
      </c>
      <c r="B1235">
        <v>0.20584898661909201</v>
      </c>
      <c r="C1235">
        <v>0.16592980628037299</v>
      </c>
      <c r="D1235">
        <v>0.35003923169295498</v>
      </c>
      <c r="E1235">
        <v>0.26509047138851199</v>
      </c>
    </row>
    <row r="1236" spans="1:5" x14ac:dyDescent="0.2">
      <c r="A1236">
        <v>8.2269408980299406E-3</v>
      </c>
      <c r="B1236">
        <v>0.20594226581549999</v>
      </c>
      <c r="C1236">
        <v>0.16601573680876</v>
      </c>
      <c r="D1236">
        <v>0.35009841150119297</v>
      </c>
      <c r="E1236">
        <v>0.26516814751970902</v>
      </c>
    </row>
    <row r="1237" spans="1:5" x14ac:dyDescent="0.2">
      <c r="A1237">
        <v>8.2336077869262295E-3</v>
      </c>
      <c r="B1237">
        <v>0.20603556894514699</v>
      </c>
      <c r="C1237">
        <v>0.16610167183580701</v>
      </c>
      <c r="D1237">
        <v>0.350157511812969</v>
      </c>
      <c r="E1237">
        <v>0.26524583723962902</v>
      </c>
    </row>
    <row r="1238" spans="1:5" x14ac:dyDescent="0.2">
      <c r="A1238">
        <v>8.2402746758225304E-3</v>
      </c>
      <c r="B1238">
        <v>0.20612889729738201</v>
      </c>
      <c r="C1238">
        <v>0.166187611583304</v>
      </c>
      <c r="D1238">
        <v>0.35021653276607301</v>
      </c>
      <c r="E1238">
        <v>0.26532354133441599</v>
      </c>
    </row>
    <row r="1239" spans="1:5" x14ac:dyDescent="0.2">
      <c r="A1239">
        <v>8.2469415647188193E-3</v>
      </c>
      <c r="B1239">
        <v>0.20622225216154999</v>
      </c>
      <c r="C1239">
        <v>0.16627355627304299</v>
      </c>
      <c r="D1239">
        <v>0.35027547449829799</v>
      </c>
      <c r="E1239">
        <v>0.26540126059021502</v>
      </c>
    </row>
    <row r="1240" spans="1:5" x14ac:dyDescent="0.2">
      <c r="A1240">
        <v>8.2536084536151202E-3</v>
      </c>
      <c r="B1240">
        <v>0.206315634826997</v>
      </c>
      <c r="C1240">
        <v>0.16635950612681599</v>
      </c>
      <c r="D1240">
        <v>0.35033433714743301</v>
      </c>
      <c r="E1240">
        <v>0.26547899579317003</v>
      </c>
    </row>
    <row r="1241" spans="1:5" x14ac:dyDescent="0.2">
      <c r="A1241">
        <v>8.2602753425114195E-3</v>
      </c>
      <c r="B1241">
        <v>0.20640904658306899</v>
      </c>
      <c r="C1241">
        <v>0.166445461366414</v>
      </c>
      <c r="D1241">
        <v>0.350393120851271</v>
      </c>
      <c r="E1241">
        <v>0.265556747729426</v>
      </c>
    </row>
    <row r="1242" spans="1:5" x14ac:dyDescent="0.2">
      <c r="A1242">
        <v>8.26694223140771E-3</v>
      </c>
      <c r="B1242">
        <v>0.206502488719114</v>
      </c>
      <c r="C1242">
        <v>0.16653142221362699</v>
      </c>
      <c r="D1242">
        <v>0.35045182574760297</v>
      </c>
      <c r="E1242">
        <v>0.26563451718512798</v>
      </c>
    </row>
    <row r="1243" spans="1:5" x14ac:dyDescent="0.2">
      <c r="A1243">
        <v>8.2736091203040093E-3</v>
      </c>
      <c r="B1243">
        <v>0.20659596252447601</v>
      </c>
      <c r="C1243">
        <v>0.16661738889024799</v>
      </c>
      <c r="D1243">
        <v>0.35051045197421898</v>
      </c>
      <c r="E1243">
        <v>0.26571230494641901</v>
      </c>
    </row>
    <row r="1244" spans="1:5" x14ac:dyDescent="0.2">
      <c r="A1244">
        <v>8.2802760092003103E-3</v>
      </c>
      <c r="B1244">
        <v>0.20668946928850301</v>
      </c>
      <c r="C1244">
        <v>0.16670336161806701</v>
      </c>
      <c r="D1244">
        <v>0.35056899966891097</v>
      </c>
      <c r="E1244">
        <v>0.26579011179944401</v>
      </c>
    </row>
    <row r="1245" spans="1:5" x14ac:dyDescent="0.2">
      <c r="A1245">
        <v>8.2869428980966008E-3</v>
      </c>
      <c r="B1245">
        <v>0.20678301030054</v>
      </c>
      <c r="C1245">
        <v>0.16678934061887701</v>
      </c>
      <c r="D1245">
        <v>0.350627468969471</v>
      </c>
      <c r="E1245">
        <v>0.26586793853034701</v>
      </c>
    </row>
    <row r="1246" spans="1:5" x14ac:dyDescent="0.2">
      <c r="A1246">
        <v>8.2936097869929001E-3</v>
      </c>
      <c r="B1246">
        <v>0.20687658684993501</v>
      </c>
      <c r="C1246">
        <v>0.16687532611446701</v>
      </c>
      <c r="D1246">
        <v>0.35068586001368901</v>
      </c>
      <c r="E1246">
        <v>0.26594578592527401</v>
      </c>
    </row>
    <row r="1247" spans="1:5" x14ac:dyDescent="0.2">
      <c r="A1247">
        <v>8.3002766758891993E-3</v>
      </c>
      <c r="B1247">
        <v>0.20697020022603199</v>
      </c>
      <c r="C1247">
        <v>0.16696131832663</v>
      </c>
      <c r="D1247">
        <v>0.350744172939357</v>
      </c>
      <c r="E1247">
        <v>0.26602365477036799</v>
      </c>
    </row>
    <row r="1248" spans="1:5" x14ac:dyDescent="0.2">
      <c r="A1248">
        <v>8.3069435647854899E-3</v>
      </c>
      <c r="B1248">
        <v>0.20706385171817901</v>
      </c>
      <c r="C1248">
        <v>0.16704731747715701</v>
      </c>
      <c r="D1248">
        <v>0.35080240788426498</v>
      </c>
      <c r="E1248">
        <v>0.26610154585177398</v>
      </c>
    </row>
    <row r="1249" spans="1:5" x14ac:dyDescent="0.2">
      <c r="A1249">
        <v>8.3136104536817908E-3</v>
      </c>
      <c r="B1249">
        <v>0.207157542615721</v>
      </c>
      <c r="C1249">
        <v>0.16713332378783899</v>
      </c>
      <c r="D1249">
        <v>0.35086056498620599</v>
      </c>
      <c r="E1249">
        <v>0.26617945995563602</v>
      </c>
    </row>
    <row r="1250" spans="1:5" x14ac:dyDescent="0.2">
      <c r="A1250">
        <v>8.3202773425780901E-3</v>
      </c>
      <c r="B1250">
        <v>0.20725127420800599</v>
      </c>
      <c r="C1250">
        <v>0.167219337480467</v>
      </c>
      <c r="D1250">
        <v>0.35091864438296999</v>
      </c>
      <c r="E1250">
        <v>0.26625739786809899</v>
      </c>
    </row>
    <row r="1251" spans="1:5" x14ac:dyDescent="0.2">
      <c r="A1251">
        <v>8.3269442314743806E-3</v>
      </c>
      <c r="B1251">
        <v>0.20734504778437801</v>
      </c>
      <c r="C1251">
        <v>0.167305358776833</v>
      </c>
      <c r="D1251">
        <v>0.35097664621234798</v>
      </c>
      <c r="E1251">
        <v>0.26633536037530797</v>
      </c>
    </row>
    <row r="1252" spans="1:5" x14ac:dyDescent="0.2">
      <c r="A1252">
        <v>8.3336111203706799E-3</v>
      </c>
      <c r="B1252">
        <v>0.20743886463418501</v>
      </c>
      <c r="C1252">
        <v>0.16739138789872701</v>
      </c>
      <c r="D1252">
        <v>0.351034570612133</v>
      </c>
      <c r="E1252">
        <v>0.26641334826340501</v>
      </c>
    </row>
    <row r="1253" spans="1:5" x14ac:dyDescent="0.2">
      <c r="A1253">
        <v>8.3402780092669809E-3</v>
      </c>
      <c r="B1253">
        <v>0.207532726046773</v>
      </c>
      <c r="C1253">
        <v>0.167477425067943</v>
      </c>
      <c r="D1253">
        <v>0.35109241772011401</v>
      </c>
      <c r="E1253">
        <v>0.26649136231853698</v>
      </c>
    </row>
    <row r="1254" spans="1:5" x14ac:dyDescent="0.2">
      <c r="A1254">
        <v>8.3469448981632697E-3</v>
      </c>
      <c r="B1254">
        <v>0.20762663331148701</v>
      </c>
      <c r="C1254">
        <v>0.16756347050626899</v>
      </c>
      <c r="D1254">
        <v>0.35115018767408301</v>
      </c>
      <c r="E1254">
        <v>0.26656940332684798</v>
      </c>
    </row>
    <row r="1255" spans="1:5" x14ac:dyDescent="0.2">
      <c r="A1255">
        <v>8.3536117870595707E-3</v>
      </c>
      <c r="B1255">
        <v>0.20772058771767499</v>
      </c>
      <c r="C1255">
        <v>0.16764952443549899</v>
      </c>
      <c r="D1255">
        <v>0.351207880611832</v>
      </c>
      <c r="E1255">
        <v>0.26664747207448097</v>
      </c>
    </row>
    <row r="1256" spans="1:5" x14ac:dyDescent="0.2">
      <c r="A1256">
        <v>8.3602786759558699E-3</v>
      </c>
      <c r="B1256">
        <v>0.20781459055468199</v>
      </c>
      <c r="C1256">
        <v>0.167735587077423</v>
      </c>
      <c r="D1256">
        <v>0.35126549667115098</v>
      </c>
      <c r="E1256">
        <v>0.26672556934758201</v>
      </c>
    </row>
    <row r="1257" spans="1:5" x14ac:dyDescent="0.2">
      <c r="A1257">
        <v>8.3669455648521605E-3</v>
      </c>
      <c r="B1257">
        <v>0.207908643111854</v>
      </c>
      <c r="C1257">
        <v>0.167821658653832</v>
      </c>
      <c r="D1257">
        <v>0.351323035989832</v>
      </c>
      <c r="E1257">
        <v>0.26680369593229403</v>
      </c>
    </row>
    <row r="1258" spans="1:5" x14ac:dyDescent="0.2">
      <c r="A1258">
        <v>8.3736124537484597E-3</v>
      </c>
      <c r="B1258">
        <v>0.20800274667853899</v>
      </c>
      <c r="C1258">
        <v>0.16790773938651801</v>
      </c>
      <c r="D1258">
        <v>0.35138049870566701</v>
      </c>
      <c r="E1258">
        <v>0.26688185261476299</v>
      </c>
    </row>
    <row r="1259" spans="1:5" x14ac:dyDescent="0.2">
      <c r="A1259">
        <v>8.3802793426447607E-3</v>
      </c>
      <c r="B1259">
        <v>0.208096902544082</v>
      </c>
      <c r="C1259">
        <v>0.16799382949727201</v>
      </c>
      <c r="D1259">
        <v>0.35143788495644501</v>
      </c>
      <c r="E1259">
        <v>0.26696004018113201</v>
      </c>
    </row>
    <row r="1260" spans="1:5" x14ac:dyDescent="0.2">
      <c r="A1260">
        <v>8.3869462315410495E-3</v>
      </c>
      <c r="B1260">
        <v>0.208191111997829</v>
      </c>
      <c r="C1260">
        <v>0.168079929207885</v>
      </c>
      <c r="D1260">
        <v>0.35149519487995901</v>
      </c>
      <c r="E1260">
        <v>0.267038259417547</v>
      </c>
    </row>
    <row r="1261" spans="1:5" x14ac:dyDescent="0.2">
      <c r="A1261">
        <v>8.3936131204373505E-3</v>
      </c>
      <c r="B1261">
        <v>0.208285376329127</v>
      </c>
      <c r="C1261">
        <v>0.16816603874014899</v>
      </c>
      <c r="D1261">
        <v>0.35155242861399999</v>
      </c>
      <c r="E1261">
        <v>0.267116511110151</v>
      </c>
    </row>
    <row r="1262" spans="1:5" x14ac:dyDescent="0.2">
      <c r="A1262">
        <v>8.4002800093336393E-3</v>
      </c>
      <c r="B1262">
        <v>0.20837969682732299</v>
      </c>
      <c r="C1262">
        <v>0.16825215831585499</v>
      </c>
      <c r="D1262">
        <v>0.35160958629635802</v>
      </c>
      <c r="E1262">
        <v>0.267194796045089</v>
      </c>
    </row>
    <row r="1263" spans="1:5" x14ac:dyDescent="0.2">
      <c r="A1263">
        <v>8.4069468982299403E-3</v>
      </c>
      <c r="B1263">
        <v>0.208474074781761</v>
      </c>
      <c r="C1263">
        <v>0.168338288156794</v>
      </c>
      <c r="D1263">
        <v>0.35166666806482599</v>
      </c>
      <c r="E1263">
        <v>0.26727311500850598</v>
      </c>
    </row>
    <row r="1264" spans="1:5" x14ac:dyDescent="0.2">
      <c r="A1264">
        <v>8.4136137871262395E-3</v>
      </c>
      <c r="B1264">
        <v>0.20856851148178901</v>
      </c>
      <c r="C1264">
        <v>0.168424428484758</v>
      </c>
      <c r="D1264">
        <v>0.35172367405719301</v>
      </c>
      <c r="E1264">
        <v>0.26735146878654498</v>
      </c>
    </row>
    <row r="1265" spans="1:5" x14ac:dyDescent="0.2">
      <c r="A1265">
        <v>8.4202806760225405E-3</v>
      </c>
      <c r="B1265">
        <v>0.20866300821675199</v>
      </c>
      <c r="C1265">
        <v>0.168510579521537</v>
      </c>
      <c r="D1265">
        <v>0.35178060441125297</v>
      </c>
      <c r="E1265">
        <v>0.26742985816535197</v>
      </c>
    </row>
    <row r="1266" spans="1:5" x14ac:dyDescent="0.2">
      <c r="A1266">
        <v>8.4269475649188293E-3</v>
      </c>
      <c r="B1266">
        <v>0.20875756627599801</v>
      </c>
      <c r="C1266">
        <v>0.16859674148892401</v>
      </c>
      <c r="D1266">
        <v>0.35183745926479498</v>
      </c>
      <c r="E1266">
        <v>0.26750828393107001</v>
      </c>
    </row>
    <row r="1267" spans="1:5" x14ac:dyDescent="0.2">
      <c r="A1267">
        <v>8.4336144538151303E-3</v>
      </c>
      <c r="B1267">
        <v>0.208852186948872</v>
      </c>
      <c r="C1267">
        <v>0.16868291460870899</v>
      </c>
      <c r="D1267">
        <v>0.35189423875561099</v>
      </c>
      <c r="E1267">
        <v>0.26758674686984502</v>
      </c>
    </row>
    <row r="1268" spans="1:5" x14ac:dyDescent="0.2">
      <c r="A1268">
        <v>8.4402813427114191E-3</v>
      </c>
      <c r="B1268">
        <v>0.20894687152472</v>
      </c>
      <c r="C1268">
        <v>0.16876909910268401</v>
      </c>
      <c r="D1268">
        <v>0.35195094302149199</v>
      </c>
      <c r="E1268">
        <v>0.26766524776782102</v>
      </c>
    </row>
    <row r="1269" spans="1:5" x14ac:dyDescent="0.2">
      <c r="A1269">
        <v>8.4469482316077201E-3</v>
      </c>
      <c r="B1269">
        <v>0.209041621292889</v>
      </c>
      <c r="C1269">
        <v>0.16885529519264</v>
      </c>
      <c r="D1269">
        <v>0.35200757220022999</v>
      </c>
      <c r="E1269">
        <v>0.26774378741114102</v>
      </c>
    </row>
    <row r="1270" spans="1:5" x14ac:dyDescent="0.2">
      <c r="A1270">
        <v>8.4536151205040194E-3</v>
      </c>
      <c r="B1270">
        <v>0.20913643754272501</v>
      </c>
      <c r="C1270">
        <v>0.16894150310036801</v>
      </c>
      <c r="D1270">
        <v>0.35206412642961499</v>
      </c>
      <c r="E1270">
        <v>0.26782236658595099</v>
      </c>
    </row>
    <row r="1271" spans="1:5" x14ac:dyDescent="0.2">
      <c r="A1271">
        <v>8.4602820094003099E-3</v>
      </c>
      <c r="B1271">
        <v>0.20923132156357399</v>
      </c>
      <c r="C1271">
        <v>0.16902772304766001</v>
      </c>
      <c r="D1271">
        <v>0.35212060584743998</v>
      </c>
      <c r="E1271">
        <v>0.26790098607839502</v>
      </c>
    </row>
    <row r="1272" spans="1:5" x14ac:dyDescent="0.2">
      <c r="A1272">
        <v>8.4669488982966092E-3</v>
      </c>
      <c r="B1272">
        <v>0.20932627464478401</v>
      </c>
      <c r="C1272">
        <v>0.16911395525630599</v>
      </c>
      <c r="D1272">
        <v>0.35217701059149398</v>
      </c>
      <c r="E1272">
        <v>0.26797964667461699</v>
      </c>
    </row>
    <row r="1273" spans="1:5" x14ac:dyDescent="0.2">
      <c r="A1273">
        <v>8.4736157871929101E-3</v>
      </c>
      <c r="B1273">
        <v>0.20942129807569801</v>
      </c>
      <c r="C1273">
        <v>0.16920019994809901</v>
      </c>
      <c r="D1273">
        <v>0.35223334079956897</v>
      </c>
      <c r="E1273">
        <v>0.26805834916076199</v>
      </c>
    </row>
    <row r="1274" spans="1:5" x14ac:dyDescent="0.2">
      <c r="A1274">
        <v>8.4802826760892007E-3</v>
      </c>
      <c r="B1274">
        <v>0.209516393145665</v>
      </c>
      <c r="C1274">
        <v>0.16928645734483</v>
      </c>
      <c r="D1274">
        <v>0.35228959660945702</v>
      </c>
      <c r="E1274">
        <v>0.268137094322975</v>
      </c>
    </row>
    <row r="1275" spans="1:5" x14ac:dyDescent="0.2">
      <c r="A1275">
        <v>8.4869495649854999E-3</v>
      </c>
      <c r="B1275">
        <v>0.20961156114403001</v>
      </c>
      <c r="C1275">
        <v>0.16937272766828901</v>
      </c>
      <c r="D1275">
        <v>0.35234577815894902</v>
      </c>
      <c r="E1275">
        <v>0.26821588294739901</v>
      </c>
    </row>
    <row r="1276" spans="1:5" x14ac:dyDescent="0.2">
      <c r="A1276">
        <v>8.4936164538817992E-3</v>
      </c>
      <c r="B1276">
        <v>0.20970680336014</v>
      </c>
      <c r="C1276">
        <v>0.16945901114026801</v>
      </c>
      <c r="D1276">
        <v>0.35240188558583502</v>
      </c>
      <c r="E1276">
        <v>0.268294715820179</v>
      </c>
    </row>
    <row r="1277" spans="1:5" x14ac:dyDescent="0.2">
      <c r="A1277">
        <v>8.5002833427780897E-3</v>
      </c>
      <c r="B1277">
        <v>0.20980212108334101</v>
      </c>
      <c r="C1277">
        <v>0.16954530798255901</v>
      </c>
      <c r="D1277">
        <v>0.35245791902790802</v>
      </c>
      <c r="E1277">
        <v>0.26837359372746</v>
      </c>
    </row>
    <row r="1278" spans="1:5" x14ac:dyDescent="0.2">
      <c r="A1278">
        <v>8.5069502316743907E-3</v>
      </c>
      <c r="B1278">
        <v>0.20989751560297801</v>
      </c>
      <c r="C1278">
        <v>0.16963161841695301</v>
      </c>
      <c r="D1278">
        <v>0.35251387862295802</v>
      </c>
      <c r="E1278">
        <v>0.26845251745538601</v>
      </c>
    </row>
    <row r="1279" spans="1:5" x14ac:dyDescent="0.2">
      <c r="A1279">
        <v>8.51361712057069E-3</v>
      </c>
      <c r="B1279">
        <v>0.20999298820840001</v>
      </c>
      <c r="C1279">
        <v>0.16971794266524001</v>
      </c>
      <c r="D1279">
        <v>0.35256976450877597</v>
      </c>
      <c r="E1279">
        <v>0.268531487790101</v>
      </c>
    </row>
    <row r="1280" spans="1:5" x14ac:dyDescent="0.2">
      <c r="A1280">
        <v>8.5202840094669805E-3</v>
      </c>
      <c r="B1280">
        <v>0.21008854018895001</v>
      </c>
      <c r="C1280">
        <v>0.16980428094921299</v>
      </c>
      <c r="D1280">
        <v>0.35262557682315399</v>
      </c>
      <c r="E1280">
        <v>0.26861050551775101</v>
      </c>
    </row>
    <row r="1281" spans="1:5" x14ac:dyDescent="0.2">
      <c r="A1281">
        <v>8.5269508983632798E-3</v>
      </c>
      <c r="B1281">
        <v>0.210184172833977</v>
      </c>
      <c r="C1281">
        <v>0.169890633490662</v>
      </c>
      <c r="D1281">
        <v>0.352681315703884</v>
      </c>
      <c r="E1281">
        <v>0.26868957142447802</v>
      </c>
    </row>
    <row r="1282" spans="1:5" x14ac:dyDescent="0.2">
      <c r="A1282">
        <v>8.5336177872595807E-3</v>
      </c>
      <c r="B1282">
        <v>0.210279887432825</v>
      </c>
      <c r="C1282">
        <v>0.16997700051138001</v>
      </c>
      <c r="D1282">
        <v>0.35273698128875502</v>
      </c>
      <c r="E1282">
        <v>0.26876868629642903</v>
      </c>
    </row>
    <row r="1283" spans="1:5" x14ac:dyDescent="0.2">
      <c r="A1283">
        <v>8.5402846761558696E-3</v>
      </c>
      <c r="B1283">
        <v>0.21037568527484199</v>
      </c>
      <c r="C1283">
        <v>0.17006338223315601</v>
      </c>
      <c r="D1283">
        <v>0.35279257371556</v>
      </c>
      <c r="E1283">
        <v>0.268847850919746</v>
      </c>
    </row>
    <row r="1284" spans="1:5" x14ac:dyDescent="0.2">
      <c r="A1284">
        <v>8.5469515650521705E-3</v>
      </c>
      <c r="B1284">
        <v>0.210471567649374</v>
      </c>
      <c r="C1284">
        <v>0.17014977887778299</v>
      </c>
      <c r="D1284">
        <v>0.35284809312208898</v>
      </c>
      <c r="E1284">
        <v>0.26892706608057598</v>
      </c>
    </row>
    <row r="1285" spans="1:5" x14ac:dyDescent="0.2">
      <c r="A1285">
        <v>8.5536184539484698E-3</v>
      </c>
      <c r="B1285">
        <v>0.21056753584576701</v>
      </c>
      <c r="C1285">
        <v>0.17023619066705201</v>
      </c>
      <c r="D1285">
        <v>0.35290353964613402</v>
      </c>
      <c r="E1285">
        <v>0.26900633256506101</v>
      </c>
    </row>
    <row r="1286" spans="1:5" x14ac:dyDescent="0.2">
      <c r="A1286">
        <v>8.5602853428447603E-3</v>
      </c>
      <c r="B1286">
        <v>0.210663591153367</v>
      </c>
      <c r="C1286">
        <v>0.17032261782275299</v>
      </c>
      <c r="D1286">
        <v>0.35295891342548702</v>
      </c>
      <c r="E1286">
        <v>0.26908565115934702</v>
      </c>
    </row>
    <row r="1287" spans="1:5" x14ac:dyDescent="0.2">
      <c r="A1287">
        <v>8.5669522317410596E-3</v>
      </c>
      <c r="B1287">
        <v>0.21075973486152</v>
      </c>
      <c r="C1287">
        <v>0.17040906056668001</v>
      </c>
      <c r="D1287">
        <v>0.35301421459793703</v>
      </c>
      <c r="E1287">
        <v>0.26916502264957798</v>
      </c>
    </row>
    <row r="1288" spans="1:5" x14ac:dyDescent="0.2">
      <c r="A1288">
        <v>8.5736191206373605E-3</v>
      </c>
      <c r="B1288">
        <v>0.21085596825957301</v>
      </c>
      <c r="C1288">
        <v>0.170495519120621</v>
      </c>
      <c r="D1288">
        <v>0.35306944330127699</v>
      </c>
      <c r="E1288">
        <v>0.26924444782189799</v>
      </c>
    </row>
    <row r="1289" spans="1:5" x14ac:dyDescent="0.2">
      <c r="A1289">
        <v>8.5802860095336494E-3</v>
      </c>
      <c r="B1289">
        <v>0.21095229263687101</v>
      </c>
      <c r="C1289">
        <v>0.17058199370637001</v>
      </c>
      <c r="D1289">
        <v>0.35312459967329801</v>
      </c>
      <c r="E1289">
        <v>0.26932392746245198</v>
      </c>
    </row>
    <row r="1290" spans="1:5" x14ac:dyDescent="0.2">
      <c r="A1290">
        <v>8.5869528984299504E-3</v>
      </c>
      <c r="B1290">
        <v>0.21104870928276201</v>
      </c>
      <c r="C1290">
        <v>0.17066848454571701</v>
      </c>
      <c r="D1290">
        <v>0.35317968385179099</v>
      </c>
      <c r="E1290">
        <v>0.26940346235738499</v>
      </c>
    </row>
    <row r="1291" spans="1:5" x14ac:dyDescent="0.2">
      <c r="A1291">
        <v>8.5936197873262392E-3</v>
      </c>
      <c r="B1291">
        <v>0.21114521948659201</v>
      </c>
      <c r="C1291">
        <v>0.17075499186045401</v>
      </c>
      <c r="D1291">
        <v>0.35323469597454599</v>
      </c>
      <c r="E1291">
        <v>0.26948305329284</v>
      </c>
    </row>
    <row r="1292" spans="1:5" x14ac:dyDescent="0.2">
      <c r="A1292">
        <v>8.6002866762225402E-3</v>
      </c>
      <c r="B1292">
        <v>0.21124182453770601</v>
      </c>
      <c r="C1292">
        <v>0.17084151587237201</v>
      </c>
      <c r="D1292">
        <v>0.35328963617935599</v>
      </c>
      <c r="E1292">
        <v>0.269562701054962</v>
      </c>
    </row>
    <row r="1293" spans="1:5" x14ac:dyDescent="0.2">
      <c r="A1293">
        <v>8.6069535651188394E-3</v>
      </c>
      <c r="B1293">
        <v>0.211338525725451</v>
      </c>
      <c r="C1293">
        <v>0.17092805680326101</v>
      </c>
      <c r="D1293">
        <v>0.35334450460401201</v>
      </c>
      <c r="E1293">
        <v>0.26964240642989601</v>
      </c>
    </row>
    <row r="1294" spans="1:5" x14ac:dyDescent="0.2">
      <c r="A1294">
        <v>8.6136204540151404E-3</v>
      </c>
      <c r="B1294">
        <v>0.211435324339173</v>
      </c>
      <c r="C1294">
        <v>0.17101461487491401</v>
      </c>
      <c r="D1294">
        <v>0.35339930138630499</v>
      </c>
      <c r="E1294">
        <v>0.26972217020378603</v>
      </c>
    </row>
    <row r="1295" spans="1:5" x14ac:dyDescent="0.2">
      <c r="A1295">
        <v>8.6202873429114292E-3</v>
      </c>
      <c r="B1295">
        <v>0.211532221668219</v>
      </c>
      <c r="C1295">
        <v>0.17110119030912199</v>
      </c>
      <c r="D1295">
        <v>0.35345402666402498</v>
      </c>
      <c r="E1295">
        <v>0.26980199316277698</v>
      </c>
    </row>
    <row r="1296" spans="1:5" x14ac:dyDescent="0.2">
      <c r="A1296">
        <v>8.6269542318077302E-3</v>
      </c>
      <c r="B1296">
        <v>0.21162921900193399</v>
      </c>
      <c r="C1296">
        <v>0.17118778332767601</v>
      </c>
      <c r="D1296">
        <v>0.35350868057496498</v>
      </c>
      <c r="E1296">
        <v>0.26988187609301201</v>
      </c>
    </row>
    <row r="1297" spans="1:5" x14ac:dyDescent="0.2">
      <c r="A1297">
        <v>8.6336211207040207E-3</v>
      </c>
      <c r="B1297">
        <v>0.21172631762966601</v>
      </c>
      <c r="C1297">
        <v>0.171274394152368</v>
      </c>
      <c r="D1297">
        <v>0.35356326325691501</v>
      </c>
      <c r="E1297">
        <v>0.26996181978063699</v>
      </c>
    </row>
    <row r="1298" spans="1:5" x14ac:dyDescent="0.2">
      <c r="A1298">
        <v>8.64028800960032E-3</v>
      </c>
      <c r="B1298">
        <v>0.21182351884075901</v>
      </c>
      <c r="C1298">
        <v>0.17136102300498801</v>
      </c>
      <c r="D1298">
        <v>0.35361777484766599</v>
      </c>
      <c r="E1298">
        <v>0.27004182501179602</v>
      </c>
    </row>
    <row r="1299" spans="1:5" x14ac:dyDescent="0.2">
      <c r="A1299">
        <v>8.6469548984966192E-3</v>
      </c>
      <c r="B1299">
        <v>0.21192082392456199</v>
      </c>
      <c r="C1299">
        <v>0.171447670107327</v>
      </c>
      <c r="D1299">
        <v>0.35367221548501099</v>
      </c>
      <c r="E1299">
        <v>0.27012189257263203</v>
      </c>
    </row>
    <row r="1300" spans="1:5" x14ac:dyDescent="0.2">
      <c r="A1300">
        <v>8.6536217873929098E-3</v>
      </c>
      <c r="B1300">
        <v>0.21201823417041901</v>
      </c>
      <c r="C1300">
        <v>0.17153433568117901</v>
      </c>
      <c r="D1300">
        <v>0.35372658530673901</v>
      </c>
      <c r="E1300">
        <v>0.27020202324929199</v>
      </c>
    </row>
    <row r="1301" spans="1:5" x14ac:dyDescent="0.2">
      <c r="A1301">
        <v>8.6602886762892108E-3</v>
      </c>
      <c r="B1301">
        <v>0.21211575086767701</v>
      </c>
      <c r="C1301">
        <v>0.17162101994833201</v>
      </c>
      <c r="D1301">
        <v>0.35378088445064299</v>
      </c>
      <c r="E1301">
        <v>0.270282217827919</v>
      </c>
    </row>
    <row r="1302" spans="1:5" x14ac:dyDescent="0.2">
      <c r="A1302">
        <v>8.66695556518551E-3</v>
      </c>
      <c r="B1302">
        <v>0.21221337530568199</v>
      </c>
      <c r="C1302">
        <v>0.17170772313058</v>
      </c>
      <c r="D1302">
        <v>0.35383511305451298</v>
      </c>
      <c r="E1302">
        <v>0.27036247709465699</v>
      </c>
    </row>
    <row r="1303" spans="1:5" x14ac:dyDescent="0.2">
      <c r="A1303">
        <v>8.6736224540818006E-3</v>
      </c>
      <c r="B1303">
        <v>0.21231110877378101</v>
      </c>
      <c r="C1303">
        <v>0.17179444544971301</v>
      </c>
      <c r="D1303">
        <v>0.353889271256142</v>
      </c>
      <c r="E1303">
        <v>0.270442801835651</v>
      </c>
    </row>
    <row r="1304" spans="1:5" x14ac:dyDescent="0.2">
      <c r="A1304">
        <v>8.6802893429780998E-3</v>
      </c>
      <c r="B1304">
        <v>0.212408952561319</v>
      </c>
      <c r="C1304">
        <v>0.17188118712752201</v>
      </c>
      <c r="D1304">
        <v>0.35394335919331799</v>
      </c>
      <c r="E1304">
        <v>0.27052319283704601</v>
      </c>
    </row>
    <row r="1305" spans="1:5" x14ac:dyDescent="0.2">
      <c r="A1305">
        <v>8.6869562318744008E-3</v>
      </c>
      <c r="B1305">
        <v>0.21250690795764399</v>
      </c>
      <c r="C1305">
        <v>0.17196794838579799</v>
      </c>
      <c r="D1305">
        <v>0.35399737700383599</v>
      </c>
      <c r="E1305">
        <v>0.270603650884985</v>
      </c>
    </row>
    <row r="1306" spans="1:5" x14ac:dyDescent="0.2">
      <c r="A1306">
        <v>8.6936231207706896E-3</v>
      </c>
      <c r="B1306">
        <v>0.21260497625210101</v>
      </c>
      <c r="C1306">
        <v>0.17205472944633399</v>
      </c>
      <c r="D1306">
        <v>0.35405132482548402</v>
      </c>
      <c r="E1306">
        <v>0.27068417676561402</v>
      </c>
    </row>
    <row r="1307" spans="1:5" x14ac:dyDescent="0.2">
      <c r="A1307">
        <v>8.7002900096669906E-3</v>
      </c>
      <c r="B1307">
        <v>0.212703158734036</v>
      </c>
      <c r="C1307">
        <v>0.17214153053091999</v>
      </c>
      <c r="D1307">
        <v>0.35410520279605501</v>
      </c>
      <c r="E1307">
        <v>0.27076477126507598</v>
      </c>
    </row>
    <row r="1308" spans="1:5" x14ac:dyDescent="0.2">
      <c r="A1308">
        <v>8.7069568985632898E-3</v>
      </c>
      <c r="B1308">
        <v>0.21280145669279599</v>
      </c>
      <c r="C1308">
        <v>0.17222835186134799</v>
      </c>
      <c r="D1308">
        <v>0.35415901105334002</v>
      </c>
      <c r="E1308">
        <v>0.27084543516951698</v>
      </c>
    </row>
    <row r="1309" spans="1:5" x14ac:dyDescent="0.2">
      <c r="A1309">
        <v>8.7136237874595804E-3</v>
      </c>
      <c r="B1309">
        <v>0.21289987141772801</v>
      </c>
      <c r="C1309">
        <v>0.17231519365940901</v>
      </c>
      <c r="D1309">
        <v>0.35421274973513001</v>
      </c>
      <c r="E1309">
        <v>0.27092616926508101</v>
      </c>
    </row>
    <row r="1310" spans="1:5" x14ac:dyDescent="0.2">
      <c r="A1310">
        <v>8.7202906763558796E-3</v>
      </c>
      <c r="B1310">
        <v>0.212998404198177</v>
      </c>
      <c r="C1310">
        <v>0.17240205614689399</v>
      </c>
      <c r="D1310">
        <v>0.35426641897921601</v>
      </c>
      <c r="E1310">
        <v>0.27100697433791099</v>
      </c>
    </row>
    <row r="1311" spans="1:5" x14ac:dyDescent="0.2">
      <c r="A1311">
        <v>8.7269575652521806E-3</v>
      </c>
      <c r="B1311">
        <v>0.21309705632348899</v>
      </c>
      <c r="C1311">
        <v>0.17248893954559399</v>
      </c>
      <c r="D1311">
        <v>0.35432001892338899</v>
      </c>
      <c r="E1311">
        <v>0.27108785117415302</v>
      </c>
    </row>
    <row r="1312" spans="1:5" x14ac:dyDescent="0.2">
      <c r="A1312">
        <v>8.7336244541484694E-3</v>
      </c>
      <c r="B1312">
        <v>0.21319582908301099</v>
      </c>
      <c r="C1312">
        <v>0.172575844077302</v>
      </c>
      <c r="D1312">
        <v>0.35437354970544099</v>
      </c>
      <c r="E1312">
        <v>0.27116880055995102</v>
      </c>
    </row>
    <row r="1313" spans="1:5" x14ac:dyDescent="0.2">
      <c r="A1313">
        <v>8.7402913430447704E-3</v>
      </c>
      <c r="B1313">
        <v>0.21329472376608899</v>
      </c>
      <c r="C1313">
        <v>0.172662769963807</v>
      </c>
      <c r="D1313">
        <v>0.35442701146316302</v>
      </c>
      <c r="E1313">
        <v>0.27124982328144898</v>
      </c>
    </row>
    <row r="1314" spans="1:5" x14ac:dyDescent="0.2">
      <c r="A1314">
        <v>8.7469582319410696E-3</v>
      </c>
      <c r="B1314">
        <v>0.21339374166207001</v>
      </c>
      <c r="C1314">
        <v>0.17274971742690201</v>
      </c>
      <c r="D1314">
        <v>0.35448040433434602</v>
      </c>
      <c r="E1314">
        <v>0.27133092012479199</v>
      </c>
    </row>
    <row r="1315" spans="1:5" x14ac:dyDescent="0.2">
      <c r="A1315">
        <v>8.7536251208373602E-3</v>
      </c>
      <c r="B1315">
        <v>0.21349288406029901</v>
      </c>
      <c r="C1315">
        <v>0.17283668668837701</v>
      </c>
      <c r="D1315">
        <v>0.35453372845678099</v>
      </c>
      <c r="E1315">
        <v>0.27141209187612497</v>
      </c>
    </row>
    <row r="1316" spans="1:5" x14ac:dyDescent="0.2">
      <c r="A1316">
        <v>8.7602920097336594E-3</v>
      </c>
      <c r="B1316">
        <v>0.21359215225012301</v>
      </c>
      <c r="C1316">
        <v>0.172923677970025</v>
      </c>
      <c r="D1316">
        <v>0.35458698396825999</v>
      </c>
      <c r="E1316">
        <v>0.27149333932159098</v>
      </c>
    </row>
    <row r="1317" spans="1:5" x14ac:dyDescent="0.2">
      <c r="A1317">
        <v>8.7669588986299604E-3</v>
      </c>
      <c r="B1317">
        <v>0.21369154752088901</v>
      </c>
      <c r="C1317">
        <v>0.17301069149363499</v>
      </c>
      <c r="D1317">
        <v>0.35464017100657302</v>
      </c>
      <c r="E1317">
        <v>0.27157466324733498</v>
      </c>
    </row>
    <row r="1318" spans="1:5" x14ac:dyDescent="0.2">
      <c r="A1318">
        <v>8.7736257875262492E-3</v>
      </c>
      <c r="B1318">
        <v>0.21379107116194099</v>
      </c>
      <c r="C1318">
        <v>0.173097727481001</v>
      </c>
      <c r="D1318">
        <v>0.35469328970951303</v>
      </c>
      <c r="E1318">
        <v>0.27165606443950202</v>
      </c>
    </row>
    <row r="1319" spans="1:5" x14ac:dyDescent="0.2">
      <c r="A1319">
        <v>8.7802926764225502E-3</v>
      </c>
      <c r="B1319">
        <v>0.213890724462627</v>
      </c>
      <c r="C1319">
        <v>0.173184786153912</v>
      </c>
      <c r="D1319">
        <v>0.354746340214869</v>
      </c>
      <c r="E1319">
        <v>0.27173754368423603</v>
      </c>
    </row>
    <row r="1320" spans="1:5" x14ac:dyDescent="0.2">
      <c r="A1320">
        <v>8.7869595653188408E-3</v>
      </c>
      <c r="B1320">
        <v>0.213990508712294</v>
      </c>
      <c r="C1320">
        <v>0.17327186773416001</v>
      </c>
      <c r="D1320">
        <v>0.35479932266043401</v>
      </c>
      <c r="E1320">
        <v>0.27181910176768098</v>
      </c>
    </row>
    <row r="1321" spans="1:5" x14ac:dyDescent="0.2">
      <c r="A1321">
        <v>8.79362645421514E-3</v>
      </c>
      <c r="B1321">
        <v>0.21409042520028601</v>
      </c>
      <c r="C1321">
        <v>0.17335897244353701</v>
      </c>
      <c r="D1321">
        <v>0.354852237183999</v>
      </c>
      <c r="E1321">
        <v>0.27190073947598198</v>
      </c>
    </row>
    <row r="1322" spans="1:5" x14ac:dyDescent="0.2">
      <c r="A1322">
        <v>8.8002933431114393E-3</v>
      </c>
      <c r="B1322">
        <v>0.214190475215951</v>
      </c>
      <c r="C1322">
        <v>0.17344610050383399</v>
      </c>
      <c r="D1322">
        <v>0.35490508392335401</v>
      </c>
      <c r="E1322">
        <v>0.271982457595283</v>
      </c>
    </row>
    <row r="1323" spans="1:5" x14ac:dyDescent="0.2">
      <c r="A1323">
        <v>8.8069602320077402E-3</v>
      </c>
      <c r="B1323">
        <v>0.21429066004863401</v>
      </c>
      <c r="C1323">
        <v>0.17353325213684201</v>
      </c>
      <c r="D1323">
        <v>0.35495786301629101</v>
      </c>
      <c r="E1323">
        <v>0.27206425691172997</v>
      </c>
    </row>
    <row r="1324" spans="1:5" x14ac:dyDescent="0.2">
      <c r="A1324">
        <v>8.8136271209040308E-3</v>
      </c>
      <c r="B1324">
        <v>0.214390980987683</v>
      </c>
      <c r="C1324">
        <v>0.173620427564352</v>
      </c>
      <c r="D1324">
        <v>0.35501057460060198</v>
      </c>
      <c r="E1324">
        <v>0.27214613821146499</v>
      </c>
    </row>
    <row r="1325" spans="1:5" x14ac:dyDescent="0.2">
      <c r="A1325">
        <v>8.82029400980033E-3</v>
      </c>
      <c r="B1325">
        <v>0.214491439322442</v>
      </c>
      <c r="C1325">
        <v>0.17370762700815601</v>
      </c>
      <c r="D1325">
        <v>0.35506321881407699</v>
      </c>
      <c r="E1325">
        <v>0.27222810228063399</v>
      </c>
    </row>
    <row r="1326" spans="1:5" x14ac:dyDescent="0.2">
      <c r="A1326">
        <v>8.8269608986966206E-3</v>
      </c>
      <c r="B1326">
        <v>0.21459203634225901</v>
      </c>
      <c r="C1326">
        <v>0.17379485069004499</v>
      </c>
      <c r="D1326">
        <v>0.35511579579450703</v>
      </c>
      <c r="E1326">
        <v>0.27231014990538099</v>
      </c>
    </row>
    <row r="1327" spans="1:5" x14ac:dyDescent="0.2">
      <c r="A1327">
        <v>8.8336277875929198E-3</v>
      </c>
      <c r="B1327">
        <v>0.21469277333647999</v>
      </c>
      <c r="C1327">
        <v>0.17388209883180999</v>
      </c>
      <c r="D1327">
        <v>0.35516830567968499</v>
      </c>
      <c r="E1327">
        <v>0.27239228187185099</v>
      </c>
    </row>
    <row r="1328" spans="1:5" x14ac:dyDescent="0.2">
      <c r="A1328">
        <v>8.8402946764892208E-3</v>
      </c>
      <c r="B1328">
        <v>0.21479365159445099</v>
      </c>
      <c r="C1328">
        <v>0.17396937165524201</v>
      </c>
      <c r="D1328">
        <v>0.35522074860739999</v>
      </c>
      <c r="E1328">
        <v>0.27247449896618797</v>
      </c>
    </row>
    <row r="1329" spans="1:5" x14ac:dyDescent="0.2">
      <c r="A1329">
        <v>8.8469615653855097E-3</v>
      </c>
      <c r="B1329">
        <v>0.21489467240551799</v>
      </c>
      <c r="C1329">
        <v>0.17405666938213399</v>
      </c>
      <c r="D1329">
        <v>0.35527312471544498</v>
      </c>
      <c r="E1329">
        <v>0.27255680197453602</v>
      </c>
    </row>
    <row r="1330" spans="1:5" x14ac:dyDescent="0.2">
      <c r="A1330">
        <v>8.8536284542818106E-3</v>
      </c>
      <c r="B1330">
        <v>0.214995837059027</v>
      </c>
      <c r="C1330">
        <v>0.17414399223427501</v>
      </c>
      <c r="D1330">
        <v>0.35532543414161</v>
      </c>
      <c r="E1330">
        <v>0.27263919168304002</v>
      </c>
    </row>
    <row r="1331" spans="1:5" x14ac:dyDescent="0.2">
      <c r="A1331">
        <v>8.8602953431781099E-3</v>
      </c>
      <c r="B1331">
        <v>0.21509714684432599</v>
      </c>
      <c r="C1331">
        <v>0.174231340433459</v>
      </c>
      <c r="D1331">
        <v>0.355377677023687</v>
      </c>
      <c r="E1331">
        <v>0.27272166887784399</v>
      </c>
    </row>
    <row r="1332" spans="1:5" x14ac:dyDescent="0.2">
      <c r="A1332">
        <v>8.8669622320744004E-3</v>
      </c>
      <c r="B1332">
        <v>0.215198603050759</v>
      </c>
      <c r="C1332">
        <v>0.17431871420147399</v>
      </c>
      <c r="D1332">
        <v>0.35542985349946699</v>
      </c>
      <c r="E1332">
        <v>0.27280423434509299</v>
      </c>
    </row>
    <row r="1333" spans="1:5" x14ac:dyDescent="0.2">
      <c r="A1333">
        <v>8.8736291209706997E-3</v>
      </c>
      <c r="B1333">
        <v>0.21530020696767299</v>
      </c>
      <c r="C1333">
        <v>0.174406113760114</v>
      </c>
      <c r="D1333">
        <v>0.35548196370674201</v>
      </c>
      <c r="E1333">
        <v>0.27288688887093099</v>
      </c>
    </row>
    <row r="1334" spans="1:5" x14ac:dyDescent="0.2">
      <c r="A1334">
        <v>8.8802960098670006E-3</v>
      </c>
      <c r="B1334">
        <v>0.21540195988441499</v>
      </c>
      <c r="C1334">
        <v>0.17449353933117001</v>
      </c>
      <c r="D1334">
        <v>0.35553400778330102</v>
      </c>
      <c r="E1334">
        <v>0.27296963324150297</v>
      </c>
    </row>
    <row r="1335" spans="1:5" x14ac:dyDescent="0.2">
      <c r="A1335">
        <v>8.8869628987632895E-3</v>
      </c>
      <c r="B1335">
        <v>0.21550386309033101</v>
      </c>
      <c r="C1335">
        <v>0.174580991136432</v>
      </c>
      <c r="D1335">
        <v>0.35558598586693702</v>
      </c>
      <c r="E1335">
        <v>0.27305246824295298</v>
      </c>
    </row>
    <row r="1336" spans="1:5" x14ac:dyDescent="0.2">
      <c r="A1336">
        <v>8.8936297876595904E-3</v>
      </c>
      <c r="B1336">
        <v>0.21560591787476699</v>
      </c>
      <c r="C1336">
        <v>0.17466846939769101</v>
      </c>
      <c r="D1336">
        <v>0.355637898095441</v>
      </c>
      <c r="E1336">
        <v>0.273135394661425</v>
      </c>
    </row>
    <row r="1337" spans="1:5" x14ac:dyDescent="0.2">
      <c r="A1337">
        <v>8.9002966765558897E-3</v>
      </c>
      <c r="B1337">
        <v>0.215708125527069</v>
      </c>
      <c r="C1337">
        <v>0.174755974336741</v>
      </c>
      <c r="D1337">
        <v>0.35568974460660402</v>
      </c>
      <c r="E1337">
        <v>0.27321841328306401</v>
      </c>
    </row>
    <row r="1338" spans="1:5" x14ac:dyDescent="0.2">
      <c r="A1338">
        <v>8.9069635654521803E-3</v>
      </c>
      <c r="B1338">
        <v>0.21581048733658301</v>
      </c>
      <c r="C1338">
        <v>0.17484350617537001</v>
      </c>
      <c r="D1338">
        <v>0.35574152553821697</v>
      </c>
      <c r="E1338">
        <v>0.27330152489401499</v>
      </c>
    </row>
    <row r="1339" spans="1:5" x14ac:dyDescent="0.2">
      <c r="A1339">
        <v>8.9136304543484795E-3</v>
      </c>
      <c r="B1339">
        <v>0.215913004592657</v>
      </c>
      <c r="C1339">
        <v>0.17493106513537199</v>
      </c>
      <c r="D1339">
        <v>0.35579324102807203</v>
      </c>
      <c r="E1339">
        <v>0.27338473028042098</v>
      </c>
    </row>
    <row r="1340" spans="1:5" x14ac:dyDescent="0.2">
      <c r="A1340">
        <v>8.9202973432447805E-3</v>
      </c>
      <c r="B1340">
        <v>0.216015678584635</v>
      </c>
      <c r="C1340">
        <v>0.17501865143853601</v>
      </c>
      <c r="D1340">
        <v>0.35584489121395901</v>
      </c>
      <c r="E1340">
        <v>0.27346803022842697</v>
      </c>
    </row>
    <row r="1341" spans="1:5" x14ac:dyDescent="0.2">
      <c r="A1341">
        <v>8.9269642321410693E-3</v>
      </c>
      <c r="B1341">
        <v>0.21611851060186499</v>
      </c>
      <c r="C1341">
        <v>0.17510626530665499</v>
      </c>
      <c r="D1341">
        <v>0.35589647623366999</v>
      </c>
      <c r="E1341">
        <v>0.27355142552417899</v>
      </c>
    </row>
    <row r="1342" spans="1:5" x14ac:dyDescent="0.2">
      <c r="A1342">
        <v>8.9336311210373703E-3</v>
      </c>
      <c r="B1342">
        <v>0.216221501933692</v>
      </c>
      <c r="C1342">
        <v>0.17519390696152001</v>
      </c>
      <c r="D1342">
        <v>0.35594799622499601</v>
      </c>
      <c r="E1342">
        <v>0.27363491695381897</v>
      </c>
    </row>
    <row r="1343" spans="1:5" x14ac:dyDescent="0.2">
      <c r="A1343">
        <v>8.9402980099336608E-3</v>
      </c>
      <c r="B1343">
        <v>0.21632465386946301</v>
      </c>
      <c r="C1343">
        <v>0.175281576624922</v>
      </c>
      <c r="D1343">
        <v>0.35599945132572902</v>
      </c>
      <c r="E1343">
        <v>0.27371850530349301</v>
      </c>
    </row>
    <row r="1344" spans="1:5" x14ac:dyDescent="0.2">
      <c r="A1344">
        <v>8.9469648988299601E-3</v>
      </c>
      <c r="B1344">
        <v>0.21642796769852399</v>
      </c>
      <c r="C1344">
        <v>0.175369274518652</v>
      </c>
      <c r="D1344">
        <v>0.35605084167365902</v>
      </c>
      <c r="E1344">
        <v>0.27380219135934503</v>
      </c>
    </row>
    <row r="1345" spans="1:5" x14ac:dyDescent="0.2">
      <c r="A1345">
        <v>8.9536317877262593E-3</v>
      </c>
      <c r="B1345">
        <v>0.21653144471022201</v>
      </c>
      <c r="C1345">
        <v>0.175457000864502</v>
      </c>
      <c r="D1345">
        <v>0.35610216740657802</v>
      </c>
      <c r="E1345">
        <v>0.27388597590751901</v>
      </c>
    </row>
    <row r="1346" spans="1:5" x14ac:dyDescent="0.2">
      <c r="A1346">
        <v>8.9602986766225603E-3</v>
      </c>
      <c r="B1346">
        <v>0.21663508619390201</v>
      </c>
      <c r="C1346">
        <v>0.17554475588426299</v>
      </c>
      <c r="D1346">
        <v>0.35615342866227601</v>
      </c>
      <c r="E1346">
        <v>0.27396985973415999</v>
      </c>
    </row>
    <row r="1347" spans="1:5" x14ac:dyDescent="0.2">
      <c r="A1347">
        <v>8.9669655655188509E-3</v>
      </c>
      <c r="B1347">
        <v>0.21673889343891101</v>
      </c>
      <c r="C1347">
        <v>0.17563253979972601</v>
      </c>
      <c r="D1347">
        <v>0.35620462557854599</v>
      </c>
      <c r="E1347">
        <v>0.27405384362541202</v>
      </c>
    </row>
    <row r="1348" spans="1:5" x14ac:dyDescent="0.2">
      <c r="A1348">
        <v>8.9736324544151501E-3</v>
      </c>
      <c r="B1348">
        <v>0.21684286773459499</v>
      </c>
      <c r="C1348">
        <v>0.175720352832682</v>
      </c>
      <c r="D1348">
        <v>0.35625575829317901</v>
      </c>
      <c r="E1348">
        <v>0.27413792836742001</v>
      </c>
    </row>
    <row r="1349" spans="1:5" x14ac:dyDescent="0.2">
      <c r="A1349">
        <v>8.9802993433114407E-3</v>
      </c>
      <c r="B1349">
        <v>0.21694701037030101</v>
      </c>
      <c r="C1349">
        <v>0.175808195204923</v>
      </c>
      <c r="D1349">
        <v>0.35630682694396398</v>
      </c>
      <c r="E1349">
        <v>0.27422211474632902</v>
      </c>
    </row>
    <row r="1350" spans="1:5" x14ac:dyDescent="0.2">
      <c r="A1350">
        <v>8.9869662322077399E-3</v>
      </c>
      <c r="B1350">
        <v>0.21705132263537399</v>
      </c>
      <c r="C1350">
        <v>0.17589606713824099</v>
      </c>
      <c r="D1350">
        <v>0.356357831668695</v>
      </c>
      <c r="E1350">
        <v>0.27430640354828201</v>
      </c>
    </row>
    <row r="1351" spans="1:5" x14ac:dyDescent="0.2">
      <c r="A1351">
        <v>8.9936331211040409E-3</v>
      </c>
      <c r="B1351">
        <v>0.217155805819161</v>
      </c>
      <c r="C1351">
        <v>0.17598396885442499</v>
      </c>
      <c r="D1351">
        <v>0.35640877260516202</v>
      </c>
      <c r="E1351">
        <v>0.27439079555942397</v>
      </c>
    </row>
    <row r="1352" spans="1:5" x14ac:dyDescent="0.2">
      <c r="A1352">
        <v>9.0003000100003297E-3</v>
      </c>
      <c r="B1352">
        <v>0.21726046121090301</v>
      </c>
      <c r="C1352">
        <v>0.17607190057521699</v>
      </c>
      <c r="D1352">
        <v>0.35645964989115603</v>
      </c>
      <c r="E1352">
        <v>0.27447529156584699</v>
      </c>
    </row>
    <row r="1353" spans="1:5" x14ac:dyDescent="0.2">
      <c r="A1353">
        <v>9.0069668988966307E-3</v>
      </c>
      <c r="B1353">
        <v>0.21736528878073</v>
      </c>
      <c r="C1353">
        <v>0.17615986187391899</v>
      </c>
      <c r="D1353">
        <v>0.35651046366446798</v>
      </c>
      <c r="E1353">
        <v>0.27455989169432099</v>
      </c>
    </row>
    <row r="1354" spans="1:5" x14ac:dyDescent="0.2">
      <c r="A1354">
        <v>9.0136337877929299E-3</v>
      </c>
      <c r="B1354">
        <v>0.21747028388730499</v>
      </c>
      <c r="C1354">
        <v>0.17624785005697199</v>
      </c>
      <c r="D1354">
        <v>0.35656121406288999</v>
      </c>
      <c r="E1354">
        <v>0.27464459376670097</v>
      </c>
    </row>
    <row r="1355" spans="1:5" x14ac:dyDescent="0.2">
      <c r="A1355">
        <v>9.0203006766892205E-3</v>
      </c>
      <c r="B1355">
        <v>0.21757544088216699</v>
      </c>
      <c r="C1355">
        <v>0.17633586193574299</v>
      </c>
      <c r="D1355">
        <v>0.35661190122421299</v>
      </c>
      <c r="E1355">
        <v>0.27472939510145999</v>
      </c>
    </row>
    <row r="1356" spans="1:5" x14ac:dyDescent="0.2">
      <c r="A1356">
        <v>9.0269675655855197E-3</v>
      </c>
      <c r="B1356">
        <v>0.217680754116858</v>
      </c>
      <c r="C1356">
        <v>0.17642389432160399</v>
      </c>
      <c r="D1356">
        <v>0.35666252528622799</v>
      </c>
      <c r="E1356">
        <v>0.274814293017071</v>
      </c>
    </row>
    <row r="1357" spans="1:5" x14ac:dyDescent="0.2">
      <c r="A1357">
        <v>9.0336344544818207E-3</v>
      </c>
      <c r="B1357">
        <v>0.21778621794292</v>
      </c>
      <c r="C1357">
        <v>0.17651194402592199</v>
      </c>
      <c r="D1357">
        <v>0.356713086386727</v>
      </c>
      <c r="E1357">
        <v>0.27489928483200599</v>
      </c>
    </row>
    <row r="1358" spans="1:5" x14ac:dyDescent="0.2">
      <c r="A1358">
        <v>9.0403013433781095E-3</v>
      </c>
      <c r="B1358">
        <v>0.217891826711893</v>
      </c>
      <c r="C1358">
        <v>0.17660000786006799</v>
      </c>
      <c r="D1358">
        <v>0.3567635846635</v>
      </c>
      <c r="E1358">
        <v>0.27498436786473801</v>
      </c>
    </row>
    <row r="1359" spans="1:5" x14ac:dyDescent="0.2">
      <c r="A1359">
        <v>9.0469682322744105E-3</v>
      </c>
      <c r="B1359">
        <v>0.21799757477532</v>
      </c>
      <c r="C1359">
        <v>0.17668808263541</v>
      </c>
      <c r="D1359">
        <v>0.356814020254338</v>
      </c>
      <c r="E1359">
        <v>0.27506953943374102</v>
      </c>
    </row>
    <row r="1360" spans="1:5" x14ac:dyDescent="0.2">
      <c r="A1360">
        <v>9.0536351211707097E-3</v>
      </c>
      <c r="B1360">
        <v>0.218103456484742</v>
      </c>
      <c r="C1360">
        <v>0.17677616516331701</v>
      </c>
      <c r="D1360">
        <v>0.35686439329703401</v>
      </c>
      <c r="E1360">
        <v>0.27515479685748701</v>
      </c>
    </row>
    <row r="1361" spans="1:5" x14ac:dyDescent="0.2">
      <c r="A1361">
        <v>9.0603020100670003E-3</v>
      </c>
      <c r="B1361">
        <v>0.21820946619169901</v>
      </c>
      <c r="C1361">
        <v>0.176864252255159</v>
      </c>
      <c r="D1361">
        <v>0.35691470392937802</v>
      </c>
      <c r="E1361">
        <v>0.27524013745444897</v>
      </c>
    </row>
    <row r="1362" spans="1:5" x14ac:dyDescent="0.2">
      <c r="A1362">
        <v>9.0669688989632995E-3</v>
      </c>
      <c r="B1362">
        <v>0.218315598247734</v>
      </c>
      <c r="C1362">
        <v>0.17695234072230501</v>
      </c>
      <c r="D1362">
        <v>0.35696495228916097</v>
      </c>
      <c r="E1362">
        <v>0.27532555854309998</v>
      </c>
    </row>
    <row r="1363" spans="1:5" x14ac:dyDescent="0.2">
      <c r="A1363">
        <v>9.0736357878596005E-3</v>
      </c>
      <c r="B1363">
        <v>0.21842184700438699</v>
      </c>
      <c r="C1363">
        <v>0.17704042737612399</v>
      </c>
      <c r="D1363">
        <v>0.35701513851417399</v>
      </c>
      <c r="E1363">
        <v>0.27541105744191402</v>
      </c>
    </row>
    <row r="1364" spans="1:5" x14ac:dyDescent="0.2">
      <c r="A1364">
        <v>9.0803026767558893E-3</v>
      </c>
      <c r="B1364">
        <v>0.21852820681320001</v>
      </c>
      <c r="C1364">
        <v>0.17712850902798499</v>
      </c>
      <c r="D1364">
        <v>0.35706526274221001</v>
      </c>
      <c r="E1364">
        <v>0.27549663146936298</v>
      </c>
    </row>
    <row r="1365" spans="1:5" x14ac:dyDescent="0.2">
      <c r="A1365">
        <v>9.0869695656521903E-3</v>
      </c>
      <c r="B1365">
        <v>0.21863467202571499</v>
      </c>
      <c r="C1365">
        <v>0.17721658248925801</v>
      </c>
      <c r="D1365">
        <v>0.35711532511105898</v>
      </c>
      <c r="E1365">
        <v>0.27558227794391998</v>
      </c>
    </row>
    <row r="1366" spans="1:5" x14ac:dyDescent="0.2">
      <c r="A1366">
        <v>9.0936364545484896E-3</v>
      </c>
      <c r="B1366">
        <v>0.218741236993472</v>
      </c>
      <c r="C1366">
        <v>0.17730464457131201</v>
      </c>
      <c r="D1366">
        <v>0.35716532575851201</v>
      </c>
      <c r="E1366">
        <v>0.27566799418405802</v>
      </c>
    </row>
    <row r="1367" spans="1:5" x14ac:dyDescent="0.2">
      <c r="A1367">
        <v>9.1003033434447801E-3</v>
      </c>
      <c r="B1367">
        <v>0.218847896068013</v>
      </c>
      <c r="C1367">
        <v>0.177392692085516</v>
      </c>
      <c r="D1367">
        <v>0.35721526482235999</v>
      </c>
      <c r="E1367">
        <v>0.27575377750824898</v>
      </c>
    </row>
    <row r="1368" spans="1:5" x14ac:dyDescent="0.2">
      <c r="A1368">
        <v>9.1069702323410794E-3</v>
      </c>
      <c r="B1368">
        <v>0.21895464360087899</v>
      </c>
      <c r="C1368">
        <v>0.17748072184323899</v>
      </c>
      <c r="D1368">
        <v>0.35726514244039498</v>
      </c>
      <c r="E1368">
        <v>0.27583962523496802</v>
      </c>
    </row>
    <row r="1369" spans="1:5" x14ac:dyDescent="0.2">
      <c r="A1369">
        <v>9.1136371212373803E-3</v>
      </c>
      <c r="B1369">
        <v>0.219061473943612</v>
      </c>
      <c r="C1369">
        <v>0.17756873065585099</v>
      </c>
      <c r="D1369">
        <v>0.35731495875040797</v>
      </c>
      <c r="E1369">
        <v>0.27592553468268599</v>
      </c>
    </row>
    <row r="1370" spans="1:5" x14ac:dyDescent="0.2">
      <c r="A1370">
        <v>9.1203040101336692E-3</v>
      </c>
      <c r="B1370">
        <v>0.219168381447753</v>
      </c>
      <c r="C1370">
        <v>0.17765671533471999</v>
      </c>
      <c r="D1370">
        <v>0.35736471389018998</v>
      </c>
      <c r="E1370">
        <v>0.27601150316987799</v>
      </c>
    </row>
    <row r="1371" spans="1:5" x14ac:dyDescent="0.2">
      <c r="A1371">
        <v>9.1269708990299701E-3</v>
      </c>
      <c r="B1371">
        <v>0.219275360464844</v>
      </c>
      <c r="C1371">
        <v>0.17774467269121599</v>
      </c>
      <c r="D1371">
        <v>0.35741440799753199</v>
      </c>
      <c r="E1371">
        <v>0.27609752801501503</v>
      </c>
    </row>
    <row r="1372" spans="1:5" x14ac:dyDescent="0.2">
      <c r="A1372">
        <v>9.1336377879262607E-3</v>
      </c>
      <c r="B1372">
        <v>0.219382405346425</v>
      </c>
      <c r="C1372">
        <v>0.17783259953670799</v>
      </c>
      <c r="D1372">
        <v>0.35746404121022601</v>
      </c>
      <c r="E1372">
        <v>0.27618360653656998</v>
      </c>
    </row>
    <row r="1373" spans="1:5" x14ac:dyDescent="0.2">
      <c r="A1373">
        <v>9.1403046768225599E-3</v>
      </c>
      <c r="B1373">
        <v>0.219489510444038</v>
      </c>
      <c r="C1373">
        <v>0.17792049268256499</v>
      </c>
      <c r="D1373">
        <v>0.35751361366606299</v>
      </c>
      <c r="E1373">
        <v>0.27626973605301702</v>
      </c>
    </row>
    <row r="1374" spans="1:5" x14ac:dyDescent="0.2">
      <c r="A1374">
        <v>9.1469715657188592E-3</v>
      </c>
      <c r="B1374">
        <v>0.21959667010922501</v>
      </c>
      <c r="C1374">
        <v>0.17800834894015699</v>
      </c>
      <c r="D1374">
        <v>0.35756312550283398</v>
      </c>
      <c r="E1374">
        <v>0.27635591388282899</v>
      </c>
    </row>
    <row r="1375" spans="1:5" x14ac:dyDescent="0.2">
      <c r="A1375">
        <v>9.1536384546151497E-3</v>
      </c>
      <c r="B1375">
        <v>0.21970387869352601</v>
      </c>
      <c r="C1375">
        <v>0.178096165120853</v>
      </c>
      <c r="D1375">
        <v>0.35761257685832898</v>
      </c>
      <c r="E1375">
        <v>0.27644213734447798</v>
      </c>
    </row>
    <row r="1376" spans="1:5" x14ac:dyDescent="0.2">
      <c r="A1376">
        <v>9.1603053435114507E-3</v>
      </c>
      <c r="B1376">
        <v>0.219811130548483</v>
      </c>
      <c r="C1376">
        <v>0.178183938036022</v>
      </c>
      <c r="D1376">
        <v>0.35766196787034199</v>
      </c>
      <c r="E1376">
        <v>0.276528403756438</v>
      </c>
    </row>
    <row r="1377" spans="1:5" x14ac:dyDescent="0.2">
      <c r="A1377">
        <v>9.16697223240775E-3</v>
      </c>
      <c r="B1377">
        <v>0.219918420025638</v>
      </c>
      <c r="C1377">
        <v>0.17827166449703299</v>
      </c>
      <c r="D1377">
        <v>0.35771129867666102</v>
      </c>
      <c r="E1377">
        <v>0.276614710437181</v>
      </c>
    </row>
    <row r="1378" spans="1:5" x14ac:dyDescent="0.2">
      <c r="A1378">
        <v>9.1736391213040405E-3</v>
      </c>
      <c r="B1378">
        <v>0.22002574147653101</v>
      </c>
      <c r="C1378">
        <v>0.17835934131525499</v>
      </c>
      <c r="D1378">
        <v>0.35776056941508</v>
      </c>
      <c r="E1378">
        <v>0.27670105470518003</v>
      </c>
    </row>
    <row r="1379" spans="1:5" x14ac:dyDescent="0.2">
      <c r="A1379">
        <v>9.1803060102003398E-3</v>
      </c>
      <c r="B1379">
        <v>0.220133089252705</v>
      </c>
      <c r="C1379">
        <v>0.178446965302058</v>
      </c>
      <c r="D1379">
        <v>0.357809780223389</v>
      </c>
      <c r="E1379">
        <v>0.27678743387890897</v>
      </c>
    </row>
    <row r="1380" spans="1:5" x14ac:dyDescent="0.2">
      <c r="A1380">
        <v>9.1869728990966407E-3</v>
      </c>
      <c r="B1380">
        <v>0.2202404577057</v>
      </c>
      <c r="C1380">
        <v>0.17853453326881</v>
      </c>
      <c r="D1380">
        <v>0.35785893123937901</v>
      </c>
      <c r="E1380">
        <v>0.27687384527684</v>
      </c>
    </row>
    <row r="1381" spans="1:5" x14ac:dyDescent="0.2">
      <c r="A1381">
        <v>9.1936397879929296E-3</v>
      </c>
      <c r="B1381">
        <v>0.220347841187057</v>
      </c>
      <c r="C1381">
        <v>0.17862204202688201</v>
      </c>
      <c r="D1381">
        <v>0.35790802260084098</v>
      </c>
      <c r="E1381">
        <v>0.27696028621744601</v>
      </c>
    </row>
    <row r="1382" spans="1:5" x14ac:dyDescent="0.2">
      <c r="A1382">
        <v>9.2003066768892305E-3</v>
      </c>
      <c r="B1382">
        <v>0.22045523404831899</v>
      </c>
      <c r="C1382">
        <v>0.178709488387642</v>
      </c>
      <c r="D1382">
        <v>0.35795705444556702</v>
      </c>
      <c r="E1382">
        <v>0.27704675401919998</v>
      </c>
    </row>
    <row r="1383" spans="1:5" x14ac:dyDescent="0.2">
      <c r="A1383">
        <v>9.2069735657855298E-3</v>
      </c>
      <c r="B1383">
        <v>0.22056263064102599</v>
      </c>
      <c r="C1383">
        <v>0.17879686916245899</v>
      </c>
      <c r="D1383">
        <v>0.35800602691134797</v>
      </c>
      <c r="E1383">
        <v>0.27713324600057498</v>
      </c>
    </row>
    <row r="1384" spans="1:5" x14ac:dyDescent="0.2">
      <c r="A1384">
        <v>9.2136404546818203E-3</v>
      </c>
      <c r="B1384">
        <v>0.22067002531672</v>
      </c>
      <c r="C1384">
        <v>0.17888418116270299</v>
      </c>
      <c r="D1384">
        <v>0.358054940135975</v>
      </c>
      <c r="E1384">
        <v>0.27721975948004401</v>
      </c>
    </row>
    <row r="1385" spans="1:5" x14ac:dyDescent="0.2">
      <c r="A1385">
        <v>9.2203073435781196E-3</v>
      </c>
      <c r="B1385">
        <v>0.22077741242694299</v>
      </c>
      <c r="C1385">
        <v>0.17897142119974299</v>
      </c>
      <c r="D1385">
        <v>0.35810379425723998</v>
      </c>
      <c r="E1385">
        <v>0.27730629177608002</v>
      </c>
    </row>
    <row r="1386" spans="1:5" x14ac:dyDescent="0.2">
      <c r="A1386">
        <v>9.2269742324744206E-3</v>
      </c>
      <c r="B1386">
        <v>0.22088478632323399</v>
      </c>
      <c r="C1386">
        <v>0.17905858608494801</v>
      </c>
      <c r="D1386">
        <v>0.35815258941293299</v>
      </c>
      <c r="E1386">
        <v>0.27739284020715599</v>
      </c>
    </row>
    <row r="1387" spans="1:5" x14ac:dyDescent="0.2">
      <c r="A1387">
        <v>9.2336411213707094E-3</v>
      </c>
      <c r="B1387">
        <v>0.22099214135713699</v>
      </c>
      <c r="C1387">
        <v>0.179145672629687</v>
      </c>
      <c r="D1387">
        <v>0.35820132574084601</v>
      </c>
      <c r="E1387">
        <v>0.27747940209174399</v>
      </c>
    </row>
    <row r="1388" spans="1:5" x14ac:dyDescent="0.2">
      <c r="A1388">
        <v>9.2403080102670104E-3</v>
      </c>
      <c r="B1388">
        <v>0.221099471880191</v>
      </c>
      <c r="C1388">
        <v>0.17923267764532999</v>
      </c>
      <c r="D1388">
        <v>0.35825000337877</v>
      </c>
      <c r="E1388">
        <v>0.27756597474831901</v>
      </c>
    </row>
    <row r="1389" spans="1:5" x14ac:dyDescent="0.2">
      <c r="A1389">
        <v>9.2469748991633096E-3</v>
      </c>
      <c r="B1389">
        <v>0.221206772243939</v>
      </c>
      <c r="C1389">
        <v>0.17931959794324501</v>
      </c>
      <c r="D1389">
        <v>0.35829862246449601</v>
      </c>
      <c r="E1389">
        <v>0.277652555495352</v>
      </c>
    </row>
    <row r="1390" spans="1:5" x14ac:dyDescent="0.2">
      <c r="A1390">
        <v>9.2536417880596002E-3</v>
      </c>
      <c r="B1390">
        <v>0.22131403679992201</v>
      </c>
      <c r="C1390">
        <v>0.179406430334803</v>
      </c>
      <c r="D1390">
        <v>0.35834718313581498</v>
      </c>
      <c r="E1390">
        <v>0.27773914165131702</v>
      </c>
    </row>
    <row r="1391" spans="1:5" x14ac:dyDescent="0.2">
      <c r="A1391">
        <v>9.2603086769558994E-3</v>
      </c>
      <c r="B1391">
        <v>0.221421259899682</v>
      </c>
      <c r="C1391">
        <v>0.17949317163137099</v>
      </c>
      <c r="D1391">
        <v>0.35839568553051898</v>
      </c>
      <c r="E1391">
        <v>0.27782573053468601</v>
      </c>
    </row>
    <row r="1392" spans="1:5" x14ac:dyDescent="0.2">
      <c r="A1392">
        <v>9.2669755658522004E-3</v>
      </c>
      <c r="B1392">
        <v>0.22152843589475801</v>
      </c>
      <c r="C1392">
        <v>0.17957981864431999</v>
      </c>
      <c r="D1392">
        <v>0.358444129786399</v>
      </c>
      <c r="E1392">
        <v>0.27791231946393302</v>
      </c>
    </row>
    <row r="1393" spans="1:5" x14ac:dyDescent="0.2">
      <c r="A1393">
        <v>9.2736424547484892E-3</v>
      </c>
      <c r="B1393">
        <v>0.221635559136694</v>
      </c>
      <c r="C1393">
        <v>0.17966636818501899</v>
      </c>
      <c r="D1393">
        <v>0.35849251604124599</v>
      </c>
      <c r="E1393">
        <v>0.277998905757531</v>
      </c>
    </row>
    <row r="1394" spans="1:5" x14ac:dyDescent="0.2">
      <c r="A1394">
        <v>9.2803093436447902E-3</v>
      </c>
      <c r="B1394">
        <v>0.22174262397703001</v>
      </c>
      <c r="C1394">
        <v>0.17975281706483601</v>
      </c>
      <c r="D1394">
        <v>0.358540844432851</v>
      </c>
      <c r="E1394">
        <v>0.278085486733952</v>
      </c>
    </row>
    <row r="1395" spans="1:5" x14ac:dyDescent="0.2">
      <c r="A1395">
        <v>9.2869762325410894E-3</v>
      </c>
      <c r="B1395">
        <v>0.22184962476730699</v>
      </c>
      <c r="C1395">
        <v>0.179839162095142</v>
      </c>
      <c r="D1395">
        <v>0.35858911509900598</v>
      </c>
      <c r="E1395">
        <v>0.27817205971166897</v>
      </c>
    </row>
    <row r="1396" spans="1:5" x14ac:dyDescent="0.2">
      <c r="A1396">
        <v>9.29364312143738E-3</v>
      </c>
      <c r="B1396">
        <v>0.22195655585906701</v>
      </c>
      <c r="C1396">
        <v>0.17992540008730501</v>
      </c>
      <c r="D1396">
        <v>0.35863732817750099</v>
      </c>
      <c r="E1396">
        <v>0.27825862200915502</v>
      </c>
    </row>
    <row r="1397" spans="1:5" x14ac:dyDescent="0.2">
      <c r="A1397">
        <v>9.3003100103336792E-3</v>
      </c>
      <c r="B1397">
        <v>0.22206341160385201</v>
      </c>
      <c r="C1397">
        <v>0.180011527852694</v>
      </c>
      <c r="D1397">
        <v>0.35868548380612802</v>
      </c>
      <c r="E1397">
        <v>0.27834517094488398</v>
      </c>
    </row>
    <row r="1398" spans="1:5" x14ac:dyDescent="0.2">
      <c r="A1398">
        <v>9.3069768992299698E-3</v>
      </c>
      <c r="B1398">
        <v>0.22217018635320199</v>
      </c>
      <c r="C1398">
        <v>0.18009754220267901</v>
      </c>
      <c r="D1398">
        <v>0.35873358212267897</v>
      </c>
      <c r="E1398">
        <v>0.27843170383732802</v>
      </c>
    </row>
    <row r="1399" spans="1:5" x14ac:dyDescent="0.2">
      <c r="A1399">
        <v>9.3136437881262708E-3</v>
      </c>
      <c r="B1399">
        <v>0.22227687445865901</v>
      </c>
      <c r="C1399">
        <v>0.18018343994862901</v>
      </c>
      <c r="D1399">
        <v>0.35878162326494401</v>
      </c>
      <c r="E1399">
        <v>0.27851821800496002</v>
      </c>
    </row>
    <row r="1400" spans="1:5" x14ac:dyDescent="0.2">
      <c r="A1400">
        <v>9.32031067702257E-3</v>
      </c>
      <c r="B1400">
        <v>0.222383470271764</v>
      </c>
      <c r="C1400">
        <v>0.180269217901912</v>
      </c>
      <c r="D1400">
        <v>0.35882960737071401</v>
      </c>
      <c r="E1400">
        <v>0.27860471076625298</v>
      </c>
    </row>
    <row r="1401" spans="1:5" x14ac:dyDescent="0.2">
      <c r="A1401">
        <v>9.3269775659188606E-3</v>
      </c>
      <c r="B1401">
        <v>0.222489968144059</v>
      </c>
      <c r="C1401">
        <v>0.18035487287390001</v>
      </c>
      <c r="D1401">
        <v>0.35887753457778099</v>
      </c>
      <c r="E1401">
        <v>0.27869117943968102</v>
      </c>
    </row>
    <row r="1402" spans="1:5" x14ac:dyDescent="0.2">
      <c r="A1402">
        <v>9.3336444548151598E-3</v>
      </c>
      <c r="B1402">
        <v>0.222596362427085</v>
      </c>
      <c r="C1402">
        <v>0.18044040167595901</v>
      </c>
      <c r="D1402">
        <v>0.35892540502393599</v>
      </c>
      <c r="E1402">
        <v>0.27877762134371498</v>
      </c>
    </row>
    <row r="1403" spans="1:5" x14ac:dyDescent="0.2">
      <c r="A1403">
        <v>9.3403113437114608E-3</v>
      </c>
      <c r="B1403">
        <v>0.222702647472383</v>
      </c>
      <c r="C1403">
        <v>0.18052580111946101</v>
      </c>
      <c r="D1403">
        <v>0.35897321884696998</v>
      </c>
      <c r="E1403">
        <v>0.278864033796829</v>
      </c>
    </row>
    <row r="1404" spans="1:5" x14ac:dyDescent="0.2">
      <c r="A1404">
        <v>9.3469782326077496E-3</v>
      </c>
      <c r="B1404">
        <v>0.22280881763149499</v>
      </c>
      <c r="C1404">
        <v>0.18061106801577301</v>
      </c>
      <c r="D1404">
        <v>0.35902097618467499</v>
      </c>
      <c r="E1404">
        <v>0.27895041411749599</v>
      </c>
    </row>
    <row r="1405" spans="1:5" x14ac:dyDescent="0.2">
      <c r="A1405">
        <v>9.3536451215040506E-3</v>
      </c>
      <c r="B1405">
        <v>0.22291486725596099</v>
      </c>
      <c r="C1405">
        <v>0.180696199176266</v>
      </c>
      <c r="D1405">
        <v>0.35906867717484098</v>
      </c>
      <c r="E1405">
        <v>0.279036759624189</v>
      </c>
    </row>
    <row r="1406" spans="1:5" x14ac:dyDescent="0.2">
      <c r="A1406">
        <v>9.3603120104003498E-3</v>
      </c>
      <c r="B1406">
        <v>0.223020790697325</v>
      </c>
      <c r="C1406">
        <v>0.180781191412308</v>
      </c>
      <c r="D1406">
        <v>0.359116321955261</v>
      </c>
      <c r="E1406">
        <v>0.27912306763537997</v>
      </c>
    </row>
    <row r="1407" spans="1:5" x14ac:dyDescent="0.2">
      <c r="A1407">
        <v>9.3669788992966404E-3</v>
      </c>
      <c r="B1407">
        <v>0.22312658230712501</v>
      </c>
      <c r="C1407">
        <v>0.180866041535269</v>
      </c>
      <c r="D1407">
        <v>0.359163910663724</v>
      </c>
      <c r="E1407">
        <v>0.27920933546954402</v>
      </c>
    </row>
    <row r="1408" spans="1:5" x14ac:dyDescent="0.2">
      <c r="A1408">
        <v>9.3736457881929396E-3</v>
      </c>
      <c r="B1408">
        <v>0.22323223643690501</v>
      </c>
      <c r="C1408">
        <v>0.18095074635651701</v>
      </c>
      <c r="D1408">
        <v>0.35921144343802303</v>
      </c>
      <c r="E1408">
        <v>0.27929556044515103</v>
      </c>
    </row>
    <row r="1409" spans="1:5" x14ac:dyDescent="0.2">
      <c r="A1409">
        <v>9.3803126770892406E-3</v>
      </c>
      <c r="B1409">
        <v>0.223337747438205</v>
      </c>
      <c r="C1409">
        <v>0.18103530268742199</v>
      </c>
      <c r="D1409">
        <v>0.35925892041594798</v>
      </c>
      <c r="E1409">
        <v>0.27938173988067699</v>
      </c>
    </row>
    <row r="1410" spans="1:5" x14ac:dyDescent="0.2">
      <c r="A1410">
        <v>9.3869795659855294E-3</v>
      </c>
      <c r="B1410">
        <v>0.223443109662567</v>
      </c>
      <c r="C1410">
        <v>0.18111970733935401</v>
      </c>
      <c r="D1410">
        <v>0.35930634173529002</v>
      </c>
      <c r="E1410">
        <v>0.27946787109459298</v>
      </c>
    </row>
    <row r="1411" spans="1:5" x14ac:dyDescent="0.2">
      <c r="A1411">
        <v>9.3936464548818304E-3</v>
      </c>
      <c r="B1411">
        <v>0.223548317461532</v>
      </c>
      <c r="C1411">
        <v>0.18120395712368101</v>
      </c>
      <c r="D1411">
        <v>0.35935370753384199</v>
      </c>
      <c r="E1411">
        <v>0.27955395140537198</v>
      </c>
    </row>
    <row r="1412" spans="1:5" x14ac:dyDescent="0.2">
      <c r="A1412">
        <v>9.4003133437781296E-3</v>
      </c>
      <c r="B1412">
        <v>0.223653365186641</v>
      </c>
      <c r="C1412">
        <v>0.18128804885177299</v>
      </c>
      <c r="D1412">
        <v>0.359401017949394</v>
      </c>
      <c r="E1412">
        <v>0.279639978131488</v>
      </c>
    </row>
    <row r="1413" spans="1:5" x14ac:dyDescent="0.2">
      <c r="A1413">
        <v>9.4069802326744202E-3</v>
      </c>
      <c r="B1413">
        <v>0.22375824718943599</v>
      </c>
      <c r="C1413">
        <v>0.18137197933499899</v>
      </c>
      <c r="D1413">
        <v>0.35944827311973698</v>
      </c>
      <c r="E1413">
        <v>0.27972594859141398</v>
      </c>
    </row>
    <row r="1414" spans="1:5" x14ac:dyDescent="0.2">
      <c r="A1414">
        <v>9.4136471215707195E-3</v>
      </c>
      <c r="B1414">
        <v>0.22386295782145799</v>
      </c>
      <c r="C1414">
        <v>0.181455745384728</v>
      </c>
      <c r="D1414">
        <v>0.35949547318266301</v>
      </c>
      <c r="E1414">
        <v>0.27981186010362102</v>
      </c>
    </row>
    <row r="1415" spans="1:5" x14ac:dyDescent="0.2">
      <c r="A1415">
        <v>9.4203140104670204E-3</v>
      </c>
      <c r="B1415">
        <v>0.22396749143424799</v>
      </c>
      <c r="C1415">
        <v>0.181539343812329</v>
      </c>
      <c r="D1415">
        <v>0.35954261827596201</v>
      </c>
      <c r="E1415">
        <v>0.27989770998658398</v>
      </c>
    </row>
    <row r="1416" spans="1:5" x14ac:dyDescent="0.2">
      <c r="A1416">
        <v>9.4269808993633093E-3</v>
      </c>
      <c r="B1416">
        <v>0.22407184237934799</v>
      </c>
      <c r="C1416">
        <v>0.18162277142917199</v>
      </c>
      <c r="D1416">
        <v>0.359589708537427</v>
      </c>
      <c r="E1416">
        <v>0.279983495558775</v>
      </c>
    </row>
    <row r="1417" spans="1:5" x14ac:dyDescent="0.2">
      <c r="A1417">
        <v>9.4336477882596102E-3</v>
      </c>
      <c r="B1417">
        <v>0.22417600500830001</v>
      </c>
      <c r="C1417">
        <v>0.181706025046626</v>
      </c>
      <c r="D1417">
        <v>0.35963674410484803</v>
      </c>
      <c r="E1417">
        <v>0.28006921413866698</v>
      </c>
    </row>
    <row r="1418" spans="1:5" x14ac:dyDescent="0.2">
      <c r="A1418">
        <v>9.4403146771559095E-3</v>
      </c>
      <c r="B1418">
        <v>0.22427997367264299</v>
      </c>
      <c r="C1418">
        <v>0.18178910147605901</v>
      </c>
      <c r="D1418">
        <v>0.35968372511601598</v>
      </c>
      <c r="E1418">
        <v>0.28015486304473303</v>
      </c>
    </row>
    <row r="1419" spans="1:5" x14ac:dyDescent="0.2">
      <c r="A1419">
        <v>9.4469815660522E-3</v>
      </c>
      <c r="B1419">
        <v>0.224383742723921</v>
      </c>
      <c r="C1419">
        <v>0.18187199752884201</v>
      </c>
      <c r="D1419">
        <v>0.35973065170872298</v>
      </c>
      <c r="E1419">
        <v>0.28024043959544698</v>
      </c>
    </row>
    <row r="1420" spans="1:5" x14ac:dyDescent="0.2">
      <c r="A1420">
        <v>9.4536484549484993E-3</v>
      </c>
      <c r="B1420">
        <v>0.22448730651367299</v>
      </c>
      <c r="C1420">
        <v>0.181954710016343</v>
      </c>
      <c r="D1420">
        <v>0.35977752402075902</v>
      </c>
      <c r="E1420">
        <v>0.28032594110928</v>
      </c>
    </row>
    <row r="1421" spans="1:5" x14ac:dyDescent="0.2">
      <c r="A1421">
        <v>9.4603153438448002E-3</v>
      </c>
      <c r="B1421">
        <v>0.224590659393442</v>
      </c>
      <c r="C1421">
        <v>0.182037235749932</v>
      </c>
      <c r="D1421">
        <v>0.35982434218991699</v>
      </c>
      <c r="E1421">
        <v>0.28041136490470597</v>
      </c>
    </row>
    <row r="1422" spans="1:5" x14ac:dyDescent="0.2">
      <c r="A1422">
        <v>9.4669822327410908E-3</v>
      </c>
      <c r="B1422">
        <v>0.224693795714769</v>
      </c>
      <c r="C1422">
        <v>0.18211957154097699</v>
      </c>
      <c r="D1422">
        <v>0.359871106353987</v>
      </c>
      <c r="E1422">
        <v>0.28049670830019802</v>
      </c>
    </row>
    <row r="1423" spans="1:5" x14ac:dyDescent="0.2">
      <c r="A1423">
        <v>9.47364912163739E-3</v>
      </c>
      <c r="B1423">
        <v>0.224796709829195</v>
      </c>
      <c r="C1423">
        <v>0.18220171420084899</v>
      </c>
      <c r="D1423">
        <v>0.359917816650761</v>
      </c>
      <c r="E1423">
        <v>0.28058196861422902</v>
      </c>
    </row>
    <row r="1424" spans="1:5" x14ac:dyDescent="0.2">
      <c r="A1424">
        <v>9.4803160105336893E-3</v>
      </c>
      <c r="B1424">
        <v>0.22489939608826201</v>
      </c>
      <c r="C1424">
        <v>0.18228366054091599</v>
      </c>
      <c r="D1424">
        <v>0.35996447321802899</v>
      </c>
      <c r="E1424">
        <v>0.28066714316527103</v>
      </c>
    </row>
    <row r="1425" spans="1:5" x14ac:dyDescent="0.2">
      <c r="A1425">
        <v>9.4869828994299799E-3</v>
      </c>
      <c r="B1425">
        <v>0.22500184884350999</v>
      </c>
      <c r="C1425">
        <v>0.182365407372547</v>
      </c>
      <c r="D1425">
        <v>0.36001107619358302</v>
      </c>
      <c r="E1425">
        <v>0.28075222927179799</v>
      </c>
    </row>
    <row r="1426" spans="1:5" x14ac:dyDescent="0.2">
      <c r="A1426">
        <v>9.4936497883262808E-3</v>
      </c>
      <c r="B1426">
        <v>0.22510406244648101</v>
      </c>
      <c r="C1426">
        <v>0.18244695150711199</v>
      </c>
      <c r="D1426">
        <v>0.36005762571521499</v>
      </c>
      <c r="E1426">
        <v>0.28083722425228302</v>
      </c>
    </row>
    <row r="1427" spans="1:5" x14ac:dyDescent="0.2">
      <c r="A1427">
        <v>9.5003166772225697E-3</v>
      </c>
      <c r="B1427">
        <v>0.22520603124871699</v>
      </c>
      <c r="C1427">
        <v>0.18252828975598001</v>
      </c>
      <c r="D1427">
        <v>0.360104121920715</v>
      </c>
      <c r="E1427">
        <v>0.28092212542519901</v>
      </c>
    </row>
    <row r="1428" spans="1:5" x14ac:dyDescent="0.2">
      <c r="A1428">
        <v>9.5069835661188706E-3</v>
      </c>
      <c r="B1428">
        <v>0.22530774960175901</v>
      </c>
      <c r="C1428">
        <v>0.18260941893051999</v>
      </c>
      <c r="D1428">
        <v>0.36015056494787401</v>
      </c>
      <c r="E1428">
        <v>0.281006930109018</v>
      </c>
    </row>
    <row r="1429" spans="1:5" x14ac:dyDescent="0.2">
      <c r="A1429">
        <v>9.5136504550151699E-3</v>
      </c>
      <c r="B1429">
        <v>0.22540921185714799</v>
      </c>
      <c r="C1429">
        <v>0.18269033584210201</v>
      </c>
      <c r="D1429">
        <v>0.360196954934484</v>
      </c>
      <c r="E1429">
        <v>0.28109163562221301</v>
      </c>
    </row>
    <row r="1430" spans="1:5" x14ac:dyDescent="0.2">
      <c r="A1430">
        <v>9.5203173439114604E-3</v>
      </c>
      <c r="B1430">
        <v>0.22551041236642599</v>
      </c>
      <c r="C1430">
        <v>0.18277103730209401</v>
      </c>
      <c r="D1430">
        <v>0.36024329201833599</v>
      </c>
      <c r="E1430">
        <v>0.28117623928325802</v>
      </c>
    </row>
    <row r="1431" spans="1:5" x14ac:dyDescent="0.2">
      <c r="A1431">
        <v>9.5269842328077597E-3</v>
      </c>
      <c r="B1431">
        <v>0.22561134548113301</v>
      </c>
      <c r="C1431">
        <v>0.18285152012186501</v>
      </c>
      <c r="D1431">
        <v>0.36028957633722197</v>
      </c>
      <c r="E1431">
        <v>0.28126073841062499</v>
      </c>
    </row>
    <row r="1432" spans="1:5" x14ac:dyDescent="0.2">
      <c r="A1432">
        <v>9.5336511217040606E-3</v>
      </c>
      <c r="B1432">
        <v>0.22571200555281201</v>
      </c>
      <c r="C1432">
        <v>0.18293178111278599</v>
      </c>
      <c r="D1432">
        <v>0.360335808028931</v>
      </c>
      <c r="E1432">
        <v>0.28134513032278802</v>
      </c>
    </row>
    <row r="1433" spans="1:5" x14ac:dyDescent="0.2">
      <c r="A1433">
        <v>9.5403180106003495E-3</v>
      </c>
      <c r="B1433">
        <v>0.22581238693300301</v>
      </c>
      <c r="C1433">
        <v>0.18301181708622499</v>
      </c>
      <c r="D1433">
        <v>0.36038198723125697</v>
      </c>
      <c r="E1433">
        <v>0.281429412338218</v>
      </c>
    </row>
    <row r="1434" spans="1:5" x14ac:dyDescent="0.2">
      <c r="A1434">
        <v>9.5469848994966505E-3</v>
      </c>
      <c r="B1434">
        <v>0.22591248397324801</v>
      </c>
      <c r="C1434">
        <v>0.18309162485355099</v>
      </c>
      <c r="D1434">
        <v>0.36042811408198899</v>
      </c>
      <c r="E1434">
        <v>0.28151358177538999</v>
      </c>
    </row>
    <row r="1435" spans="1:5" x14ac:dyDescent="0.2">
      <c r="A1435">
        <v>9.5536517883929497E-3</v>
      </c>
      <c r="B1435">
        <v>0.22601229102508799</v>
      </c>
      <c r="C1435">
        <v>0.18317120122613401</v>
      </c>
      <c r="D1435">
        <v>0.36047418871892001</v>
      </c>
      <c r="E1435">
        <v>0.28159763595277598</v>
      </c>
    </row>
    <row r="1436" spans="1:5" x14ac:dyDescent="0.2">
      <c r="A1436">
        <v>9.5603186772892403E-3</v>
      </c>
      <c r="B1436">
        <v>0.22611180244006501</v>
      </c>
      <c r="C1436">
        <v>0.18325054301534299</v>
      </c>
      <c r="D1436">
        <v>0.36052021127983902</v>
      </c>
      <c r="E1436">
        <v>0.28168157218884898</v>
      </c>
    </row>
    <row r="1437" spans="1:5" x14ac:dyDescent="0.2">
      <c r="A1437">
        <v>9.5669855661855395E-3</v>
      </c>
      <c r="B1437">
        <v>0.22621101256972001</v>
      </c>
      <c r="C1437">
        <v>0.18332964703254701</v>
      </c>
      <c r="D1437">
        <v>0.36056618190253897</v>
      </c>
      <c r="E1437">
        <v>0.28176538780208299</v>
      </c>
    </row>
    <row r="1438" spans="1:5" x14ac:dyDescent="0.2">
      <c r="A1438">
        <v>9.5736524550818405E-3</v>
      </c>
      <c r="B1438">
        <v>0.22630991576559401</v>
      </c>
      <c r="C1438">
        <v>0.18340851008911499</v>
      </c>
      <c r="D1438">
        <v>0.36061210072481098</v>
      </c>
      <c r="E1438">
        <v>0.281849080110949</v>
      </c>
    </row>
    <row r="1439" spans="1:5" x14ac:dyDescent="0.2">
      <c r="A1439">
        <v>9.5803193439781293E-3</v>
      </c>
      <c r="B1439">
        <v>0.22640850637922899</v>
      </c>
      <c r="C1439">
        <v>0.183487128996417</v>
      </c>
      <c r="D1439">
        <v>0.36065796788444598</v>
      </c>
      <c r="E1439">
        <v>0.28193264643392102</v>
      </c>
    </row>
    <row r="1440" spans="1:5" x14ac:dyDescent="0.2">
      <c r="A1440">
        <v>9.5869862328744303E-3</v>
      </c>
      <c r="B1440">
        <v>0.22650677876216599</v>
      </c>
      <c r="C1440">
        <v>0.18356550056582099</v>
      </c>
      <c r="D1440">
        <v>0.36070378351923499</v>
      </c>
      <c r="E1440">
        <v>0.28201608408947199</v>
      </c>
    </row>
    <row r="1441" spans="1:5" x14ac:dyDescent="0.2">
      <c r="A1441">
        <v>9.5936531217707295E-3</v>
      </c>
      <c r="B1441">
        <v>0.22660472726594599</v>
      </c>
      <c r="C1441">
        <v>0.18364362160869699</v>
      </c>
      <c r="D1441">
        <v>0.36074954776696999</v>
      </c>
      <c r="E1441">
        <v>0.28209939039607401</v>
      </c>
    </row>
    <row r="1442" spans="1:5" x14ac:dyDescent="0.2">
      <c r="A1442">
        <v>9.6003200106670201E-3</v>
      </c>
      <c r="B1442">
        <v>0.226702346242111</v>
      </c>
      <c r="C1442">
        <v>0.18372148893641499</v>
      </c>
      <c r="D1442">
        <v>0.36079526076544099</v>
      </c>
      <c r="E1442">
        <v>0.28218256267220199</v>
      </c>
    </row>
    <row r="1443" spans="1:5" x14ac:dyDescent="0.2">
      <c r="A1443">
        <v>9.6069868995633193E-3</v>
      </c>
      <c r="B1443">
        <v>0.22679963004220099</v>
      </c>
      <c r="C1443">
        <v>0.183799099360342</v>
      </c>
      <c r="D1443">
        <v>0.36084092265244</v>
      </c>
      <c r="E1443">
        <v>0.28226559823632702</v>
      </c>
    </row>
    <row r="1444" spans="1:5" x14ac:dyDescent="0.2">
      <c r="A1444">
        <v>9.6136537884596203E-3</v>
      </c>
      <c r="B1444">
        <v>0.22689657301775901</v>
      </c>
      <c r="C1444">
        <v>0.18387644969184899</v>
      </c>
      <c r="D1444">
        <v>0.36088653356575801</v>
      </c>
      <c r="E1444">
        <v>0.282348494406922</v>
      </c>
    </row>
    <row r="1445" spans="1:5" x14ac:dyDescent="0.2">
      <c r="A1445">
        <v>9.6203206773559109E-3</v>
      </c>
      <c r="B1445">
        <v>0.226993169520326</v>
      </c>
      <c r="C1445">
        <v>0.183953536742306</v>
      </c>
      <c r="D1445">
        <v>0.36093209364318601</v>
      </c>
      <c r="E1445">
        <v>0.28243124850246198</v>
      </c>
    </row>
    <row r="1446" spans="1:5" x14ac:dyDescent="0.2">
      <c r="A1446">
        <v>9.6269875662522101E-3</v>
      </c>
      <c r="B1446">
        <v>0.22708941390144299</v>
      </c>
      <c r="C1446">
        <v>0.18403035732308001</v>
      </c>
      <c r="D1446">
        <v>0.36097760302251503</v>
      </c>
      <c r="E1446">
        <v>0.28251385784141703</v>
      </c>
    </row>
    <row r="1447" spans="1:5" x14ac:dyDescent="0.2">
      <c r="A1447">
        <v>9.6336544551485093E-3</v>
      </c>
      <c r="B1447">
        <v>0.22718530051265101</v>
      </c>
      <c r="C1447">
        <v>0.18410690824554099</v>
      </c>
      <c r="D1447">
        <v>0.36102306184153798</v>
      </c>
      <c r="E1447">
        <v>0.28259631974226301</v>
      </c>
    </row>
    <row r="1448" spans="1:5" x14ac:dyDescent="0.2">
      <c r="A1448">
        <v>9.6403213440447999E-3</v>
      </c>
      <c r="B1448">
        <v>0.22728082370549199</v>
      </c>
      <c r="C1448">
        <v>0.18418318632105801</v>
      </c>
      <c r="D1448">
        <v>0.361068470238044</v>
      </c>
      <c r="E1448">
        <v>0.28267863152347</v>
      </c>
    </row>
    <row r="1449" spans="1:5" x14ac:dyDescent="0.2">
      <c r="A1449">
        <v>9.6469882329410991E-3</v>
      </c>
      <c r="B1449">
        <v>0.22737597783150601</v>
      </c>
      <c r="C1449">
        <v>0.184259188361002</v>
      </c>
      <c r="D1449">
        <v>0.36111382834982497</v>
      </c>
      <c r="E1449">
        <v>0.28276079050351299</v>
      </c>
    </row>
    <row r="1450" spans="1:5" x14ac:dyDescent="0.2">
      <c r="A1450">
        <v>9.6536551218373897E-3</v>
      </c>
      <c r="B1450">
        <v>0.227470757242237</v>
      </c>
      <c r="C1450">
        <v>0.18433491117674</v>
      </c>
      <c r="D1450">
        <v>0.361159136314672</v>
      </c>
      <c r="E1450">
        <v>0.28284279400086498</v>
      </c>
    </row>
    <row r="1451" spans="1:5" x14ac:dyDescent="0.2">
      <c r="A1451">
        <v>9.6603220107336907E-3</v>
      </c>
      <c r="B1451">
        <v>0.227565156289224</v>
      </c>
      <c r="C1451">
        <v>0.184410351579642</v>
      </c>
      <c r="D1451">
        <v>0.36120439427037698</v>
      </c>
      <c r="E1451">
        <v>0.28292463933399697</v>
      </c>
    </row>
    <row r="1452" spans="1:5" x14ac:dyDescent="0.2">
      <c r="A1452">
        <v>9.6669888996299899E-3</v>
      </c>
      <c r="B1452">
        <v>0.22765916932400901</v>
      </c>
      <c r="C1452">
        <v>0.184485506381078</v>
      </c>
      <c r="D1452">
        <v>0.36124960235473103</v>
      </c>
      <c r="E1452">
        <v>0.28300632382138402</v>
      </c>
    </row>
    <row r="1453" spans="1:5" x14ac:dyDescent="0.2">
      <c r="A1453">
        <v>9.6736557885262892E-3</v>
      </c>
      <c r="B1453">
        <v>0.22775279069813301</v>
      </c>
      <c r="C1453">
        <v>0.18456037239241599</v>
      </c>
      <c r="D1453">
        <v>0.36129476070552502</v>
      </c>
      <c r="E1453">
        <v>0.28308784478149801</v>
      </c>
    </row>
    <row r="1454" spans="1:5" x14ac:dyDescent="0.2">
      <c r="A1454">
        <v>9.6803226774225797E-3</v>
      </c>
      <c r="B1454">
        <v>0.22784601476313801</v>
      </c>
      <c r="C1454">
        <v>0.18463494642502501</v>
      </c>
      <c r="D1454">
        <v>0.36133986946055002</v>
      </c>
      <c r="E1454">
        <v>0.283169199532811</v>
      </c>
    </row>
    <row r="1455" spans="1:5" x14ac:dyDescent="0.2">
      <c r="A1455">
        <v>9.6869895663188807E-3</v>
      </c>
      <c r="B1455">
        <v>0.22793883587056499</v>
      </c>
      <c r="C1455">
        <v>0.184709225290276</v>
      </c>
      <c r="D1455">
        <v>0.36138492875759698</v>
      </c>
      <c r="E1455">
        <v>0.28325038539379799</v>
      </c>
    </row>
    <row r="1456" spans="1:5" x14ac:dyDescent="0.2">
      <c r="A1456">
        <v>9.6936564552151695E-3</v>
      </c>
      <c r="B1456">
        <v>0.22803124837195601</v>
      </c>
      <c r="C1456">
        <v>0.184783205799537</v>
      </c>
      <c r="D1456">
        <v>0.361429938734458</v>
      </c>
      <c r="E1456">
        <v>0.28333139968293097</v>
      </c>
    </row>
    <row r="1457" spans="1:5" x14ac:dyDescent="0.2">
      <c r="A1457">
        <v>9.7003233441114705E-3</v>
      </c>
      <c r="B1457">
        <v>0.228123246618852</v>
      </c>
      <c r="C1457">
        <v>0.184856884764177</v>
      </c>
      <c r="D1457">
        <v>0.36147489952892398</v>
      </c>
      <c r="E1457">
        <v>0.28341223971868301</v>
      </c>
    </row>
    <row r="1458" spans="1:5" x14ac:dyDescent="0.2">
      <c r="A1458">
        <v>9.7069902330077697E-3</v>
      </c>
      <c r="B1458">
        <v>0.22821482496279299</v>
      </c>
      <c r="C1458">
        <v>0.184930258995566</v>
      </c>
      <c r="D1458">
        <v>0.36151981127878602</v>
      </c>
      <c r="E1458">
        <v>0.28349290281952599</v>
      </c>
    </row>
    <row r="1459" spans="1:5" x14ac:dyDescent="0.2">
      <c r="A1459">
        <v>9.7136571219040603E-3</v>
      </c>
      <c r="B1459">
        <v>0.22830597775532199</v>
      </c>
      <c r="C1459">
        <v>0.18500332530507199</v>
      </c>
      <c r="D1459">
        <v>0.36156467412183502</v>
      </c>
      <c r="E1459">
        <v>0.28357338630393503</v>
      </c>
    </row>
    <row r="1460" spans="1:5" x14ac:dyDescent="0.2">
      <c r="A1460">
        <v>9.7203240108003595E-3</v>
      </c>
      <c r="B1460">
        <v>0.22839669934797999</v>
      </c>
      <c r="C1460">
        <v>0.18507608050406499</v>
      </c>
      <c r="D1460">
        <v>0.36160948819586203</v>
      </c>
      <c r="E1460">
        <v>0.283653687490381</v>
      </c>
    </row>
    <row r="1461" spans="1:5" x14ac:dyDescent="0.2">
      <c r="A1461">
        <v>9.7269908996966605E-3</v>
      </c>
      <c r="B1461">
        <v>0.228486984092308</v>
      </c>
      <c r="C1461">
        <v>0.185148521403915</v>
      </c>
      <c r="D1461">
        <v>0.361654253638659</v>
      </c>
      <c r="E1461">
        <v>0.28373380369733803</v>
      </c>
    </row>
    <row r="1462" spans="1:5" x14ac:dyDescent="0.2">
      <c r="A1462">
        <v>9.7336577885929493E-3</v>
      </c>
      <c r="B1462">
        <v>0.22857682633984799</v>
      </c>
      <c r="C1462">
        <v>0.18522064481598999</v>
      </c>
      <c r="D1462">
        <v>0.36169897058801698</v>
      </c>
      <c r="E1462">
        <v>0.28381373224327799</v>
      </c>
    </row>
    <row r="1463" spans="1:5" x14ac:dyDescent="0.2">
      <c r="A1463">
        <v>9.7403246774892503E-3</v>
      </c>
      <c r="B1463">
        <v>0.22866622044213999</v>
      </c>
      <c r="C1463">
        <v>0.18529244755165999</v>
      </c>
      <c r="D1463">
        <v>0.36174363918172697</v>
      </c>
      <c r="E1463">
        <v>0.28389347044667501</v>
      </c>
    </row>
    <row r="1464" spans="1:5" x14ac:dyDescent="0.2">
      <c r="A1464">
        <v>9.7469915663855496E-3</v>
      </c>
      <c r="B1464">
        <v>0.22875516075072699</v>
      </c>
      <c r="C1464">
        <v>0.18536392642229399</v>
      </c>
      <c r="D1464">
        <v>0.36178825955758098</v>
      </c>
      <c r="E1464">
        <v>0.28397301562600202</v>
      </c>
    </row>
    <row r="1465" spans="1:5" x14ac:dyDescent="0.2">
      <c r="A1465">
        <v>9.7536584552818401E-3</v>
      </c>
      <c r="B1465">
        <v>0.22884364161714901</v>
      </c>
      <c r="C1465">
        <v>0.18543507823926</v>
      </c>
      <c r="D1465">
        <v>0.36183283185336901</v>
      </c>
      <c r="E1465">
        <v>0.28405236509972998</v>
      </c>
    </row>
    <row r="1466" spans="1:5" x14ac:dyDescent="0.2">
      <c r="A1466">
        <v>9.7603253441781394E-3</v>
      </c>
      <c r="B1466">
        <v>0.22893165739294799</v>
      </c>
      <c r="C1466">
        <v>0.18550589981392901</v>
      </c>
      <c r="D1466">
        <v>0.36187735620688199</v>
      </c>
      <c r="E1466">
        <v>0.28413151618633498</v>
      </c>
    </row>
    <row r="1467" spans="1:5" x14ac:dyDescent="0.2">
      <c r="A1467">
        <v>9.7669922330744403E-3</v>
      </c>
      <c r="B1467">
        <v>0.229019202429665</v>
      </c>
      <c r="C1467">
        <v>0.18557638795767001</v>
      </c>
      <c r="D1467">
        <v>0.361921832755913</v>
      </c>
      <c r="E1467">
        <v>0.28421046620428703</v>
      </c>
    </row>
    <row r="1468" spans="1:5" x14ac:dyDescent="0.2">
      <c r="A1468">
        <v>9.7736591219707292E-3</v>
      </c>
      <c r="B1468">
        <v>0.22910627107884099</v>
      </c>
      <c r="C1468">
        <v>0.185646539481851</v>
      </c>
      <c r="D1468">
        <v>0.36196626163825202</v>
      </c>
      <c r="E1468">
        <v>0.28428921247206101</v>
      </c>
    </row>
    <row r="1469" spans="1:5" x14ac:dyDescent="0.2">
      <c r="A1469">
        <v>9.7803260108670301E-3</v>
      </c>
      <c r="B1469">
        <v>0.229192857692019</v>
      </c>
      <c r="C1469">
        <v>0.18571635119784199</v>
      </c>
      <c r="D1469">
        <v>0.36201064299169</v>
      </c>
      <c r="E1469">
        <v>0.284367752308129</v>
      </c>
    </row>
    <row r="1470" spans="1:5" x14ac:dyDescent="0.2">
      <c r="A1470">
        <v>9.7869928997633294E-3</v>
      </c>
      <c r="B1470">
        <v>0.22927895662073899</v>
      </c>
      <c r="C1470">
        <v>0.18578581991701201</v>
      </c>
      <c r="D1470">
        <v>0.362054976954019</v>
      </c>
      <c r="E1470">
        <v>0.28444608303096502</v>
      </c>
    </row>
    <row r="1471" spans="1:5" x14ac:dyDescent="0.2">
      <c r="A1471">
        <v>9.7936597886596199E-3</v>
      </c>
      <c r="B1471">
        <v>0.229364562216542</v>
      </c>
      <c r="C1471">
        <v>0.185854942450731</v>
      </c>
      <c r="D1471">
        <v>0.36209926366303002</v>
      </c>
      <c r="E1471">
        <v>0.28452420195903999</v>
      </c>
    </row>
    <row r="1472" spans="1:5" x14ac:dyDescent="0.2">
      <c r="A1472">
        <v>9.8003266775559192E-3</v>
      </c>
      <c r="B1472">
        <v>0.22944966883097001</v>
      </c>
      <c r="C1472">
        <v>0.185923715610367</v>
      </c>
      <c r="D1472">
        <v>0.36214350325651401</v>
      </c>
      <c r="E1472">
        <v>0.284602106410829</v>
      </c>
    </row>
    <row r="1473" spans="1:5" x14ac:dyDescent="0.2">
      <c r="A1473">
        <v>9.8069935664522098E-3</v>
      </c>
      <c r="B1473">
        <v>0.22953427081556499</v>
      </c>
      <c r="C1473">
        <v>0.18599213620728999</v>
      </c>
      <c r="D1473">
        <v>0.36218769587226202</v>
      </c>
      <c r="E1473">
        <v>0.28467979370480301</v>
      </c>
    </row>
    <row r="1474" spans="1:5" x14ac:dyDescent="0.2">
      <c r="A1474">
        <v>9.8136604553485107E-3</v>
      </c>
      <c r="B1474">
        <v>0.22961836252186699</v>
      </c>
      <c r="C1474">
        <v>0.186060201052869</v>
      </c>
      <c r="D1474">
        <v>0.36223184164806499</v>
      </c>
      <c r="E1474">
        <v>0.284757261159437</v>
      </c>
    </row>
    <row r="1475" spans="1:5" x14ac:dyDescent="0.2">
      <c r="A1475">
        <v>9.82032734424481E-3</v>
      </c>
      <c r="B1475">
        <v>0.229701938301418</v>
      </c>
      <c r="C1475">
        <v>0.186127906958474</v>
      </c>
      <c r="D1475">
        <v>0.36227594072171498</v>
      </c>
      <c r="E1475">
        <v>0.28483450609320199</v>
      </c>
    </row>
    <row r="1476" spans="1:5" x14ac:dyDescent="0.2">
      <c r="A1476">
        <v>9.8269942331411092E-3</v>
      </c>
      <c r="B1476">
        <v>0.22978499250576001</v>
      </c>
      <c r="C1476">
        <v>0.186195250735472</v>
      </c>
      <c r="D1476">
        <v>0.362319993231004</v>
      </c>
      <c r="E1476">
        <v>0.28491152582457202</v>
      </c>
    </row>
    <row r="1477" spans="1:5" x14ac:dyDescent="0.2">
      <c r="A1477">
        <v>9.8336611220373998E-3</v>
      </c>
      <c r="B1477">
        <v>0.229867519486433</v>
      </c>
      <c r="C1477">
        <v>0.186262229195235</v>
      </c>
      <c r="D1477">
        <v>0.36236399931372099</v>
      </c>
      <c r="E1477">
        <v>0.28498831767201999</v>
      </c>
    </row>
    <row r="1478" spans="1:5" x14ac:dyDescent="0.2">
      <c r="A1478">
        <v>9.8403280109337007E-3</v>
      </c>
      <c r="B1478">
        <v>0.229949513594979</v>
      </c>
      <c r="C1478">
        <v>0.18632883914913001</v>
      </c>
      <c r="D1478">
        <v>0.362407959107658</v>
      </c>
      <c r="E1478">
        <v>0.285064878954019</v>
      </c>
    </row>
    <row r="1479" spans="1:5" x14ac:dyDescent="0.2">
      <c r="A1479">
        <v>9.8469948998299896E-3</v>
      </c>
      <c r="B1479">
        <v>0.230030969182939</v>
      </c>
      <c r="C1479">
        <v>0.18639507740852701</v>
      </c>
      <c r="D1479">
        <v>0.36245187275060697</v>
      </c>
      <c r="E1479">
        <v>0.285141206989041</v>
      </c>
    </row>
    <row r="1480" spans="1:5" x14ac:dyDescent="0.2">
      <c r="A1480">
        <v>9.8536617887262905E-3</v>
      </c>
      <c r="B1480">
        <v>0.230111880601855</v>
      </c>
      <c r="C1480">
        <v>0.186460940784796</v>
      </c>
      <c r="D1480">
        <v>0.36249574038035898</v>
      </c>
      <c r="E1480">
        <v>0.28521729909555998</v>
      </c>
    </row>
    <row r="1481" spans="1:5" x14ac:dyDescent="0.2">
      <c r="A1481">
        <v>9.8603286776225898E-3</v>
      </c>
      <c r="B1481">
        <v>0.230192242203268</v>
      </c>
      <c r="C1481">
        <v>0.186526426089305</v>
      </c>
      <c r="D1481">
        <v>0.36253956213470501</v>
      </c>
      <c r="E1481">
        <v>0.28529315259204902</v>
      </c>
    </row>
    <row r="1482" spans="1:5" x14ac:dyDescent="0.2">
      <c r="A1482">
        <v>9.8669955665188908E-3</v>
      </c>
      <c r="B1482">
        <v>0.230272048338719</v>
      </c>
      <c r="C1482">
        <v>0.186591530133424</v>
      </c>
      <c r="D1482">
        <v>0.36258333815143601</v>
      </c>
      <c r="E1482">
        <v>0.28536876479697998</v>
      </c>
    </row>
    <row r="1483" spans="1:5" x14ac:dyDescent="0.2">
      <c r="A1483">
        <v>9.8736624554151796E-3</v>
      </c>
      <c r="B1483">
        <v>0.23035129335974999</v>
      </c>
      <c r="C1483">
        <v>0.18665624972852099</v>
      </c>
      <c r="D1483">
        <v>0.36262706856834298</v>
      </c>
      <c r="E1483">
        <v>0.28544413302882599</v>
      </c>
    </row>
    <row r="1484" spans="1:5" x14ac:dyDescent="0.2">
      <c r="A1484">
        <v>9.8803293443114806E-3</v>
      </c>
      <c r="B1484">
        <v>0.23042997161790199</v>
      </c>
      <c r="C1484">
        <v>0.186720581685967</v>
      </c>
      <c r="D1484">
        <v>0.36267075352321898</v>
      </c>
      <c r="E1484">
        <v>0.28551925460606098</v>
      </c>
    </row>
    <row r="1485" spans="1:5" x14ac:dyDescent="0.2">
      <c r="A1485">
        <v>9.8869962332077694E-3</v>
      </c>
      <c r="B1485">
        <v>0.23050807746471599</v>
      </c>
      <c r="C1485">
        <v>0.18678452281713101</v>
      </c>
      <c r="D1485">
        <v>0.36271439315385201</v>
      </c>
      <c r="E1485">
        <v>0.28559412684715701</v>
      </c>
    </row>
    <row r="1486" spans="1:5" x14ac:dyDescent="0.2">
      <c r="A1486">
        <v>9.8936631221040704E-3</v>
      </c>
      <c r="B1486">
        <v>0.23058560525173399</v>
      </c>
      <c r="C1486">
        <v>0.18684806993338099</v>
      </c>
      <c r="D1486">
        <v>0.36275798759803601</v>
      </c>
      <c r="E1486">
        <v>0.28566874707058798</v>
      </c>
    </row>
    <row r="1487" spans="1:5" x14ac:dyDescent="0.2">
      <c r="A1487">
        <v>9.9003300110003696E-3</v>
      </c>
      <c r="B1487">
        <v>0.23066254933049701</v>
      </c>
      <c r="C1487">
        <v>0.186911219846086</v>
      </c>
      <c r="D1487">
        <v>0.36280153699356199</v>
      </c>
      <c r="E1487">
        <v>0.28574311259482499</v>
      </c>
    </row>
    <row r="1488" spans="1:5" x14ac:dyDescent="0.2">
      <c r="A1488">
        <v>9.9069968998966602E-3</v>
      </c>
      <c r="B1488">
        <v>0.23073890405254699</v>
      </c>
      <c r="C1488">
        <v>0.186973969366617</v>
      </c>
      <c r="D1488">
        <v>0.362845041478219</v>
      </c>
      <c r="E1488">
        <v>0.28581722073834298</v>
      </c>
    </row>
    <row r="1489" spans="1:5" x14ac:dyDescent="0.2">
      <c r="A1489">
        <v>9.9136637887929594E-3</v>
      </c>
      <c r="B1489">
        <v>0.230814663769424</v>
      </c>
      <c r="C1489">
        <v>0.18703631530634199</v>
      </c>
      <c r="D1489">
        <v>0.36288850118980098</v>
      </c>
      <c r="E1489">
        <v>0.28589106881961401</v>
      </c>
    </row>
    <row r="1490" spans="1:5" x14ac:dyDescent="0.2">
      <c r="A1490">
        <v>9.9203306776892604E-3</v>
      </c>
      <c r="B1490">
        <v>0.23088982283267001</v>
      </c>
      <c r="C1490">
        <v>0.18709825447663</v>
      </c>
      <c r="D1490">
        <v>0.362931916266097</v>
      </c>
      <c r="E1490">
        <v>0.28596465415711098</v>
      </c>
    </row>
    <row r="1491" spans="1:5" x14ac:dyDescent="0.2">
      <c r="A1491">
        <v>9.9269975665855492E-3</v>
      </c>
      <c r="B1491">
        <v>0.23096437559382699</v>
      </c>
      <c r="C1491">
        <v>0.187159783688851</v>
      </c>
      <c r="D1491">
        <v>0.36297528684489899</v>
      </c>
      <c r="E1491">
        <v>0.28603797406930698</v>
      </c>
    </row>
    <row r="1492" spans="1:5" x14ac:dyDescent="0.2">
      <c r="A1492">
        <v>9.9336644554818502E-3</v>
      </c>
      <c r="B1492">
        <v>0.23103831640443501</v>
      </c>
      <c r="C1492">
        <v>0.187220899754374</v>
      </c>
      <c r="D1492">
        <v>0.36301861306399902</v>
      </c>
      <c r="E1492">
        <v>0.28611102587467502</v>
      </c>
    </row>
    <row r="1493" spans="1:5" x14ac:dyDescent="0.2">
      <c r="A1493">
        <v>9.9403313443781494E-3</v>
      </c>
      <c r="B1493">
        <v>0.23111163961603701</v>
      </c>
      <c r="C1493">
        <v>0.18728159948456799</v>
      </c>
      <c r="D1493">
        <v>0.36306189506118702</v>
      </c>
      <c r="E1493">
        <v>0.28618380689168799</v>
      </c>
    </row>
    <row r="1494" spans="1:5" x14ac:dyDescent="0.2">
      <c r="A1494">
        <v>9.94699823327444E-3</v>
      </c>
      <c r="B1494">
        <v>0.23118433958017301</v>
      </c>
      <c r="C1494">
        <v>0.18734187969080299</v>
      </c>
      <c r="D1494">
        <v>0.36310513297425501</v>
      </c>
      <c r="E1494">
        <v>0.28625631443881899</v>
      </c>
    </row>
    <row r="1495" spans="1:5" x14ac:dyDescent="0.2">
      <c r="A1495">
        <v>9.9536651221707392E-3</v>
      </c>
      <c r="B1495">
        <v>0.23125641064838501</v>
      </c>
      <c r="C1495">
        <v>0.187401737184446</v>
      </c>
      <c r="D1495">
        <v>0.36314832694099503</v>
      </c>
      <c r="E1495">
        <v>0.28632854583453998</v>
      </c>
    </row>
    <row r="1496" spans="1:5" x14ac:dyDescent="0.2">
      <c r="A1496">
        <v>9.9603320110670402E-3</v>
      </c>
      <c r="B1496">
        <v>0.231327847172214</v>
      </c>
      <c r="C1496">
        <v>0.187461168776869</v>
      </c>
      <c r="D1496">
        <v>0.36319147709919603</v>
      </c>
      <c r="E1496">
        <v>0.28640049839732501</v>
      </c>
    </row>
    <row r="1497" spans="1:5" x14ac:dyDescent="0.2">
      <c r="A1497">
        <v>9.9669988999633308E-3</v>
      </c>
      <c r="B1497">
        <v>0.231398643503201</v>
      </c>
      <c r="C1497">
        <v>0.18752017127944001</v>
      </c>
      <c r="D1497">
        <v>0.36323458358665101</v>
      </c>
      <c r="E1497">
        <v>0.28647216944564702</v>
      </c>
    </row>
    <row r="1498" spans="1:5" x14ac:dyDescent="0.2">
      <c r="A1498">
        <v>9.97366578885963E-3</v>
      </c>
      <c r="B1498">
        <v>0.231468793992889</v>
      </c>
      <c r="C1498">
        <v>0.18757874150352699</v>
      </c>
      <c r="D1498">
        <v>0.36327764654115002</v>
      </c>
      <c r="E1498">
        <v>0.28654355629797801</v>
      </c>
    </row>
    <row r="1499" spans="1:5" x14ac:dyDescent="0.2">
      <c r="A1499">
        <v>9.9803326777559292E-3</v>
      </c>
      <c r="B1499">
        <v>0.231538292992817</v>
      </c>
      <c r="C1499">
        <v>0.18763687626050099</v>
      </c>
      <c r="D1499">
        <v>0.36332066610048502</v>
      </c>
      <c r="E1499">
        <v>0.28661465627279198</v>
      </c>
    </row>
    <row r="1500" spans="1:5" x14ac:dyDescent="0.2">
      <c r="A1500">
        <v>9.9869995666522198E-3</v>
      </c>
      <c r="B1500">
        <v>0.231607134854528</v>
      </c>
      <c r="C1500">
        <v>0.18769457236173101</v>
      </c>
      <c r="D1500">
        <v>0.36336364240244701</v>
      </c>
      <c r="E1500">
        <v>0.28668546668856199</v>
      </c>
    </row>
    <row r="1501" spans="1:5" x14ac:dyDescent="0.2">
      <c r="A1501">
        <v>9.9936664555485208E-3</v>
      </c>
      <c r="B1501">
        <v>0.231675313929563</v>
      </c>
      <c r="C1501">
        <v>0.187751826618586</v>
      </c>
      <c r="D1501">
        <v>0.36340657558482797</v>
      </c>
      <c r="E1501">
        <v>0.28675598486376003</v>
      </c>
    </row>
    <row r="1502" spans="1:5" x14ac:dyDescent="0.2">
      <c r="A1502">
        <v>1.00013333333333E-2</v>
      </c>
      <c r="B1502">
        <v>0.23175289273173999</v>
      </c>
      <c r="C1502">
        <v>0.187817118276842</v>
      </c>
      <c r="D1502">
        <v>0.36345589533109501</v>
      </c>
      <c r="E1502">
        <v>0.28683671554215601</v>
      </c>
    </row>
    <row r="1503" spans="1:5" x14ac:dyDescent="0.2">
      <c r="A1503">
        <v>1.0028E-2</v>
      </c>
      <c r="B1503">
        <v>0.232015857979365</v>
      </c>
      <c r="C1503">
        <v>0.188039642502798</v>
      </c>
      <c r="D1503">
        <v>0.363626997845374</v>
      </c>
      <c r="E1503">
        <v>0.28711447930029299</v>
      </c>
    </row>
    <row r="1504" spans="1:5" x14ac:dyDescent="0.2">
      <c r="A1504">
        <v>1.00546666666667E-2</v>
      </c>
      <c r="B1504">
        <v>0.232268425846963</v>
      </c>
      <c r="C1504">
        <v>0.188255228179004</v>
      </c>
      <c r="D1504">
        <v>0.36379742404978099</v>
      </c>
      <c r="E1504">
        <v>0.28738765564101199</v>
      </c>
    </row>
    <row r="1505" spans="1:5" x14ac:dyDescent="0.2">
      <c r="A1505">
        <v>1.00813333333333E-2</v>
      </c>
      <c r="B1505">
        <v>0.23251096082976699</v>
      </c>
      <c r="C1505">
        <v>0.18846409432222799</v>
      </c>
      <c r="D1505">
        <v>0.36396718276207402</v>
      </c>
      <c r="E1505">
        <v>0.287656408162482</v>
      </c>
    </row>
    <row r="1506" spans="1:5" x14ac:dyDescent="0.2">
      <c r="A1506">
        <v>1.0108000000000001E-2</v>
      </c>
      <c r="B1506">
        <v>0.232743827423009</v>
      </c>
      <c r="C1506">
        <v>0.188666459949239</v>
      </c>
      <c r="D1506">
        <v>0.36413628280000698</v>
      </c>
      <c r="E1506">
        <v>0.287920900462872</v>
      </c>
    </row>
    <row r="1507" spans="1:5" x14ac:dyDescent="0.2">
      <c r="A1507">
        <v>1.01346666666667E-2</v>
      </c>
      <c r="B1507">
        <v>0.232967390121919</v>
      </c>
      <c r="C1507">
        <v>0.188862544076808</v>
      </c>
      <c r="D1507">
        <v>0.36430473298133698</v>
      </c>
      <c r="E1507">
        <v>0.28818129614034899</v>
      </c>
    </row>
    <row r="1508" spans="1:5" x14ac:dyDescent="0.2">
      <c r="A1508">
        <v>1.01613333333333E-2</v>
      </c>
      <c r="B1508">
        <v>0.23318201342173001</v>
      </c>
      <c r="C1508">
        <v>0.18905256572170201</v>
      </c>
      <c r="D1508">
        <v>0.36447254212381902</v>
      </c>
      <c r="E1508">
        <v>0.28843775879308198</v>
      </c>
    </row>
    <row r="1509" spans="1:5" x14ac:dyDescent="0.2">
      <c r="A1509">
        <v>1.0187999999999999E-2</v>
      </c>
      <c r="B1509">
        <v>0.23338806181767399</v>
      </c>
      <c r="C1509">
        <v>0.18923674390069201</v>
      </c>
      <c r="D1509">
        <v>0.36463971904520998</v>
      </c>
      <c r="E1509">
        <v>0.28869045201923799</v>
      </c>
    </row>
    <row r="1510" spans="1:5" x14ac:dyDescent="0.2">
      <c r="A1510">
        <v>1.02146666666667E-2</v>
      </c>
      <c r="B1510">
        <v>0.23358589980498201</v>
      </c>
      <c r="C1510">
        <v>0.18941529763054599</v>
      </c>
      <c r="D1510">
        <v>0.36480627256326598</v>
      </c>
      <c r="E1510">
        <v>0.28893953941698702</v>
      </c>
    </row>
    <row r="1511" spans="1:5" x14ac:dyDescent="0.2">
      <c r="A1511">
        <v>1.02413333333333E-2</v>
      </c>
      <c r="B1511">
        <v>0.23377589187888601</v>
      </c>
      <c r="C1511">
        <v>0.18958844592803401</v>
      </c>
      <c r="D1511">
        <v>0.36497221149574199</v>
      </c>
      <c r="E1511">
        <v>0.28918518458449499</v>
      </c>
    </row>
    <row r="1512" spans="1:5" x14ac:dyDescent="0.2">
      <c r="A1512">
        <v>1.0267999999999999E-2</v>
      </c>
      <c r="B1512">
        <v>0.233958402534618</v>
      </c>
      <c r="C1512">
        <v>0.189756407809926</v>
      </c>
      <c r="D1512">
        <v>0.365137544660394</v>
      </c>
      <c r="E1512">
        <v>0.28942755111993101</v>
      </c>
    </row>
    <row r="1513" spans="1:5" x14ac:dyDescent="0.2">
      <c r="A1513">
        <v>1.02946666666667E-2</v>
      </c>
      <c r="B1513">
        <v>0.23413379626740899</v>
      </c>
      <c r="C1513">
        <v>0.18991940229298901</v>
      </c>
      <c r="D1513">
        <v>0.36530228087497901</v>
      </c>
      <c r="E1513">
        <v>0.28966680262146399</v>
      </c>
    </row>
    <row r="1514" spans="1:5" x14ac:dyDescent="0.2">
      <c r="A1514">
        <v>1.03213333333333E-2</v>
      </c>
      <c r="B1514">
        <v>0.234302437572491</v>
      </c>
      <c r="C1514">
        <v>0.19007764839399399</v>
      </c>
      <c r="D1514">
        <v>0.36546642895725101</v>
      </c>
      <c r="E1514">
        <v>0.28990310268726099</v>
      </c>
    </row>
    <row r="1515" spans="1:5" x14ac:dyDescent="0.2">
      <c r="A1515">
        <v>1.0348E-2</v>
      </c>
      <c r="B1515">
        <v>0.234464690945096</v>
      </c>
      <c r="C1515">
        <v>0.19023136512970901</v>
      </c>
      <c r="D1515">
        <v>0.36562999772496801</v>
      </c>
      <c r="E1515">
        <v>0.29013661491549098</v>
      </c>
    </row>
    <row r="1516" spans="1:5" x14ac:dyDescent="0.2">
      <c r="A1516">
        <v>1.03746666666667E-2</v>
      </c>
      <c r="B1516">
        <v>0.234620920880455</v>
      </c>
      <c r="C1516">
        <v>0.190380771516904</v>
      </c>
      <c r="D1516">
        <v>0.365792995995885</v>
      </c>
      <c r="E1516">
        <v>0.29036750290432201</v>
      </c>
    </row>
    <row r="1517" spans="1:5" x14ac:dyDescent="0.2">
      <c r="A1517">
        <v>1.0401333333333301E-2</v>
      </c>
      <c r="B1517">
        <v>0.234771491873801</v>
      </c>
      <c r="C1517">
        <v>0.19052608657234901</v>
      </c>
      <c r="D1517">
        <v>0.36595543258775798</v>
      </c>
      <c r="E1517">
        <v>0.29059593025192199</v>
      </c>
    </row>
    <row r="1518" spans="1:5" x14ac:dyDescent="0.2">
      <c r="A1518">
        <v>1.0428E-2</v>
      </c>
      <c r="B1518">
        <v>0.23491676842036399</v>
      </c>
      <c r="C1518">
        <v>0.190667529312811</v>
      </c>
      <c r="D1518">
        <v>0.36611731631834299</v>
      </c>
      <c r="E1518">
        <v>0.29082206055645798</v>
      </c>
    </row>
    <row r="1519" spans="1:5" x14ac:dyDescent="0.2">
      <c r="A1519">
        <v>1.0454666666666701E-2</v>
      </c>
      <c r="B1519">
        <v>0.23505711501537799</v>
      </c>
      <c r="C1519">
        <v>0.19080531875506099</v>
      </c>
      <c r="D1519">
        <v>0.366278656005395</v>
      </c>
      <c r="E1519">
        <v>0.29104605741610001</v>
      </c>
    </row>
    <row r="1520" spans="1:5" x14ac:dyDescent="0.2">
      <c r="A1520">
        <v>1.0481333333333301E-2</v>
      </c>
      <c r="B1520">
        <v>0.23519289615407199</v>
      </c>
      <c r="C1520">
        <v>0.190939673915868</v>
      </c>
      <c r="D1520">
        <v>0.36643946046667097</v>
      </c>
      <c r="E1520">
        <v>0.29126808442901497</v>
      </c>
    </row>
    <row r="1521" spans="1:5" x14ac:dyDescent="0.2">
      <c r="A1521">
        <v>1.0508E-2</v>
      </c>
      <c r="B1521">
        <v>0.23532447633167999</v>
      </c>
      <c r="C1521">
        <v>0.191070813812001</v>
      </c>
      <c r="D1521">
        <v>0.366599738519927</v>
      </c>
      <c r="E1521">
        <v>0.29148830519337199</v>
      </c>
    </row>
    <row r="1522" spans="1:5" x14ac:dyDescent="0.2">
      <c r="A1522">
        <v>1.0534666666666701E-2</v>
      </c>
      <c r="B1522">
        <v>0.235452220043432</v>
      </c>
      <c r="C1522">
        <v>0.191198957460229</v>
      </c>
      <c r="D1522">
        <v>0.36675949898291899</v>
      </c>
      <c r="E1522">
        <v>0.29170688330733902</v>
      </c>
    </row>
    <row r="1523" spans="1:5" x14ac:dyDescent="0.2">
      <c r="A1523">
        <v>1.0561333333333299E-2</v>
      </c>
      <c r="B1523">
        <v>0.235576491784561</v>
      </c>
      <c r="C1523">
        <v>0.19132432387732201</v>
      </c>
      <c r="D1523">
        <v>0.36691875067340202</v>
      </c>
      <c r="E1523">
        <v>0.29192398236908301</v>
      </c>
    </row>
    <row r="1524" spans="1:5" x14ac:dyDescent="0.2">
      <c r="A1524">
        <v>1.0588E-2</v>
      </c>
      <c r="B1524">
        <v>0.23569765605029799</v>
      </c>
      <c r="C1524">
        <v>0.19144713208004799</v>
      </c>
      <c r="D1524">
        <v>0.36707750240913201</v>
      </c>
      <c r="E1524">
        <v>0.29213976597677299</v>
      </c>
    </row>
    <row r="1525" spans="1:5" x14ac:dyDescent="0.2">
      <c r="A1525">
        <v>1.0614666666666699E-2</v>
      </c>
      <c r="B1525">
        <v>0.23581607733587501</v>
      </c>
      <c r="C1525">
        <v>0.19156760108517701</v>
      </c>
      <c r="D1525">
        <v>0.36723576300786598</v>
      </c>
      <c r="E1525">
        <v>0.29235439772857802</v>
      </c>
    </row>
    <row r="1526" spans="1:5" x14ac:dyDescent="0.2">
      <c r="A1526">
        <v>1.06413333333333E-2</v>
      </c>
      <c r="B1526">
        <v>0.23593212013652401</v>
      </c>
      <c r="C1526">
        <v>0.19168594990947899</v>
      </c>
      <c r="D1526">
        <v>0.36739354128735902</v>
      </c>
      <c r="E1526">
        <v>0.292568041222664</v>
      </c>
    </row>
    <row r="1527" spans="1:5" x14ac:dyDescent="0.2">
      <c r="A1527">
        <v>1.0668E-2</v>
      </c>
      <c r="B1527">
        <v>0.236046148947476</v>
      </c>
      <c r="C1527">
        <v>0.19180239756972101</v>
      </c>
      <c r="D1527">
        <v>0.36755084606536798</v>
      </c>
      <c r="E1527">
        <v>0.292780860057201</v>
      </c>
    </row>
    <row r="1528" spans="1:5" x14ac:dyDescent="0.2">
      <c r="A1528">
        <v>1.06946666666667E-2</v>
      </c>
      <c r="B1528">
        <v>0.236158528263963</v>
      </c>
      <c r="C1528">
        <v>0.19191716308267401</v>
      </c>
      <c r="D1528">
        <v>0.367707686159647</v>
      </c>
      <c r="E1528">
        <v>0.29299301783035703</v>
      </c>
    </row>
    <row r="1529" spans="1:5" x14ac:dyDescent="0.2">
      <c r="A1529">
        <v>1.07213333333333E-2</v>
      </c>
      <c r="B1529">
        <v>0.236269622581217</v>
      </c>
      <c r="C1529">
        <v>0.19203046546510699</v>
      </c>
      <c r="D1529">
        <v>0.36786407038795399</v>
      </c>
      <c r="E1529">
        <v>0.29320467814029899</v>
      </c>
    </row>
    <row r="1530" spans="1:5" x14ac:dyDescent="0.2">
      <c r="A1530">
        <v>1.0748000000000001E-2</v>
      </c>
      <c r="B1530">
        <v>0.23637979639446999</v>
      </c>
      <c r="C1530">
        <v>0.19214252373378901</v>
      </c>
      <c r="D1530">
        <v>0.36802000756804398</v>
      </c>
      <c r="E1530">
        <v>0.29341600458519701</v>
      </c>
    </row>
    <row r="1531" spans="1:5" x14ac:dyDescent="0.2">
      <c r="A1531">
        <v>1.07746666666667E-2</v>
      </c>
      <c r="B1531">
        <v>0.236489414198953</v>
      </c>
      <c r="C1531">
        <v>0.19225355690548901</v>
      </c>
      <c r="D1531">
        <v>0.368175506517672</v>
      </c>
      <c r="E1531">
        <v>0.29362716076321699</v>
      </c>
    </row>
    <row r="1532" spans="1:5" x14ac:dyDescent="0.2">
      <c r="A1532">
        <v>1.08013333333333E-2</v>
      </c>
      <c r="B1532">
        <v>0.23659884048989699</v>
      </c>
      <c r="C1532">
        <v>0.19236378399697601</v>
      </c>
      <c r="D1532">
        <v>0.36833057605459602</v>
      </c>
      <c r="E1532">
        <v>0.29383831027252799</v>
      </c>
    </row>
    <row r="1533" spans="1:5" x14ac:dyDescent="0.2">
      <c r="A1533">
        <v>1.0828000000000001E-2</v>
      </c>
      <c r="B1533">
        <v>0.236708439762536</v>
      </c>
      <c r="C1533">
        <v>0.19247342402501999</v>
      </c>
      <c r="D1533">
        <v>0.36848522499656999</v>
      </c>
      <c r="E1533">
        <v>0.29404961671129898</v>
      </c>
    </row>
    <row r="1534" spans="1:5" x14ac:dyDescent="0.2">
      <c r="A1534">
        <v>1.08546666666667E-2</v>
      </c>
      <c r="B1534">
        <v>0.236818576512099</v>
      </c>
      <c r="C1534">
        <v>0.19258269600639</v>
      </c>
      <c r="D1534">
        <v>0.36863946216135102</v>
      </c>
      <c r="E1534">
        <v>0.29426124367769801</v>
      </c>
    </row>
    <row r="1535" spans="1:5" x14ac:dyDescent="0.2">
      <c r="A1535">
        <v>1.08813333333333E-2</v>
      </c>
      <c r="B1535">
        <v>0.23692961523382</v>
      </c>
      <c r="C1535">
        <v>0.192691818957855</v>
      </c>
      <c r="D1535">
        <v>0.368793296366694</v>
      </c>
      <c r="E1535">
        <v>0.294473354769892</v>
      </c>
    </row>
    <row r="1536" spans="1:5" x14ac:dyDescent="0.2">
      <c r="A1536">
        <v>1.0907999999999999E-2</v>
      </c>
      <c r="B1536">
        <v>0.23704192042293001</v>
      </c>
      <c r="C1536">
        <v>0.19280101189618401</v>
      </c>
      <c r="D1536">
        <v>0.36894673643035603</v>
      </c>
      <c r="E1536">
        <v>0.29468611358604901</v>
      </c>
    </row>
    <row r="1537" spans="1:5" x14ac:dyDescent="0.2">
      <c r="A1537">
        <v>1.09346666666667E-2</v>
      </c>
      <c r="B1537">
        <v>0.23715585657466001</v>
      </c>
      <c r="C1537">
        <v>0.19291049383814701</v>
      </c>
      <c r="D1537">
        <v>0.36909979117009301</v>
      </c>
      <c r="E1537">
        <v>0.294899683724339</v>
      </c>
    </row>
    <row r="1538" spans="1:5" x14ac:dyDescent="0.2">
      <c r="A1538">
        <v>1.09613333333333E-2</v>
      </c>
      <c r="B1538">
        <v>0.23727178818424199</v>
      </c>
      <c r="C1538">
        <v>0.19302048380051301</v>
      </c>
      <c r="D1538">
        <v>0.36925246940366002</v>
      </c>
      <c r="E1538">
        <v>0.29511422878292898</v>
      </c>
    </row>
    <row r="1539" spans="1:5" x14ac:dyDescent="0.2">
      <c r="A1539">
        <v>1.0988E-2</v>
      </c>
      <c r="B1539">
        <v>0.23739007974690801</v>
      </c>
      <c r="C1539">
        <v>0.19313120080005</v>
      </c>
      <c r="D1539">
        <v>0.36940477994881399</v>
      </c>
      <c r="E1539">
        <v>0.29532991235998701</v>
      </c>
    </row>
    <row r="1540" spans="1:5" x14ac:dyDescent="0.2">
      <c r="A1540">
        <v>1.10146666666667E-2</v>
      </c>
      <c r="B1540">
        <v>0.23751108294270301</v>
      </c>
      <c r="C1540">
        <v>0.19324285742526201</v>
      </c>
      <c r="D1540">
        <v>0.36955673162330899</v>
      </c>
      <c r="E1540">
        <v>0.29554689229839298</v>
      </c>
    </row>
    <row r="1541" spans="1:5" x14ac:dyDescent="0.2">
      <c r="A1541">
        <v>1.1041333333333301E-2</v>
      </c>
      <c r="B1541">
        <v>0.23763491387753299</v>
      </c>
      <c r="C1541">
        <v>0.19335554809754099</v>
      </c>
      <c r="D1541">
        <v>0.36970833324490299</v>
      </c>
      <c r="E1541">
        <v>0.29576522064490801</v>
      </c>
    </row>
    <row r="1542" spans="1:5" x14ac:dyDescent="0.2">
      <c r="A1542">
        <v>1.1068E-2</v>
      </c>
      <c r="B1542">
        <v>0.23776148191011601</v>
      </c>
      <c r="C1542">
        <v>0.19346926353115701</v>
      </c>
      <c r="D1542">
        <v>0.36985959363135101</v>
      </c>
      <c r="E1542">
        <v>0.29598485659633</v>
      </c>
    </row>
    <row r="1543" spans="1:5" x14ac:dyDescent="0.2">
      <c r="A1543">
        <v>1.1094666666666701E-2</v>
      </c>
      <c r="B1543">
        <v>0.23789068938018201</v>
      </c>
      <c r="C1543">
        <v>0.193583990919559</v>
      </c>
      <c r="D1543">
        <v>0.37001052160040898</v>
      </c>
      <c r="E1543">
        <v>0.29620575619723499</v>
      </c>
    </row>
    <row r="1544" spans="1:5" x14ac:dyDescent="0.2">
      <c r="A1544">
        <v>1.1121333333333301E-2</v>
      </c>
      <c r="B1544">
        <v>0.238022438627462</v>
      </c>
      <c r="C1544">
        <v>0.19369971745619799</v>
      </c>
      <c r="D1544">
        <v>0.37016112596983303</v>
      </c>
      <c r="E1544">
        <v>0.29642787549220001</v>
      </c>
    </row>
    <row r="1545" spans="1:5" x14ac:dyDescent="0.2">
      <c r="A1545">
        <v>1.1148E-2</v>
      </c>
      <c r="B1545">
        <v>0.23815663199168699</v>
      </c>
      <c r="C1545">
        <v>0.193816430334525</v>
      </c>
      <c r="D1545">
        <v>0.37031141555737901</v>
      </c>
      <c r="E1545">
        <v>0.29665117052580098</v>
      </c>
    </row>
    <row r="1546" spans="1:5" x14ac:dyDescent="0.2">
      <c r="A1546">
        <v>1.1174666666666701E-2</v>
      </c>
      <c r="B1546">
        <v>0.23829317181258799</v>
      </c>
      <c r="C1546">
        <v>0.19393411674798899</v>
      </c>
      <c r="D1546">
        <v>0.37046139918080301</v>
      </c>
      <c r="E1546">
        <v>0.29687559734261698</v>
      </c>
    </row>
    <row r="1547" spans="1:5" x14ac:dyDescent="0.2">
      <c r="A1547">
        <v>1.1201333333333299E-2</v>
      </c>
      <c r="B1547">
        <v>0.23843196042989501</v>
      </c>
      <c r="C1547">
        <v>0.194052763890043</v>
      </c>
      <c r="D1547">
        <v>0.37061108565786</v>
      </c>
      <c r="E1547">
        <v>0.297101111987223</v>
      </c>
    </row>
    <row r="1548" spans="1:5" x14ac:dyDescent="0.2">
      <c r="A1548">
        <v>1.1228E-2</v>
      </c>
      <c r="B1548">
        <v>0.23857290018333899</v>
      </c>
      <c r="C1548">
        <v>0.19417235895413501</v>
      </c>
      <c r="D1548">
        <v>0.37076048380630799</v>
      </c>
      <c r="E1548">
        <v>0.29732767050419701</v>
      </c>
    </row>
    <row r="1549" spans="1:5" x14ac:dyDescent="0.2">
      <c r="A1549">
        <v>1.1254666666666699E-2</v>
      </c>
      <c r="B1549">
        <v>0.23871589341265101</v>
      </c>
      <c r="C1549">
        <v>0.19429288913371801</v>
      </c>
      <c r="D1549">
        <v>0.37090960244389998</v>
      </c>
      <c r="E1549">
        <v>0.29755522893811498</v>
      </c>
    </row>
    <row r="1550" spans="1:5" x14ac:dyDescent="0.2">
      <c r="A1550">
        <v>1.1281333333333299E-2</v>
      </c>
      <c r="B1550">
        <v>0.23886084245756101</v>
      </c>
      <c r="C1550">
        <v>0.194414341622241</v>
      </c>
      <c r="D1550">
        <v>0.37105845038839502</v>
      </c>
      <c r="E1550">
        <v>0.29778374333355401</v>
      </c>
    </row>
    <row r="1551" spans="1:5" x14ac:dyDescent="0.2">
      <c r="A1551">
        <v>1.1308E-2</v>
      </c>
      <c r="B1551">
        <v>0.239007649657801</v>
      </c>
      <c r="C1551">
        <v>0.194536703613156</v>
      </c>
      <c r="D1551">
        <v>0.37120703645754599</v>
      </c>
      <c r="E1551">
        <v>0.29801316973509201</v>
      </c>
    </row>
    <row r="1552" spans="1:5" x14ac:dyDescent="0.2">
      <c r="A1552">
        <v>1.1334666666666699E-2</v>
      </c>
      <c r="B1552">
        <v>0.239156217353101</v>
      </c>
      <c r="C1552">
        <v>0.194659962299912</v>
      </c>
      <c r="D1552">
        <v>0.37135536946911202</v>
      </c>
      <c r="E1552">
        <v>0.29824346418730502</v>
      </c>
    </row>
    <row r="1553" spans="1:5" x14ac:dyDescent="0.2">
      <c r="A1553">
        <v>1.13613333333333E-2</v>
      </c>
      <c r="B1553">
        <v>0.239306447883191</v>
      </c>
      <c r="C1553">
        <v>0.19478410487596001</v>
      </c>
      <c r="D1553">
        <v>0.37150345824084602</v>
      </c>
      <c r="E1553">
        <v>0.29847458273477001</v>
      </c>
    </row>
    <row r="1554" spans="1:5" x14ac:dyDescent="0.2">
      <c r="A1554">
        <v>1.1388000000000001E-2</v>
      </c>
      <c r="B1554">
        <v>0.23945824358780299</v>
      </c>
      <c r="C1554">
        <v>0.19490911853475101</v>
      </c>
      <c r="D1554">
        <v>0.37165131159050602</v>
      </c>
      <c r="E1554">
        <v>0.29870648142206302</v>
      </c>
    </row>
    <row r="1555" spans="1:5" x14ac:dyDescent="0.2">
      <c r="A1555">
        <v>1.14146666666667E-2</v>
      </c>
      <c r="B1555">
        <v>0.23961150680666801</v>
      </c>
      <c r="C1555">
        <v>0.19503499046973599</v>
      </c>
      <c r="D1555">
        <v>0.37179893833584698</v>
      </c>
      <c r="E1555">
        <v>0.29893911629376302</v>
      </c>
    </row>
    <row r="1556" spans="1:5" x14ac:dyDescent="0.2">
      <c r="A1556">
        <v>1.14413333333333E-2</v>
      </c>
      <c r="B1556">
        <v>0.23976613987951501</v>
      </c>
      <c r="C1556">
        <v>0.19516170787436499</v>
      </c>
      <c r="D1556">
        <v>0.371946347294625</v>
      </c>
      <c r="E1556">
        <v>0.29917244339444499</v>
      </c>
    </row>
    <row r="1557" spans="1:5" x14ac:dyDescent="0.2">
      <c r="A1557">
        <v>1.1468000000000001E-2</v>
      </c>
      <c r="B1557">
        <v>0.23992204514607701</v>
      </c>
      <c r="C1557">
        <v>0.19528925794208801</v>
      </c>
      <c r="D1557">
        <v>0.37209354728459598</v>
      </c>
      <c r="E1557">
        <v>0.29940641876868701</v>
      </c>
    </row>
    <row r="1558" spans="1:5" x14ac:dyDescent="0.2">
      <c r="A1558">
        <v>1.14946666666667E-2</v>
      </c>
      <c r="B1558">
        <v>0.24007912494608299</v>
      </c>
      <c r="C1558">
        <v>0.195417627866357</v>
      </c>
      <c r="D1558">
        <v>0.37224054712351601</v>
      </c>
      <c r="E1558">
        <v>0.29964099846106501</v>
      </c>
    </row>
    <row r="1559" spans="1:5" x14ac:dyDescent="0.2">
      <c r="A1559">
        <v>1.15213333333333E-2</v>
      </c>
      <c r="B1559">
        <v>0.240237281619264</v>
      </c>
      <c r="C1559">
        <v>0.19554680484062101</v>
      </c>
      <c r="D1559">
        <v>0.37238735562914099</v>
      </c>
      <c r="E1559">
        <v>0.29987613851615702</v>
      </c>
    </row>
    <row r="1560" spans="1:5" x14ac:dyDescent="0.2">
      <c r="A1560">
        <v>1.1547999999999999E-2</v>
      </c>
      <c r="B1560">
        <v>0.24039641750535101</v>
      </c>
      <c r="C1560">
        <v>0.195676776058332</v>
      </c>
      <c r="D1560">
        <v>0.37253398161922602</v>
      </c>
      <c r="E1560">
        <v>0.30011179497853802</v>
      </c>
    </row>
    <row r="1561" spans="1:5" x14ac:dyDescent="0.2">
      <c r="A1561">
        <v>1.15746666666667E-2</v>
      </c>
      <c r="B1561">
        <v>0.240556434944075</v>
      </c>
      <c r="C1561">
        <v>0.19580752871294099</v>
      </c>
      <c r="D1561">
        <v>0.372680433911529</v>
      </c>
      <c r="E1561">
        <v>0.30034792389278703</v>
      </c>
    </row>
    <row r="1562" spans="1:5" x14ac:dyDescent="0.2">
      <c r="A1562">
        <v>1.16013333333333E-2</v>
      </c>
      <c r="B1562">
        <v>0.240717236275167</v>
      </c>
      <c r="C1562">
        <v>0.19593904999789599</v>
      </c>
      <c r="D1562">
        <v>0.37282672132380401</v>
      </c>
      <c r="E1562">
        <v>0.30058448130347998</v>
      </c>
    </row>
    <row r="1563" spans="1:5" x14ac:dyDescent="0.2">
      <c r="A1563">
        <v>1.1627999999999999E-2</v>
      </c>
      <c r="B1563">
        <v>0.24087872383835701</v>
      </c>
      <c r="C1563">
        <v>0.19607132710665001</v>
      </c>
      <c r="D1563">
        <v>0.37297285267380698</v>
      </c>
      <c r="E1563">
        <v>0.30082142325519401</v>
      </c>
    </row>
    <row r="1564" spans="1:5" x14ac:dyDescent="0.2">
      <c r="A1564">
        <v>1.16546666666667E-2</v>
      </c>
      <c r="B1564">
        <v>0.24104079997337599</v>
      </c>
      <c r="C1564">
        <v>0.19620434723265301</v>
      </c>
      <c r="D1564">
        <v>0.37311883677929603</v>
      </c>
      <c r="E1564">
        <v>0.30105870579250599</v>
      </c>
    </row>
    <row r="1565" spans="1:5" x14ac:dyDescent="0.2">
      <c r="A1565">
        <v>1.1681333333333301E-2</v>
      </c>
      <c r="B1565">
        <v>0.24120336701995501</v>
      </c>
      <c r="C1565">
        <v>0.196338097569355</v>
      </c>
      <c r="D1565">
        <v>0.37326468245802402</v>
      </c>
      <c r="E1565">
        <v>0.301296284959992</v>
      </c>
    </row>
    <row r="1566" spans="1:5" x14ac:dyDescent="0.2">
      <c r="A1566">
        <v>1.1708E-2</v>
      </c>
      <c r="B1566">
        <v>0.24136632731782401</v>
      </c>
      <c r="C1566">
        <v>0.19647256531020801</v>
      </c>
      <c r="D1566">
        <v>0.37341039852774899</v>
      </c>
      <c r="E1566">
        <v>0.30153411680223002</v>
      </c>
    </row>
    <row r="1567" spans="1:5" x14ac:dyDescent="0.2">
      <c r="A1567">
        <v>1.1734666666666701E-2</v>
      </c>
      <c r="B1567">
        <v>0.241529583206715</v>
      </c>
      <c r="C1567">
        <v>0.19660773764866099</v>
      </c>
      <c r="D1567">
        <v>0.37355599380622601</v>
      </c>
      <c r="E1567">
        <v>0.30177215736379598</v>
      </c>
    </row>
    <row r="1568" spans="1:5" x14ac:dyDescent="0.2">
      <c r="A1568">
        <v>1.1761333333333301E-2</v>
      </c>
      <c r="B1568">
        <v>0.241693037026357</v>
      </c>
      <c r="C1568">
        <v>0.19674360177816499</v>
      </c>
      <c r="D1568">
        <v>0.37370147711121199</v>
      </c>
      <c r="E1568">
        <v>0.30201036268926701</v>
      </c>
    </row>
    <row r="1569" spans="1:5" x14ac:dyDescent="0.2">
      <c r="A1569">
        <v>1.1788E-2</v>
      </c>
      <c r="B1569">
        <v>0.241856591116483</v>
      </c>
      <c r="C1569">
        <v>0.19688014489217101</v>
      </c>
      <c r="D1569">
        <v>0.37384685726046102</v>
      </c>
      <c r="E1569">
        <v>0.30224868882322098</v>
      </c>
    </row>
    <row r="1570" spans="1:5" x14ac:dyDescent="0.2">
      <c r="A1570">
        <v>1.1814666666666701E-2</v>
      </c>
      <c r="B1570">
        <v>0.24202014781682199</v>
      </c>
      <c r="C1570">
        <v>0.197017354184129</v>
      </c>
      <c r="D1570">
        <v>0.37399214307173101</v>
      </c>
      <c r="E1570">
        <v>0.30248709181023398</v>
      </c>
    </row>
    <row r="1571" spans="1:5" x14ac:dyDescent="0.2">
      <c r="A1571">
        <v>1.1841333333333299E-2</v>
      </c>
      <c r="B1571">
        <v>0.24218360946710499</v>
      </c>
      <c r="C1571">
        <v>0.19715521684748999</v>
      </c>
      <c r="D1571">
        <v>0.37413734336277599</v>
      </c>
      <c r="E1571">
        <v>0.30272552769488298</v>
      </c>
    </row>
    <row r="1572" spans="1:5" x14ac:dyDescent="0.2">
      <c r="A1572">
        <v>1.1868E-2</v>
      </c>
      <c r="B1572">
        <v>0.24234687840706401</v>
      </c>
      <c r="C1572">
        <v>0.197293720075705</v>
      </c>
      <c r="D1572">
        <v>0.37428246695135398</v>
      </c>
      <c r="E1572">
        <v>0.30296395252174502</v>
      </c>
    </row>
    <row r="1573" spans="1:5" x14ac:dyDescent="0.2">
      <c r="A1573">
        <v>1.1894666666666699E-2</v>
      </c>
      <c r="B1573">
        <v>0.24250985697642799</v>
      </c>
      <c r="C1573">
        <v>0.197432851062224</v>
      </c>
      <c r="D1573">
        <v>0.374427522655219</v>
      </c>
      <c r="E1573">
        <v>0.30320232233539601</v>
      </c>
    </row>
    <row r="1574" spans="1:5" x14ac:dyDescent="0.2">
      <c r="A1574">
        <v>1.1921333333333299E-2</v>
      </c>
      <c r="B1574">
        <v>0.242672447514928</v>
      </c>
      <c r="C1574">
        <v>0.19757259700049801</v>
      </c>
      <c r="D1574">
        <v>0.37457251929212798</v>
      </c>
      <c r="E1574">
        <v>0.303440593180415</v>
      </c>
    </row>
    <row r="1575" spans="1:5" x14ac:dyDescent="0.2">
      <c r="A1575">
        <v>1.1948E-2</v>
      </c>
      <c r="B1575">
        <v>0.24283455236229601</v>
      </c>
      <c r="C1575">
        <v>0.19771294508397699</v>
      </c>
      <c r="D1575">
        <v>0.37471746567983699</v>
      </c>
      <c r="E1575">
        <v>0.303678721101376</v>
      </c>
    </row>
    <row r="1576" spans="1:5" x14ac:dyDescent="0.2">
      <c r="A1576">
        <v>1.1974666666666699E-2</v>
      </c>
      <c r="B1576">
        <v>0.242996073858262</v>
      </c>
      <c r="C1576">
        <v>0.19785388250611199</v>
      </c>
      <c r="D1576">
        <v>0.374862370636102</v>
      </c>
      <c r="E1576">
        <v>0.30391666214285901</v>
      </c>
    </row>
    <row r="1577" spans="1:5" x14ac:dyDescent="0.2">
      <c r="A1577">
        <v>1.20013333333333E-2</v>
      </c>
      <c r="B1577">
        <v>0.243156914345136</v>
      </c>
      <c r="C1577">
        <v>0.197995396460354</v>
      </c>
      <c r="D1577">
        <v>0.37500724297849403</v>
      </c>
      <c r="E1577">
        <v>0.304154372350596</v>
      </c>
    </row>
    <row r="1578" spans="1:5" x14ac:dyDescent="0.2">
      <c r="A1578">
        <v>1.2028E-2</v>
      </c>
      <c r="B1578">
        <v>0.24331700004179799</v>
      </c>
      <c r="C1578">
        <v>0.19813747414015301</v>
      </c>
      <c r="D1578">
        <v>0.375152089821571</v>
      </c>
      <c r="E1578">
        <v>0.30439181848611102</v>
      </c>
    </row>
    <row r="1579" spans="1:5" x14ac:dyDescent="0.2">
      <c r="A1579">
        <v>1.20546666666667E-2</v>
      </c>
      <c r="B1579">
        <v>0.243476339402908</v>
      </c>
      <c r="C1579">
        <v>0.19828010273895899</v>
      </c>
      <c r="D1579">
        <v>0.37529691241436203</v>
      </c>
      <c r="E1579">
        <v>0.30462900421829398</v>
      </c>
    </row>
    <row r="1580" spans="1:5" x14ac:dyDescent="0.2">
      <c r="A1580">
        <v>1.20813333333333E-2</v>
      </c>
      <c r="B1580">
        <v>0.24363495857454101</v>
      </c>
      <c r="C1580">
        <v>0.19842326945022401</v>
      </c>
      <c r="D1580">
        <v>0.37544171074404098</v>
      </c>
      <c r="E1580">
        <v>0.30486594115592702</v>
      </c>
    </row>
    <row r="1581" spans="1:5" x14ac:dyDescent="0.2">
      <c r="A1581">
        <v>1.2108000000000001E-2</v>
      </c>
      <c r="B1581">
        <v>0.243792883702769</v>
      </c>
      <c r="C1581">
        <v>0.198566961467398</v>
      </c>
      <c r="D1581">
        <v>0.375586484797783</v>
      </c>
      <c r="E1581">
        <v>0.30510264090779299</v>
      </c>
    </row>
    <row r="1582" spans="1:5" x14ac:dyDescent="0.2">
      <c r="A1582">
        <v>1.21346666666667E-2</v>
      </c>
      <c r="B1582">
        <v>0.24395014093366499</v>
      </c>
      <c r="C1582">
        <v>0.19871116598393199</v>
      </c>
      <c r="D1582">
        <v>0.37573123456276297</v>
      </c>
      <c r="E1582">
        <v>0.30533911508267603</v>
      </c>
    </row>
    <row r="1583" spans="1:5" x14ac:dyDescent="0.2">
      <c r="A1583">
        <v>1.21613333333333E-2</v>
      </c>
      <c r="B1583">
        <v>0.24410675641330201</v>
      </c>
      <c r="C1583">
        <v>0.198855870193275</v>
      </c>
      <c r="D1583">
        <v>0.37587596002615598</v>
      </c>
      <c r="E1583">
        <v>0.30557537528935902</v>
      </c>
    </row>
    <row r="1584" spans="1:5" x14ac:dyDescent="0.2">
      <c r="A1584">
        <v>1.2187999999999999E-2</v>
      </c>
      <c r="B1584">
        <v>0.24426275628775301</v>
      </c>
      <c r="C1584">
        <v>0.19900106128887901</v>
      </c>
      <c r="D1584">
        <v>0.37602066117513799</v>
      </c>
      <c r="E1584">
        <v>0.30581143313662301</v>
      </c>
    </row>
    <row r="1585" spans="1:5" x14ac:dyDescent="0.2">
      <c r="A1585">
        <v>1.22146666666667E-2</v>
      </c>
      <c r="B1585">
        <v>0.24441816670309</v>
      </c>
      <c r="C1585">
        <v>0.19914672646419501</v>
      </c>
      <c r="D1585">
        <v>0.37616533799688201</v>
      </c>
      <c r="E1585">
        <v>0.30604730023325299</v>
      </c>
    </row>
    <row r="1586" spans="1:5" x14ac:dyDescent="0.2">
      <c r="A1586">
        <v>1.22413333333333E-2</v>
      </c>
      <c r="B1586">
        <v>0.24457301380538701</v>
      </c>
      <c r="C1586">
        <v>0.19929285291267201</v>
      </c>
      <c r="D1586">
        <v>0.376309990478564</v>
      </c>
      <c r="E1586">
        <v>0.30628298818803101</v>
      </c>
    </row>
    <row r="1587" spans="1:5" x14ac:dyDescent="0.2">
      <c r="A1587">
        <v>1.2267999999999999E-2</v>
      </c>
      <c r="B1587">
        <v>0.24472732374071601</v>
      </c>
      <c r="C1587">
        <v>0.199439427827762</v>
      </c>
      <c r="D1587">
        <v>0.37645461860735902</v>
      </c>
      <c r="E1587">
        <v>0.30651850860974</v>
      </c>
    </row>
    <row r="1588" spans="1:5" x14ac:dyDescent="0.2">
      <c r="A1588">
        <v>1.22946666666667E-2</v>
      </c>
      <c r="B1588">
        <v>0.24488112265515</v>
      </c>
      <c r="C1588">
        <v>0.19958643840291501</v>
      </c>
      <c r="D1588">
        <v>0.37659922237044202</v>
      </c>
      <c r="E1588">
        <v>0.30675387310716401</v>
      </c>
    </row>
    <row r="1589" spans="1:5" x14ac:dyDescent="0.2">
      <c r="A1589">
        <v>1.23213333333333E-2</v>
      </c>
      <c r="B1589">
        <v>0.24503443669476199</v>
      </c>
      <c r="C1589">
        <v>0.199733871831582</v>
      </c>
      <c r="D1589">
        <v>0.37674380175498701</v>
      </c>
      <c r="E1589">
        <v>0.30698909328908403</v>
      </c>
    </row>
    <row r="1590" spans="1:5" x14ac:dyDescent="0.2">
      <c r="A1590">
        <v>1.2348E-2</v>
      </c>
      <c r="B1590">
        <v>0.245187292005625</v>
      </c>
      <c r="C1590">
        <v>0.19988171530721299</v>
      </c>
      <c r="D1590">
        <v>0.37688835674817001</v>
      </c>
      <c r="E1590">
        <v>0.30722418076428398</v>
      </c>
    </row>
    <row r="1591" spans="1:5" x14ac:dyDescent="0.2">
      <c r="A1591">
        <v>1.23746666666667E-2</v>
      </c>
      <c r="B1591">
        <v>0.245339714733812</v>
      </c>
      <c r="C1591">
        <v>0.20002995602325799</v>
      </c>
      <c r="D1591">
        <v>0.377032887337165</v>
      </c>
      <c r="E1591">
        <v>0.30745914714154798</v>
      </c>
    </row>
    <row r="1592" spans="1:5" x14ac:dyDescent="0.2">
      <c r="A1592">
        <v>1.2401333333333301E-2</v>
      </c>
      <c r="B1592">
        <v>0.24549173102539501</v>
      </c>
      <c r="C1592">
        <v>0.20017858117317</v>
      </c>
      <c r="D1592">
        <v>0.37717739350914797</v>
      </c>
      <c r="E1592">
        <v>0.30769400402965802</v>
      </c>
    </row>
    <row r="1593" spans="1:5" x14ac:dyDescent="0.2">
      <c r="A1593">
        <v>1.2428E-2</v>
      </c>
      <c r="B1593">
        <v>0.24564336702644701</v>
      </c>
      <c r="C1593">
        <v>0.20032757795039699</v>
      </c>
      <c r="D1593">
        <v>0.37732187525129302</v>
      </c>
      <c r="E1593">
        <v>0.30792876303739602</v>
      </c>
    </row>
    <row r="1594" spans="1:5" x14ac:dyDescent="0.2">
      <c r="A1594">
        <v>1.2454666666666701E-2</v>
      </c>
      <c r="B1594">
        <v>0.24579464888304101</v>
      </c>
      <c r="C1594">
        <v>0.200476933548391</v>
      </c>
      <c r="D1594">
        <v>0.377466332550776</v>
      </c>
      <c r="E1594">
        <v>0.30816343577354599</v>
      </c>
    </row>
    <row r="1595" spans="1:5" x14ac:dyDescent="0.2">
      <c r="A1595">
        <v>1.2481333333333299E-2</v>
      </c>
      <c r="B1595">
        <v>0.24594560274125099</v>
      </c>
      <c r="C1595">
        <v>0.200626635160602</v>
      </c>
      <c r="D1595">
        <v>0.37761076539477101</v>
      </c>
      <c r="E1595">
        <v>0.30839803384689202</v>
      </c>
    </row>
    <row r="1596" spans="1:5" x14ac:dyDescent="0.2">
      <c r="A1596">
        <v>1.2508E-2</v>
      </c>
      <c r="B1596">
        <v>0.246096254747149</v>
      </c>
      <c r="C1596">
        <v>0.20077666998048099</v>
      </c>
      <c r="D1596">
        <v>0.37775517377045298</v>
      </c>
      <c r="E1596">
        <v>0.30863256886621498</v>
      </c>
    </row>
    <row r="1597" spans="1:5" x14ac:dyDescent="0.2">
      <c r="A1597">
        <v>1.2534666666666699E-2</v>
      </c>
      <c r="B1597">
        <v>0.246246631046807</v>
      </c>
      <c r="C1597">
        <v>0.20092702520147901</v>
      </c>
      <c r="D1597">
        <v>0.377899557664997</v>
      </c>
      <c r="E1597">
        <v>0.30886705244029899</v>
      </c>
    </row>
    <row r="1598" spans="1:5" x14ac:dyDescent="0.2">
      <c r="A1598">
        <v>1.2561333333333299E-2</v>
      </c>
      <c r="B1598">
        <v>0.24639675778629899</v>
      </c>
      <c r="C1598">
        <v>0.20107768801704501</v>
      </c>
      <c r="D1598">
        <v>0.37804391706557799</v>
      </c>
      <c r="E1598">
        <v>0.30910149617792598</v>
      </c>
    </row>
    <row r="1599" spans="1:5" x14ac:dyDescent="0.2">
      <c r="A1599">
        <v>1.2588E-2</v>
      </c>
      <c r="B1599">
        <v>0.24654666111169701</v>
      </c>
      <c r="C1599">
        <v>0.201228645620631</v>
      </c>
      <c r="D1599">
        <v>0.378188251959371</v>
      </c>
      <c r="E1599">
        <v>0.30933591168788099</v>
      </c>
    </row>
    <row r="1600" spans="1:5" x14ac:dyDescent="0.2">
      <c r="A1600">
        <v>1.2614666666666699E-2</v>
      </c>
      <c r="B1600">
        <v>0.246696367169074</v>
      </c>
      <c r="C1600">
        <v>0.201379885205687</v>
      </c>
      <c r="D1600">
        <v>0.378332562333551</v>
      </c>
      <c r="E1600">
        <v>0.30957031057894502</v>
      </c>
    </row>
    <row r="1601" spans="1:5" x14ac:dyDescent="0.2">
      <c r="A1601">
        <v>1.26413333333333E-2</v>
      </c>
      <c r="B1601">
        <v>0.24684590210450399</v>
      </c>
      <c r="C1601">
        <v>0.201531393965665</v>
      </c>
      <c r="D1601">
        <v>0.37847684817529298</v>
      </c>
      <c r="E1601">
        <v>0.30980470445990099</v>
      </c>
    </row>
    <row r="1602" spans="1:5" x14ac:dyDescent="0.2">
      <c r="A1602">
        <v>1.2668E-2</v>
      </c>
      <c r="B1602">
        <v>0.24699529206405901</v>
      </c>
      <c r="C1602">
        <v>0.20168315909401299</v>
      </c>
      <c r="D1602">
        <v>0.37862110947177102</v>
      </c>
      <c r="E1602">
        <v>0.31003910493953402</v>
      </c>
    </row>
    <row r="1603" spans="1:5" x14ac:dyDescent="0.2">
      <c r="A1603">
        <v>1.26946666666667E-2</v>
      </c>
      <c r="B1603">
        <v>0.24714456319381101</v>
      </c>
      <c r="C1603">
        <v>0.20183516778418401</v>
      </c>
      <c r="D1603">
        <v>0.378765346210162</v>
      </c>
      <c r="E1603">
        <v>0.31027352362662503</v>
      </c>
    </row>
    <row r="1604" spans="1:5" x14ac:dyDescent="0.2">
      <c r="A1604">
        <v>1.27213333333333E-2</v>
      </c>
      <c r="B1604">
        <v>0.247293741639834</v>
      </c>
      <c r="C1604">
        <v>0.20198740722962699</v>
      </c>
      <c r="D1604">
        <v>0.37890955837763801</v>
      </c>
      <c r="E1604">
        <v>0.31050797212995701</v>
      </c>
    </row>
    <row r="1605" spans="1:5" x14ac:dyDescent="0.2">
      <c r="A1605">
        <v>1.2748000000000001E-2</v>
      </c>
      <c r="B1605">
        <v>0.247442853548201</v>
      </c>
      <c r="C1605">
        <v>0.20213986462379299</v>
      </c>
      <c r="D1605">
        <v>0.37905374596137698</v>
      </c>
      <c r="E1605">
        <v>0.31074246205831402</v>
      </c>
    </row>
    <row r="1606" spans="1:5" x14ac:dyDescent="0.2">
      <c r="A1606">
        <v>1.27746666666667E-2</v>
      </c>
      <c r="B1606">
        <v>0.24759192506498401</v>
      </c>
      <c r="C1606">
        <v>0.20229252716013299</v>
      </c>
      <c r="D1606">
        <v>0.37919790894855199</v>
      </c>
      <c r="E1606">
        <v>0.31097700502047798</v>
      </c>
    </row>
    <row r="1607" spans="1:5" x14ac:dyDescent="0.2">
      <c r="A1607">
        <v>1.28013333333333E-2</v>
      </c>
      <c r="B1607">
        <v>0.24774098233625599</v>
      </c>
      <c r="C1607">
        <v>0.202445382032097</v>
      </c>
      <c r="D1607">
        <v>0.37934204732633803</v>
      </c>
      <c r="E1607">
        <v>0.311211612625233</v>
      </c>
    </row>
    <row r="1608" spans="1:5" x14ac:dyDescent="0.2">
      <c r="A1608">
        <v>1.2828000000000001E-2</v>
      </c>
      <c r="B1608">
        <v>0.24789005150808999</v>
      </c>
      <c r="C1608">
        <v>0.202598416433137</v>
      </c>
      <c r="D1608">
        <v>0.37948616108191002</v>
      </c>
      <c r="E1608">
        <v>0.31144629648136102</v>
      </c>
    </row>
    <row r="1609" spans="1:5" x14ac:dyDescent="0.2">
      <c r="A1609">
        <v>1.28546666666667E-2</v>
      </c>
      <c r="B1609">
        <v>0.24803915872655899</v>
      </c>
      <c r="C1609">
        <v>0.20275161755670201</v>
      </c>
      <c r="D1609">
        <v>0.37963025020244401</v>
      </c>
      <c r="E1609">
        <v>0.31168106819764602</v>
      </c>
    </row>
    <row r="1610" spans="1:5" x14ac:dyDescent="0.2">
      <c r="A1610">
        <v>1.28813333333333E-2</v>
      </c>
      <c r="B1610">
        <v>0.248188330137736</v>
      </c>
      <c r="C1610">
        <v>0.20290497259624299</v>
      </c>
      <c r="D1610">
        <v>0.37977431467511402</v>
      </c>
      <c r="E1610">
        <v>0.31191593938286999</v>
      </c>
    </row>
    <row r="1611" spans="1:5" x14ac:dyDescent="0.2">
      <c r="A1611">
        <v>1.2907999999999999E-2</v>
      </c>
      <c r="B1611">
        <v>0.248337591887694</v>
      </c>
      <c r="C1611">
        <v>0.20305846874521</v>
      </c>
      <c r="D1611">
        <v>0.37991835448709499</v>
      </c>
      <c r="E1611">
        <v>0.31215092164581598</v>
      </c>
    </row>
    <row r="1612" spans="1:5" x14ac:dyDescent="0.2">
      <c r="A1612">
        <v>1.29346666666667E-2</v>
      </c>
      <c r="B1612">
        <v>0.24848697012250501</v>
      </c>
      <c r="C1612">
        <v>0.20321209319705499</v>
      </c>
      <c r="D1612">
        <v>0.380062369625562</v>
      </c>
      <c r="E1612">
        <v>0.31238602659526699</v>
      </c>
    </row>
    <row r="1613" spans="1:5" x14ac:dyDescent="0.2">
      <c r="A1613">
        <v>1.29613333333333E-2</v>
      </c>
      <c r="B1613">
        <v>0.248636490988242</v>
      </c>
      <c r="C1613">
        <v>0.20336583314522899</v>
      </c>
      <c r="D1613">
        <v>0.38020636007769099</v>
      </c>
      <c r="E1613">
        <v>0.31262126584000599</v>
      </c>
    </row>
    <row r="1614" spans="1:5" x14ac:dyDescent="0.2">
      <c r="A1614">
        <v>1.2988E-2</v>
      </c>
      <c r="B1614">
        <v>0.24878618063097799</v>
      </c>
      <c r="C1614">
        <v>0.20351967578318</v>
      </c>
      <c r="D1614">
        <v>0.38035032583065498</v>
      </c>
      <c r="E1614">
        <v>0.31285665098881699</v>
      </c>
    </row>
    <row r="1615" spans="1:5" x14ac:dyDescent="0.2">
      <c r="A1615">
        <v>1.30146666666667E-2</v>
      </c>
      <c r="B1615">
        <v>0.24893606427977399</v>
      </c>
      <c r="C1615">
        <v>0.20367360830436099</v>
      </c>
      <c r="D1615">
        <v>0.38049426687163002</v>
      </c>
      <c r="E1615">
        <v>0.31309219324177001</v>
      </c>
    </row>
    <row r="1616" spans="1:5" x14ac:dyDescent="0.2">
      <c r="A1616">
        <v>1.3041333333333301E-2</v>
      </c>
      <c r="B1616">
        <v>0.24908615030678199</v>
      </c>
      <c r="C1616">
        <v>0.20382761790222101</v>
      </c>
      <c r="D1616">
        <v>0.38063818318779002</v>
      </c>
      <c r="E1616">
        <v>0.31332789628582702</v>
      </c>
    </row>
    <row r="1617" spans="1:5" x14ac:dyDescent="0.2">
      <c r="A1617">
        <v>1.3068E-2</v>
      </c>
      <c r="B1617">
        <v>0.249236432290008</v>
      </c>
      <c r="C1617">
        <v>0.203981691770212</v>
      </c>
      <c r="D1617">
        <v>0.38078207476631198</v>
      </c>
      <c r="E1617">
        <v>0.31356375721421198</v>
      </c>
    </row>
    <row r="1618" spans="1:5" x14ac:dyDescent="0.2">
      <c r="A1618">
        <v>1.3094666666666701E-2</v>
      </c>
      <c r="B1618">
        <v>0.249386903305201</v>
      </c>
      <c r="C1618">
        <v>0.204135817101784</v>
      </c>
      <c r="D1618">
        <v>0.38092594159436899</v>
      </c>
      <c r="E1618">
        <v>0.31379977289629402</v>
      </c>
    </row>
    <row r="1619" spans="1:5" x14ac:dyDescent="0.2">
      <c r="A1619">
        <v>1.3121333333333301E-2</v>
      </c>
      <c r="B1619">
        <v>0.24953755642811301</v>
      </c>
      <c r="C1619">
        <v>0.20428998109038701</v>
      </c>
      <c r="D1619">
        <v>0.38106978365913602</v>
      </c>
      <c r="E1619">
        <v>0.31403594020143999</v>
      </c>
    </row>
    <row r="1620" spans="1:5" x14ac:dyDescent="0.2">
      <c r="A1620">
        <v>1.3148E-2</v>
      </c>
      <c r="B1620">
        <v>0.24968838473449401</v>
      </c>
      <c r="C1620">
        <v>0.20444417092947201</v>
      </c>
      <c r="D1620">
        <v>0.381213600947789</v>
      </c>
      <c r="E1620">
        <v>0.31427225599901998</v>
      </c>
    </row>
    <row r="1621" spans="1:5" x14ac:dyDescent="0.2">
      <c r="A1621">
        <v>1.3174666666666701E-2</v>
      </c>
      <c r="B1621">
        <v>0.249839381300094</v>
      </c>
      <c r="C1621">
        <v>0.20459837381248999</v>
      </c>
      <c r="D1621">
        <v>0.38135739344750302</v>
      </c>
      <c r="E1621">
        <v>0.31450871715840301</v>
      </c>
    </row>
    <row r="1622" spans="1:5" x14ac:dyDescent="0.2">
      <c r="A1622">
        <v>1.3201333333333299E-2</v>
      </c>
      <c r="B1622">
        <v>0.249990539200663</v>
      </c>
      <c r="C1622">
        <v>0.20475257693289101</v>
      </c>
      <c r="D1622">
        <v>0.38150116114545202</v>
      </c>
      <c r="E1622">
        <v>0.31474532054895499</v>
      </c>
    </row>
    <row r="1623" spans="1:5" x14ac:dyDescent="0.2">
      <c r="A1623">
        <v>1.3228E-2</v>
      </c>
      <c r="B1623">
        <v>0.25014185151195101</v>
      </c>
      <c r="C1623">
        <v>0.20490676748412601</v>
      </c>
      <c r="D1623">
        <v>0.38164490402881102</v>
      </c>
      <c r="E1623">
        <v>0.314982063040048</v>
      </c>
    </row>
    <row r="1624" spans="1:5" x14ac:dyDescent="0.2">
      <c r="A1624">
        <v>1.3254666666666699E-2</v>
      </c>
      <c r="B1624">
        <v>0.25029331130971</v>
      </c>
      <c r="C1624">
        <v>0.20506093265964501</v>
      </c>
      <c r="D1624">
        <v>0.381788622084755</v>
      </c>
      <c r="E1624">
        <v>0.31521894150104801</v>
      </c>
    </row>
    <row r="1625" spans="1:5" x14ac:dyDescent="0.2">
      <c r="A1625">
        <v>1.32813333333333E-2</v>
      </c>
      <c r="B1625">
        <v>0.25044491166968802</v>
      </c>
      <c r="C1625">
        <v>0.20521505965289999</v>
      </c>
      <c r="D1625">
        <v>0.38193231530046001</v>
      </c>
      <c r="E1625">
        <v>0.31545595280132499</v>
      </c>
    </row>
    <row r="1626" spans="1:5" x14ac:dyDescent="0.2">
      <c r="A1626">
        <v>1.3308E-2</v>
      </c>
      <c r="B1626">
        <v>0.25059664566763701</v>
      </c>
      <c r="C1626">
        <v>0.20536913565734</v>
      </c>
      <c r="D1626">
        <v>0.38207598366309897</v>
      </c>
      <c r="E1626">
        <v>0.31569309381024702</v>
      </c>
    </row>
    <row r="1627" spans="1:5" x14ac:dyDescent="0.2">
      <c r="A1627">
        <v>1.33346666666667E-2</v>
      </c>
      <c r="B1627">
        <v>0.25074850637930701</v>
      </c>
      <c r="C1627">
        <v>0.20552314786641601</v>
      </c>
      <c r="D1627">
        <v>0.38221962715984897</v>
      </c>
      <c r="E1627">
        <v>0.315930361397182</v>
      </c>
    </row>
    <row r="1628" spans="1:5" x14ac:dyDescent="0.2">
      <c r="A1628">
        <v>1.33613333333333E-2</v>
      </c>
      <c r="B1628">
        <v>0.25090048688044803</v>
      </c>
      <c r="C1628">
        <v>0.20567708347357999</v>
      </c>
      <c r="D1628">
        <v>0.382363245777883</v>
      </c>
      <c r="E1628">
        <v>0.31616775243150003</v>
      </c>
    </row>
    <row r="1629" spans="1:5" x14ac:dyDescent="0.2">
      <c r="A1629">
        <v>1.3388000000000001E-2</v>
      </c>
      <c r="B1629">
        <v>0.25105258024681099</v>
      </c>
      <c r="C1629">
        <v>0.20583092967228001</v>
      </c>
      <c r="D1629">
        <v>0.38250683950437703</v>
      </c>
      <c r="E1629">
        <v>0.316405263782569</v>
      </c>
    </row>
    <row r="1630" spans="1:5" x14ac:dyDescent="0.2">
      <c r="A1630">
        <v>1.34146666666667E-2</v>
      </c>
      <c r="B1630">
        <v>0.251204779554145</v>
      </c>
      <c r="C1630">
        <v>0.20598467365596901</v>
      </c>
      <c r="D1630">
        <v>0.38265040832650699</v>
      </c>
      <c r="E1630">
        <v>0.31664289231975801</v>
      </c>
    </row>
    <row r="1631" spans="1:5" x14ac:dyDescent="0.2">
      <c r="A1631">
        <v>1.34413333333333E-2</v>
      </c>
      <c r="B1631">
        <v>0.251357077878201</v>
      </c>
      <c r="C1631">
        <v>0.20613830261809599</v>
      </c>
      <c r="D1631">
        <v>0.38279395223144502</v>
      </c>
      <c r="E1631">
        <v>0.31688063491243501</v>
      </c>
    </row>
    <row r="1632" spans="1:5" x14ac:dyDescent="0.2">
      <c r="A1632">
        <v>1.3468000000000001E-2</v>
      </c>
      <c r="B1632">
        <v>0.25150946829472898</v>
      </c>
      <c r="C1632">
        <v>0.20629180375211301</v>
      </c>
      <c r="D1632">
        <v>0.38293747120636901</v>
      </c>
      <c r="E1632">
        <v>0.31711848842996798</v>
      </c>
    </row>
    <row r="1633" spans="1:5" x14ac:dyDescent="0.2">
      <c r="A1633">
        <v>1.34946666666667E-2</v>
      </c>
      <c r="B1633">
        <v>0.25166194387948099</v>
      </c>
      <c r="C1633">
        <v>0.206445164251469</v>
      </c>
      <c r="D1633">
        <v>0.38308096523845198</v>
      </c>
      <c r="E1633">
        <v>0.317356449741727</v>
      </c>
    </row>
    <row r="1634" spans="1:5" x14ac:dyDescent="0.2">
      <c r="A1634">
        <v>1.35213333333333E-2</v>
      </c>
      <c r="B1634">
        <v>0.25181449770820502</v>
      </c>
      <c r="C1634">
        <v>0.206598371309616</v>
      </c>
      <c r="D1634">
        <v>0.38322443431487002</v>
      </c>
      <c r="E1634">
        <v>0.31759451571707897</v>
      </c>
    </row>
    <row r="1635" spans="1:5" x14ac:dyDescent="0.2">
      <c r="A1635">
        <v>1.3547999999999999E-2</v>
      </c>
      <c r="B1635">
        <v>0.25196712285665201</v>
      </c>
      <c r="C1635">
        <v>0.206751412120004</v>
      </c>
      <c r="D1635">
        <v>0.38336787842279701</v>
      </c>
      <c r="E1635">
        <v>0.31783268322539399</v>
      </c>
    </row>
    <row r="1636" spans="1:5" x14ac:dyDescent="0.2">
      <c r="A1636">
        <v>1.35746666666667E-2</v>
      </c>
      <c r="B1636">
        <v>0.25211981240057302</v>
      </c>
      <c r="C1636">
        <v>0.20690427387608301</v>
      </c>
      <c r="D1636">
        <v>0.38351129754940799</v>
      </c>
      <c r="E1636">
        <v>0.318070949136041</v>
      </c>
    </row>
    <row r="1637" spans="1:5" x14ac:dyDescent="0.2">
      <c r="A1637">
        <v>1.36013333333333E-2</v>
      </c>
      <c r="B1637">
        <v>0.25227255941571802</v>
      </c>
      <c r="C1637">
        <v>0.20705694377130399</v>
      </c>
      <c r="D1637">
        <v>0.38365469168187899</v>
      </c>
      <c r="E1637">
        <v>0.318309310318387</v>
      </c>
    </row>
    <row r="1638" spans="1:5" x14ac:dyDescent="0.2">
      <c r="A1638">
        <v>1.3627999999999999E-2</v>
      </c>
      <c r="B1638">
        <v>0.25242535697783702</v>
      </c>
      <c r="C1638">
        <v>0.20720940899911899</v>
      </c>
      <c r="D1638">
        <v>0.38379806080738399</v>
      </c>
      <c r="E1638">
        <v>0.31854776364180099</v>
      </c>
    </row>
    <row r="1639" spans="1:5" x14ac:dyDescent="0.2">
      <c r="A1639">
        <v>1.36546666666667E-2</v>
      </c>
      <c r="B1639">
        <v>0.25257819816268001</v>
      </c>
      <c r="C1639">
        <v>0.20736165675297599</v>
      </c>
      <c r="D1639">
        <v>0.38394140491309803</v>
      </c>
      <c r="E1639">
        <v>0.318786305975652</v>
      </c>
    </row>
    <row r="1640" spans="1:5" x14ac:dyDescent="0.2">
      <c r="A1640">
        <v>1.3681333333333301E-2</v>
      </c>
      <c r="B1640">
        <v>0.25273107604599798</v>
      </c>
      <c r="C1640">
        <v>0.20751367422632799</v>
      </c>
      <c r="D1640">
        <v>0.38408472398619597</v>
      </c>
      <c r="E1640">
        <v>0.319024934189309</v>
      </c>
    </row>
    <row r="1641" spans="1:5" x14ac:dyDescent="0.2">
      <c r="A1641">
        <v>1.3708E-2</v>
      </c>
      <c r="B1641">
        <v>0.25288398370354198</v>
      </c>
      <c r="C1641">
        <v>0.20766544861262401</v>
      </c>
      <c r="D1641">
        <v>0.38422801801385298</v>
      </c>
      <c r="E1641">
        <v>0.31926364515214001</v>
      </c>
    </row>
    <row r="1642" spans="1:5" x14ac:dyDescent="0.2">
      <c r="A1642">
        <v>1.3734666666666701E-2</v>
      </c>
      <c r="B1642">
        <v>0.25303691421106</v>
      </c>
      <c r="C1642">
        <v>0.207816967105315</v>
      </c>
      <c r="D1642">
        <v>0.38437128698324502</v>
      </c>
      <c r="E1642">
        <v>0.319502435733514</v>
      </c>
    </row>
    <row r="1643" spans="1:5" x14ac:dyDescent="0.2">
      <c r="A1643">
        <v>1.3761333333333301E-2</v>
      </c>
      <c r="B1643">
        <v>0.25318986064430499</v>
      </c>
      <c r="C1643">
        <v>0.207968216897852</v>
      </c>
      <c r="D1643">
        <v>0.38451453088154502</v>
      </c>
      <c r="E1643">
        <v>0.319741302802798</v>
      </c>
    </row>
    <row r="1644" spans="1:5" x14ac:dyDescent="0.2">
      <c r="A1644">
        <v>1.3788E-2</v>
      </c>
      <c r="B1644">
        <v>0.25334281607902498</v>
      </c>
      <c r="C1644">
        <v>0.208119185183685</v>
      </c>
      <c r="D1644">
        <v>0.38465774969592798</v>
      </c>
      <c r="E1644">
        <v>0.31998024322936303</v>
      </c>
    </row>
    <row r="1645" spans="1:5" x14ac:dyDescent="0.2">
      <c r="A1645">
        <v>1.3814666666666701E-2</v>
      </c>
      <c r="B1645">
        <v>0.25349577359097197</v>
      </c>
      <c r="C1645">
        <v>0.208269859156266</v>
      </c>
      <c r="D1645">
        <v>0.38480094341357102</v>
      </c>
      <c r="E1645">
        <v>0.32021925388257599</v>
      </c>
    </row>
    <row r="1646" spans="1:5" x14ac:dyDescent="0.2">
      <c r="A1646">
        <v>1.3841333333333299E-2</v>
      </c>
      <c r="B1646">
        <v>0.25364872625589502</v>
      </c>
      <c r="C1646">
        <v>0.208420226009044</v>
      </c>
      <c r="D1646">
        <v>0.38494411202164702</v>
      </c>
      <c r="E1646">
        <v>0.32045833163180698</v>
      </c>
    </row>
    <row r="1647" spans="1:5" x14ac:dyDescent="0.2">
      <c r="A1647">
        <v>1.3868E-2</v>
      </c>
      <c r="B1647">
        <v>0.253801667149546</v>
      </c>
      <c r="C1647">
        <v>0.20857027293546901</v>
      </c>
      <c r="D1647">
        <v>0.38508725550733203</v>
      </c>
      <c r="E1647">
        <v>0.32069747334642301</v>
      </c>
    </row>
    <row r="1648" spans="1:5" x14ac:dyDescent="0.2">
      <c r="A1648">
        <v>1.3894666666666699E-2</v>
      </c>
      <c r="B1648">
        <v>0.25395458934767301</v>
      </c>
      <c r="C1648">
        <v>0.20871998712899401</v>
      </c>
      <c r="D1648">
        <v>0.38523037385780101</v>
      </c>
      <c r="E1648">
        <v>0.320936675895793</v>
      </c>
    </row>
    <row r="1649" spans="1:5" x14ac:dyDescent="0.2">
      <c r="A1649">
        <v>1.3921333333333299E-2</v>
      </c>
      <c r="B1649">
        <v>0.254107485926028</v>
      </c>
      <c r="C1649">
        <v>0.20886935578306801</v>
      </c>
      <c r="D1649">
        <v>0.38537346706022801</v>
      </c>
      <c r="E1649">
        <v>0.32117593614928702</v>
      </c>
    </row>
    <row r="1650" spans="1:5" x14ac:dyDescent="0.2">
      <c r="A1650">
        <v>1.3948E-2</v>
      </c>
      <c r="B1650">
        <v>0.25426034996036101</v>
      </c>
      <c r="C1650">
        <v>0.20901836609114199</v>
      </c>
      <c r="D1650">
        <v>0.38551653510178802</v>
      </c>
      <c r="E1650">
        <v>0.32141525097627199</v>
      </c>
    </row>
    <row r="1651" spans="1:5" x14ac:dyDescent="0.2">
      <c r="A1651">
        <v>1.3974666666666699E-2</v>
      </c>
      <c r="B1651">
        <v>0.25441317452642198</v>
      </c>
      <c r="C1651">
        <v>0.20916700524666601</v>
      </c>
      <c r="D1651">
        <v>0.385659577969657</v>
      </c>
      <c r="E1651">
        <v>0.32165461724611599</v>
      </c>
    </row>
    <row r="1652" spans="1:5" x14ac:dyDescent="0.2">
      <c r="A1652">
        <v>1.40013333333333E-2</v>
      </c>
      <c r="B1652">
        <v>0.25456595270013799</v>
      </c>
      <c r="C1652">
        <v>0.20931526044359799</v>
      </c>
      <c r="D1652">
        <v>0.385802595651008</v>
      </c>
      <c r="E1652">
        <v>0.32189403182825999</v>
      </c>
    </row>
    <row r="1653" spans="1:5" x14ac:dyDescent="0.2">
      <c r="A1653">
        <v>1.4028000000000001E-2</v>
      </c>
      <c r="B1653">
        <v>0.25471867919195301</v>
      </c>
      <c r="C1653">
        <v>0.209463123563744</v>
      </c>
      <c r="D1653">
        <v>0.38594558813301899</v>
      </c>
      <c r="E1653">
        <v>0.32213349223958199</v>
      </c>
    </row>
    <row r="1654" spans="1:5" x14ac:dyDescent="0.2">
      <c r="A1654">
        <v>1.40546666666667E-2</v>
      </c>
      <c r="B1654">
        <v>0.25487135434191999</v>
      </c>
      <c r="C1654">
        <v>0.20961060263482501</v>
      </c>
      <c r="D1654">
        <v>0.38608855540286202</v>
      </c>
      <c r="E1654">
        <v>0.32237299822688398</v>
      </c>
    </row>
    <row r="1655" spans="1:5" x14ac:dyDescent="0.2">
      <c r="A1655">
        <v>1.40813333333333E-2</v>
      </c>
      <c r="B1655">
        <v>0.255023979701193</v>
      </c>
      <c r="C1655">
        <v>0.20975770915803699</v>
      </c>
      <c r="D1655">
        <v>0.38623149744771301</v>
      </c>
      <c r="E1655">
        <v>0.32261255001669198</v>
      </c>
    </row>
    <row r="1656" spans="1:5" x14ac:dyDescent="0.2">
      <c r="A1656">
        <v>1.4108000000000001E-2</v>
      </c>
      <c r="B1656">
        <v>0.25517655682092499</v>
      </c>
      <c r="C1656">
        <v>0.20990445463457599</v>
      </c>
      <c r="D1656">
        <v>0.386374414254747</v>
      </c>
      <c r="E1656">
        <v>0.32285214783552801</v>
      </c>
    </row>
    <row r="1657" spans="1:5" x14ac:dyDescent="0.2">
      <c r="A1657">
        <v>1.41346666666667E-2</v>
      </c>
      <c r="B1657">
        <v>0.25532908725227099</v>
      </c>
      <c r="C1657">
        <v>0.21005085056563799</v>
      </c>
      <c r="D1657">
        <v>0.38651730581113902</v>
      </c>
      <c r="E1657">
        <v>0.32309179190991999</v>
      </c>
    </row>
    <row r="1658" spans="1:5" x14ac:dyDescent="0.2">
      <c r="A1658">
        <v>1.41613333333333E-2</v>
      </c>
      <c r="B1658">
        <v>0.25548157254638199</v>
      </c>
      <c r="C1658">
        <v>0.21019690845241801</v>
      </c>
      <c r="D1658">
        <v>0.386660172104064</v>
      </c>
      <c r="E1658">
        <v>0.32333148246638999</v>
      </c>
    </row>
    <row r="1659" spans="1:5" x14ac:dyDescent="0.2">
      <c r="A1659">
        <v>1.4187999999999999E-2</v>
      </c>
      <c r="B1659">
        <v>0.25563401425441401</v>
      </c>
      <c r="C1659">
        <v>0.21034263979611301</v>
      </c>
      <c r="D1659">
        <v>0.38680301312069698</v>
      </c>
      <c r="E1659">
        <v>0.32357121973146602</v>
      </c>
    </row>
    <row r="1660" spans="1:5" x14ac:dyDescent="0.2">
      <c r="A1660">
        <v>1.42146666666667E-2</v>
      </c>
      <c r="B1660">
        <v>0.255786413927518</v>
      </c>
      <c r="C1660">
        <v>0.21048805609791801</v>
      </c>
      <c r="D1660">
        <v>0.38694582884821199</v>
      </c>
      <c r="E1660">
        <v>0.32381100393167001</v>
      </c>
    </row>
    <row r="1661" spans="1:5" x14ac:dyDescent="0.2">
      <c r="A1661">
        <v>1.42413333333333E-2</v>
      </c>
      <c r="B1661">
        <v>0.25593877311684998</v>
      </c>
      <c r="C1661">
        <v>0.21063316885903</v>
      </c>
      <c r="D1661">
        <v>0.38708861927378502</v>
      </c>
      <c r="E1661">
        <v>0.32405083529352802</v>
      </c>
    </row>
    <row r="1662" spans="1:5" x14ac:dyDescent="0.2">
      <c r="A1662">
        <v>1.4267999999999999E-2</v>
      </c>
      <c r="B1662">
        <v>0.25609109337356201</v>
      </c>
      <c r="C1662">
        <v>0.210777989580644</v>
      </c>
      <c r="D1662">
        <v>0.38723138438459098</v>
      </c>
      <c r="E1662">
        <v>0.32429071404356602</v>
      </c>
    </row>
    <row r="1663" spans="1:5" x14ac:dyDescent="0.2">
      <c r="A1663">
        <v>1.42946666666667E-2</v>
      </c>
      <c r="B1663">
        <v>0.256243376248807</v>
      </c>
      <c r="C1663">
        <v>0.21092252976395701</v>
      </c>
      <c r="D1663">
        <v>0.38737412416780398</v>
      </c>
      <c r="E1663">
        <v>0.32453064040830698</v>
      </c>
    </row>
    <row r="1664" spans="1:5" x14ac:dyDescent="0.2">
      <c r="A1664">
        <v>1.4321333333333301E-2</v>
      </c>
      <c r="B1664">
        <v>0.25639562329373999</v>
      </c>
      <c r="C1664">
        <v>0.211066800910163</v>
      </c>
      <c r="D1664">
        <v>0.38751683861059899</v>
      </c>
      <c r="E1664">
        <v>0.32477061461427598</v>
      </c>
    </row>
    <row r="1665" spans="1:5" x14ac:dyDescent="0.2">
      <c r="A1665">
        <v>1.4348E-2</v>
      </c>
      <c r="B1665">
        <v>0.25654783605951398</v>
      </c>
      <c r="C1665">
        <v>0.211210814520461</v>
      </c>
      <c r="D1665">
        <v>0.387659527700152</v>
      </c>
      <c r="E1665">
        <v>0.32501063688800003</v>
      </c>
    </row>
    <row r="1666" spans="1:5" x14ac:dyDescent="0.2">
      <c r="A1666">
        <v>1.43746666666667E-2</v>
      </c>
      <c r="B1666">
        <v>0.25670001609728199</v>
      </c>
      <c r="C1666">
        <v>0.21135458209604399</v>
      </c>
      <c r="D1666">
        <v>0.38780219142363698</v>
      </c>
      <c r="E1666">
        <v>0.32525070745600099</v>
      </c>
    </row>
    <row r="1667" spans="1:5" x14ac:dyDescent="0.2">
      <c r="A1667">
        <v>1.4401333333333301E-2</v>
      </c>
      <c r="B1667">
        <v>0.25685216495819702</v>
      </c>
      <c r="C1667">
        <v>0.21149811513810901</v>
      </c>
      <c r="D1667">
        <v>0.38794482976823003</v>
      </c>
      <c r="E1667">
        <v>0.32549082654480599</v>
      </c>
    </row>
    <row r="1668" spans="1:5" x14ac:dyDescent="0.2">
      <c r="A1668">
        <v>1.4428E-2</v>
      </c>
      <c r="B1668">
        <v>0.25700428419341398</v>
      </c>
      <c r="C1668">
        <v>0.211641425147853</v>
      </c>
      <c r="D1668">
        <v>0.38808744272110401</v>
      </c>
      <c r="E1668">
        <v>0.325730994380939</v>
      </c>
    </row>
    <row r="1669" spans="1:5" x14ac:dyDescent="0.2">
      <c r="A1669">
        <v>1.4454666666666701E-2</v>
      </c>
      <c r="B1669">
        <v>0.25715637535408498</v>
      </c>
      <c r="C1669">
        <v>0.21178452362646999</v>
      </c>
      <c r="D1669">
        <v>0.38823003026943598</v>
      </c>
      <c r="E1669">
        <v>0.32597121119092598</v>
      </c>
    </row>
    <row r="1670" spans="1:5" x14ac:dyDescent="0.2">
      <c r="A1670">
        <v>1.4481333333333299E-2</v>
      </c>
      <c r="B1670">
        <v>0.25730843999136499</v>
      </c>
      <c r="C1670">
        <v>0.211927422075158</v>
      </c>
      <c r="D1670">
        <v>0.38837259240039901</v>
      </c>
      <c r="E1670">
        <v>0.32621147720129001</v>
      </c>
    </row>
    <row r="1671" spans="1:5" x14ac:dyDescent="0.2">
      <c r="A1671">
        <v>1.4508E-2</v>
      </c>
      <c r="B1671">
        <v>0.257460479656406</v>
      </c>
      <c r="C1671">
        <v>0.21207013199511099</v>
      </c>
      <c r="D1671">
        <v>0.38851512910116998</v>
      </c>
      <c r="E1671">
        <v>0.326451792638556</v>
      </c>
    </row>
    <row r="1672" spans="1:5" x14ac:dyDescent="0.2">
      <c r="A1672">
        <v>1.4534666666666699E-2</v>
      </c>
      <c r="B1672">
        <v>0.257612495900362</v>
      </c>
      <c r="C1672">
        <v>0.21221266488752699</v>
      </c>
      <c r="D1672">
        <v>0.38865764035892197</v>
      </c>
      <c r="E1672">
        <v>0.32669215772925098</v>
      </c>
    </row>
    <row r="1673" spans="1:5" x14ac:dyDescent="0.2">
      <c r="A1673">
        <v>1.4561333333333299E-2</v>
      </c>
      <c r="B1673">
        <v>0.25776449027438703</v>
      </c>
      <c r="C1673">
        <v>0.2123550322536</v>
      </c>
      <c r="D1673">
        <v>0.38880012616083098</v>
      </c>
      <c r="E1673">
        <v>0.32693257269989801</v>
      </c>
    </row>
    <row r="1674" spans="1:5" x14ac:dyDescent="0.2">
      <c r="A1674">
        <v>1.4588E-2</v>
      </c>
      <c r="B1674">
        <v>0.257916464329634</v>
      </c>
      <c r="C1674">
        <v>0.21249724559452601</v>
      </c>
      <c r="D1674">
        <v>0.38894258649407198</v>
      </c>
      <c r="E1674">
        <v>0.327173037777022</v>
      </c>
    </row>
    <row r="1675" spans="1:5" x14ac:dyDescent="0.2">
      <c r="A1675">
        <v>1.4614666666666699E-2</v>
      </c>
      <c r="B1675">
        <v>0.25806841961725702</v>
      </c>
      <c r="C1675">
        <v>0.21263931641150299</v>
      </c>
      <c r="D1675">
        <v>0.38908502134581902</v>
      </c>
      <c r="E1675">
        <v>0.32741355318714799</v>
      </c>
    </row>
    <row r="1676" spans="1:5" x14ac:dyDescent="0.2">
      <c r="A1676">
        <v>1.46413333333333E-2</v>
      </c>
      <c r="B1676">
        <v>0.25822035768840801</v>
      </c>
      <c r="C1676">
        <v>0.21278125620572499</v>
      </c>
      <c r="D1676">
        <v>0.389227430703248</v>
      </c>
      <c r="E1676">
        <v>0.32765411915680198</v>
      </c>
    </row>
    <row r="1677" spans="1:5" x14ac:dyDescent="0.2">
      <c r="A1677">
        <v>1.4668E-2</v>
      </c>
      <c r="B1677">
        <v>0.25837228009424201</v>
      </c>
      <c r="C1677">
        <v>0.21292307647838801</v>
      </c>
      <c r="D1677">
        <v>0.38936981455353398</v>
      </c>
      <c r="E1677">
        <v>0.32789473591250701</v>
      </c>
    </row>
    <row r="1678" spans="1:5" x14ac:dyDescent="0.2">
      <c r="A1678">
        <v>1.46946666666667E-2</v>
      </c>
      <c r="B1678">
        <v>0.25852418838591301</v>
      </c>
      <c r="C1678">
        <v>0.21306478873069001</v>
      </c>
      <c r="D1678">
        <v>0.38951217288385098</v>
      </c>
      <c r="E1678">
        <v>0.32813540368079003</v>
      </c>
    </row>
    <row r="1679" spans="1:5" x14ac:dyDescent="0.2">
      <c r="A1679">
        <v>1.47213333333333E-2</v>
      </c>
      <c r="B1679">
        <v>0.25867608411457199</v>
      </c>
      <c r="C1679">
        <v>0.213206404463824</v>
      </c>
      <c r="D1679">
        <v>0.389654505681374</v>
      </c>
      <c r="E1679">
        <v>0.32837612268817401</v>
      </c>
    </row>
    <row r="1680" spans="1:5" x14ac:dyDescent="0.2">
      <c r="A1680">
        <v>1.4748000000000001E-2</v>
      </c>
      <c r="B1680">
        <v>0.25882796883137499</v>
      </c>
      <c r="C1680">
        <v>0.21334793517898801</v>
      </c>
      <c r="D1680">
        <v>0.389796812933279</v>
      </c>
      <c r="E1680">
        <v>0.32861689316118498</v>
      </c>
    </row>
    <row r="1681" spans="1:5" x14ac:dyDescent="0.2">
      <c r="A1681">
        <v>1.47746666666667E-2</v>
      </c>
      <c r="B1681">
        <v>0.25897984408747399</v>
      </c>
      <c r="C1681">
        <v>0.21348939237737699</v>
      </c>
      <c r="D1681">
        <v>0.38993909462673898</v>
      </c>
      <c r="E1681">
        <v>0.328857715326347</v>
      </c>
    </row>
    <row r="1682" spans="1:5" x14ac:dyDescent="0.2">
      <c r="A1682">
        <v>1.48013333333333E-2</v>
      </c>
      <c r="B1682">
        <v>0.25913171143402403</v>
      </c>
      <c r="C1682">
        <v>0.213630787560188</v>
      </c>
      <c r="D1682">
        <v>0.39008135074893102</v>
      </c>
      <c r="E1682">
        <v>0.32909858941018499</v>
      </c>
    </row>
    <row r="1683" spans="1:5" x14ac:dyDescent="0.2">
      <c r="A1683">
        <v>1.4827999999999999E-2</v>
      </c>
      <c r="B1683">
        <v>0.25928357242217598</v>
      </c>
      <c r="C1683">
        <v>0.21377213222861499</v>
      </c>
      <c r="D1683">
        <v>0.39022358128703</v>
      </c>
      <c r="E1683">
        <v>0.32933951563922498</v>
      </c>
    </row>
    <row r="1684" spans="1:5" x14ac:dyDescent="0.2">
      <c r="A1684">
        <v>1.48546666666667E-2</v>
      </c>
      <c r="B1684">
        <v>0.25943542860308599</v>
      </c>
      <c r="C1684">
        <v>0.213913437883856</v>
      </c>
      <c r="D1684">
        <v>0.390365786228209</v>
      </c>
      <c r="E1684">
        <v>0.32958049423998997</v>
      </c>
    </row>
    <row r="1685" spans="1:5" x14ac:dyDescent="0.2">
      <c r="A1685">
        <v>1.48813333333333E-2</v>
      </c>
      <c r="B1685">
        <v>0.259587281527906</v>
      </c>
      <c r="C1685">
        <v>0.21405471602710599</v>
      </c>
      <c r="D1685">
        <v>0.39050796555964401</v>
      </c>
      <c r="E1685">
        <v>0.329821525439007</v>
      </c>
    </row>
    <row r="1686" spans="1:5" x14ac:dyDescent="0.2">
      <c r="A1686">
        <v>1.4907999999999999E-2</v>
      </c>
      <c r="B1686">
        <v>0.25973913274778998</v>
      </c>
      <c r="C1686">
        <v>0.21419597815956101</v>
      </c>
      <c r="D1686">
        <v>0.39065011926851001</v>
      </c>
      <c r="E1686">
        <v>0.33006260946279897</v>
      </c>
    </row>
    <row r="1687" spans="1:5" x14ac:dyDescent="0.2">
      <c r="A1687">
        <v>1.49346666666667E-2</v>
      </c>
      <c r="B1687">
        <v>0.25989098381389097</v>
      </c>
      <c r="C1687">
        <v>0.21433723578241701</v>
      </c>
      <c r="D1687">
        <v>0.39079224734198098</v>
      </c>
      <c r="E1687">
        <v>0.33030374653789202</v>
      </c>
    </row>
    <row r="1688" spans="1:5" x14ac:dyDescent="0.2">
      <c r="A1688">
        <v>1.49613333333333E-2</v>
      </c>
      <c r="B1688">
        <v>0.26004283627736302</v>
      </c>
      <c r="C1688">
        <v>0.21447850039687</v>
      </c>
      <c r="D1688">
        <v>0.39093434976723401</v>
      </c>
      <c r="E1688">
        <v>0.33054493689081099</v>
      </c>
    </row>
    <row r="1689" spans="1:5" x14ac:dyDescent="0.2">
      <c r="A1689">
        <v>1.4988E-2</v>
      </c>
      <c r="B1689">
        <v>0.26019469168935999</v>
      </c>
      <c r="C1689">
        <v>0.21461978350411601</v>
      </c>
      <c r="D1689">
        <v>0.39107642653144198</v>
      </c>
      <c r="E1689">
        <v>0.33078618074808003</v>
      </c>
    </row>
    <row r="1690" spans="1:5" x14ac:dyDescent="0.2">
      <c r="A1690">
        <v>1.50146666666667E-2</v>
      </c>
      <c r="B1690">
        <v>0.26034655157797099</v>
      </c>
      <c r="C1690">
        <v>0.214761096287193</v>
      </c>
      <c r="D1690">
        <v>0.39121847762178102</v>
      </c>
      <c r="E1690">
        <v>0.33102747837157698</v>
      </c>
    </row>
    <row r="1691" spans="1:5" x14ac:dyDescent="0.2">
      <c r="A1691">
        <v>1.5041333333333301E-2</v>
      </c>
      <c r="B1691">
        <v>0.26049841704732102</v>
      </c>
      <c r="C1691">
        <v>0.214902444080627</v>
      </c>
      <c r="D1691">
        <v>0.39136050302542502</v>
      </c>
      <c r="E1691">
        <v>0.33126883067306101</v>
      </c>
    </row>
    <row r="1692" spans="1:5" x14ac:dyDescent="0.2">
      <c r="A1692">
        <v>1.5068E-2</v>
      </c>
      <c r="B1692">
        <v>0.26065028882945102</v>
      </c>
      <c r="C1692">
        <v>0.215043827086112</v>
      </c>
      <c r="D1692">
        <v>0.39150250272955001</v>
      </c>
      <c r="E1692">
        <v>0.33151023913464001</v>
      </c>
    </row>
    <row r="1693" spans="1:5" x14ac:dyDescent="0.2">
      <c r="A1693">
        <v>1.5094666666666701E-2</v>
      </c>
      <c r="B1693">
        <v>0.26080216764376801</v>
      </c>
      <c r="C1693">
        <v>0.21518524533108199</v>
      </c>
      <c r="D1693">
        <v>0.39164447672133001</v>
      </c>
      <c r="E1693">
        <v>0.33175170525779002</v>
      </c>
    </row>
    <row r="1694" spans="1:5" x14ac:dyDescent="0.2">
      <c r="A1694">
        <v>1.5121333333333299E-2</v>
      </c>
      <c r="B1694">
        <v>0.26095405420968198</v>
      </c>
      <c r="C1694">
        <v>0.21532669884297101</v>
      </c>
      <c r="D1694">
        <v>0.39178642498793997</v>
      </c>
      <c r="E1694">
        <v>0.331993230543985</v>
      </c>
    </row>
    <row r="1695" spans="1:5" x14ac:dyDescent="0.2">
      <c r="A1695">
        <v>1.5148E-2</v>
      </c>
      <c r="B1695">
        <v>0.26110594924660002</v>
      </c>
      <c r="C1695">
        <v>0.21546818764921299</v>
      </c>
      <c r="D1695">
        <v>0.39192834751655597</v>
      </c>
      <c r="E1695">
        <v>0.33223481649469799</v>
      </c>
    </row>
    <row r="1696" spans="1:5" x14ac:dyDescent="0.2">
      <c r="A1696">
        <v>1.5174666666666701E-2</v>
      </c>
      <c r="B1696">
        <v>0.26125785347392999</v>
      </c>
      <c r="C1696">
        <v>0.215609711777243</v>
      </c>
      <c r="D1696">
        <v>0.392070244294352</v>
      </c>
      <c r="E1696">
        <v>0.33247646461140501</v>
      </c>
    </row>
    <row r="1697" spans="1:5" x14ac:dyDescent="0.2">
      <c r="A1697">
        <v>1.5201333333333299E-2</v>
      </c>
      <c r="B1697">
        <v>0.26140976761108098</v>
      </c>
      <c r="C1697">
        <v>0.215751271254495</v>
      </c>
      <c r="D1697">
        <v>0.39221211530850297</v>
      </c>
      <c r="E1697">
        <v>0.33271817639557799</v>
      </c>
    </row>
    <row r="1698" spans="1:5" x14ac:dyDescent="0.2">
      <c r="A1698">
        <v>1.5228E-2</v>
      </c>
      <c r="B1698">
        <v>0.26156169237746102</v>
      </c>
      <c r="C1698">
        <v>0.215892866108403</v>
      </c>
      <c r="D1698">
        <v>0.39235396054618399</v>
      </c>
      <c r="E1698">
        <v>0.33295995334869299</v>
      </c>
    </row>
    <row r="1699" spans="1:5" x14ac:dyDescent="0.2">
      <c r="A1699">
        <v>1.5254666666666699E-2</v>
      </c>
      <c r="B1699">
        <v>0.26171362849247798</v>
      </c>
      <c r="C1699">
        <v>0.21603449636640301</v>
      </c>
      <c r="D1699">
        <v>0.39249577999457003</v>
      </c>
      <c r="E1699">
        <v>0.33320179697222402</v>
      </c>
    </row>
    <row r="1700" spans="1:5" x14ac:dyDescent="0.2">
      <c r="A1700">
        <v>1.52813333333333E-2</v>
      </c>
      <c r="B1700">
        <v>0.26186557667554</v>
      </c>
      <c r="C1700">
        <v>0.21617616205592699</v>
      </c>
      <c r="D1700">
        <v>0.39263757364083601</v>
      </c>
      <c r="E1700">
        <v>0.33344370876764401</v>
      </c>
    </row>
    <row r="1701" spans="1:5" x14ac:dyDescent="0.2">
      <c r="A1701">
        <v>1.5308E-2</v>
      </c>
      <c r="B1701">
        <v>0.26201753764605501</v>
      </c>
      <c r="C1701">
        <v>0.21631786320441199</v>
      </c>
      <c r="D1701">
        <v>0.39277934147215698</v>
      </c>
      <c r="E1701">
        <v>0.33368569023642702</v>
      </c>
    </row>
    <row r="1702" spans="1:5" x14ac:dyDescent="0.2">
      <c r="A1702">
        <v>1.53346666666667E-2</v>
      </c>
      <c r="B1702">
        <v>0.26216951212343198</v>
      </c>
      <c r="C1702">
        <v>0.21645959983929</v>
      </c>
      <c r="D1702">
        <v>0.39292108347570698</v>
      </c>
      <c r="E1702">
        <v>0.33392774288004901</v>
      </c>
    </row>
    <row r="1703" spans="1:5" x14ac:dyDescent="0.2">
      <c r="A1703">
        <v>1.53613333333333E-2</v>
      </c>
      <c r="B1703">
        <v>0.262321500827079</v>
      </c>
      <c r="C1703">
        <v>0.216601371987997</v>
      </c>
      <c r="D1703">
        <v>0.39306279963866197</v>
      </c>
      <c r="E1703">
        <v>0.33416986819998201</v>
      </c>
    </row>
    <row r="1704" spans="1:5" x14ac:dyDescent="0.2">
      <c r="A1704">
        <v>1.5388000000000001E-2</v>
      </c>
      <c r="B1704">
        <v>0.262473504476404</v>
      </c>
      <c r="C1704">
        <v>0.216743179677966</v>
      </c>
      <c r="D1704">
        <v>0.39320448994819701</v>
      </c>
      <c r="E1704">
        <v>0.33441206769770199</v>
      </c>
    </row>
    <row r="1705" spans="1:5" x14ac:dyDescent="0.2">
      <c r="A1705">
        <v>1.54146666666667E-2</v>
      </c>
      <c r="B1705">
        <v>0.262625523790815</v>
      </c>
      <c r="C1705">
        <v>0.216885022936633</v>
      </c>
      <c r="D1705">
        <v>0.39334615439148601</v>
      </c>
      <c r="E1705">
        <v>0.33465434287468099</v>
      </c>
    </row>
    <row r="1706" spans="1:5" x14ac:dyDescent="0.2">
      <c r="A1706">
        <v>1.54413333333333E-2</v>
      </c>
      <c r="B1706">
        <v>0.26277755948972098</v>
      </c>
      <c r="C1706">
        <v>0.217026901791431</v>
      </c>
      <c r="D1706">
        <v>0.39348779295570502</v>
      </c>
      <c r="E1706">
        <v>0.33489669523239601</v>
      </c>
    </row>
    <row r="1707" spans="1:5" x14ac:dyDescent="0.2">
      <c r="A1707">
        <v>1.5468000000000001E-2</v>
      </c>
      <c r="B1707">
        <v>0.26292961229252898</v>
      </c>
      <c r="C1707">
        <v>0.21716881626979501</v>
      </c>
      <c r="D1707">
        <v>0.39362940562802801</v>
      </c>
      <c r="E1707">
        <v>0.33513912627231901</v>
      </c>
    </row>
    <row r="1708" spans="1:5" x14ac:dyDescent="0.2">
      <c r="A1708">
        <v>1.54946666666667E-2</v>
      </c>
      <c r="B1708">
        <v>0.26308168291864797</v>
      </c>
      <c r="C1708">
        <v>0.217310766399159</v>
      </c>
      <c r="D1708">
        <v>0.39377099239563101</v>
      </c>
      <c r="E1708">
        <v>0.33538163749592398</v>
      </c>
    </row>
    <row r="1709" spans="1:5" x14ac:dyDescent="0.2">
      <c r="A1709">
        <v>1.55213333333333E-2</v>
      </c>
      <c r="B1709">
        <v>0.263233772087486</v>
      </c>
      <c r="C1709">
        <v>0.21745275220695801</v>
      </c>
      <c r="D1709">
        <v>0.39391255324568802</v>
      </c>
      <c r="E1709">
        <v>0.33562423040468697</v>
      </c>
    </row>
    <row r="1710" spans="1:5" x14ac:dyDescent="0.2">
      <c r="A1710">
        <v>1.5547999999999999E-2</v>
      </c>
      <c r="B1710">
        <v>0.26338588051845102</v>
      </c>
      <c r="C1710">
        <v>0.21759477372062599</v>
      </c>
      <c r="D1710">
        <v>0.39405408816537402</v>
      </c>
      <c r="E1710">
        <v>0.33586690650008</v>
      </c>
    </row>
    <row r="1711" spans="1:5" x14ac:dyDescent="0.2">
      <c r="A1711">
        <v>1.55746666666667E-2</v>
      </c>
      <c r="B1711">
        <v>0.26353800893095197</v>
      </c>
      <c r="C1711">
        <v>0.21773683096759799</v>
      </c>
      <c r="D1711">
        <v>0.39419559714186397</v>
      </c>
      <c r="E1711">
        <v>0.33610966728357899</v>
      </c>
    </row>
    <row r="1712" spans="1:5" x14ac:dyDescent="0.2">
      <c r="A1712">
        <v>1.56013333333333E-2</v>
      </c>
      <c r="B1712">
        <v>0.26369015804439599</v>
      </c>
      <c r="C1712">
        <v>0.217878923975307</v>
      </c>
      <c r="D1712">
        <v>0.39433708016233299</v>
      </c>
      <c r="E1712">
        <v>0.33635251425665702</v>
      </c>
    </row>
    <row r="1713" spans="1:5" x14ac:dyDescent="0.2">
      <c r="A1713">
        <v>1.5628E-2</v>
      </c>
      <c r="B1713">
        <v>0.26384232857819201</v>
      </c>
      <c r="C1713">
        <v>0.218021052771188</v>
      </c>
      <c r="D1713">
        <v>0.39447853721395598</v>
      </c>
      <c r="E1713">
        <v>0.33659544892078902</v>
      </c>
    </row>
    <row r="1714" spans="1:5" x14ac:dyDescent="0.2">
      <c r="A1714">
        <v>1.5654666666666699E-2</v>
      </c>
      <c r="B1714">
        <v>0.26399452125174899</v>
      </c>
      <c r="C1714">
        <v>0.21816321738267599</v>
      </c>
      <c r="D1714">
        <v>0.394619968283909</v>
      </c>
      <c r="E1714">
        <v>0.33683847277744799</v>
      </c>
    </row>
    <row r="1715" spans="1:5" x14ac:dyDescent="0.2">
      <c r="A1715">
        <v>1.5681333333333301E-2</v>
      </c>
      <c r="B1715">
        <v>0.26414673678447298</v>
      </c>
      <c r="C1715">
        <v>0.218305417837205</v>
      </c>
      <c r="D1715">
        <v>0.39476137335936501</v>
      </c>
      <c r="E1715">
        <v>0.337081587328109</v>
      </c>
    </row>
    <row r="1716" spans="1:5" x14ac:dyDescent="0.2">
      <c r="A1716">
        <v>1.5708E-2</v>
      </c>
      <c r="B1716">
        <v>0.264298975895774</v>
      </c>
      <c r="C1716">
        <v>0.21844765416220899</v>
      </c>
      <c r="D1716">
        <v>0.394902752427499</v>
      </c>
      <c r="E1716">
        <v>0.33732479407424498</v>
      </c>
    </row>
    <row r="1717" spans="1:5" x14ac:dyDescent="0.2">
      <c r="A1717">
        <v>1.5734666666666699E-2</v>
      </c>
      <c r="B1717">
        <v>0.26445123930505898</v>
      </c>
      <c r="C1717">
        <v>0.21858992638512301</v>
      </c>
      <c r="D1717">
        <v>0.39504410547548802</v>
      </c>
      <c r="E1717">
        <v>0.337568094517332</v>
      </c>
    </row>
    <row r="1718" spans="1:5" x14ac:dyDescent="0.2">
      <c r="A1718">
        <v>1.5761333333333301E-2</v>
      </c>
      <c r="B1718">
        <v>0.26460352773173701</v>
      </c>
      <c r="C1718">
        <v>0.21873223453338</v>
      </c>
      <c r="D1718">
        <v>0.39518543249050497</v>
      </c>
      <c r="E1718">
        <v>0.33781149015884299</v>
      </c>
    </row>
    <row r="1719" spans="1:5" x14ac:dyDescent="0.2">
      <c r="A1719">
        <v>1.5788E-2</v>
      </c>
      <c r="B1719">
        <v>0.264755841895217</v>
      </c>
      <c r="C1719">
        <v>0.21887457863441701</v>
      </c>
      <c r="D1719">
        <v>0.39532673345972602</v>
      </c>
      <c r="E1719">
        <v>0.33805498250025201</v>
      </c>
    </row>
    <row r="1720" spans="1:5" x14ac:dyDescent="0.2">
      <c r="A1720">
        <v>1.5814666666666699E-2</v>
      </c>
      <c r="B1720">
        <v>0.264908182514905</v>
      </c>
      <c r="C1720">
        <v>0.21901695871566601</v>
      </c>
      <c r="D1720">
        <v>0.39546800837032497</v>
      </c>
      <c r="E1720">
        <v>0.33829857304303401</v>
      </c>
    </row>
    <row r="1721" spans="1:5" x14ac:dyDescent="0.2">
      <c r="A1721">
        <v>1.5841333333333301E-2</v>
      </c>
      <c r="B1721">
        <v>0.26506055031021097</v>
      </c>
      <c r="C1721">
        <v>0.21915937480456199</v>
      </c>
      <c r="D1721">
        <v>0.39560925720947698</v>
      </c>
      <c r="E1721">
        <v>0.33854226328866299</v>
      </c>
    </row>
    <row r="1722" spans="1:5" x14ac:dyDescent="0.2">
      <c r="A1722">
        <v>1.5868E-2</v>
      </c>
      <c r="B1722">
        <v>0.26521294600054302</v>
      </c>
      <c r="C1722">
        <v>0.219301826928539</v>
      </c>
      <c r="D1722">
        <v>0.39575047996435803</v>
      </c>
      <c r="E1722">
        <v>0.33878605473861201</v>
      </c>
    </row>
    <row r="1723" spans="1:5" x14ac:dyDescent="0.2">
      <c r="A1723">
        <v>1.5894666666666699E-2</v>
      </c>
      <c r="B1723">
        <v>0.26536537030530799</v>
      </c>
      <c r="C1723">
        <v>0.21944431511503301</v>
      </c>
      <c r="D1723">
        <v>0.39589167662214297</v>
      </c>
      <c r="E1723">
        <v>0.339029948894356</v>
      </c>
    </row>
    <row r="1724" spans="1:5" x14ac:dyDescent="0.2">
      <c r="A1724">
        <v>1.5921333333333301E-2</v>
      </c>
      <c r="B1724">
        <v>0.26551782394391499</v>
      </c>
      <c r="C1724">
        <v>0.219586839391477</v>
      </c>
      <c r="D1724">
        <v>0.39603284717000498</v>
      </c>
      <c r="E1724">
        <v>0.33927394725736898</v>
      </c>
    </row>
    <row r="1725" spans="1:5" x14ac:dyDescent="0.2">
      <c r="A1725">
        <v>1.5948E-2</v>
      </c>
      <c r="B1725">
        <v>0.26567030763577298</v>
      </c>
      <c r="C1725">
        <v>0.21972939978530501</v>
      </c>
      <c r="D1725">
        <v>0.39617399159512101</v>
      </c>
      <c r="E1725">
        <v>0.33951805132912599</v>
      </c>
    </row>
    <row r="1726" spans="1:5" x14ac:dyDescent="0.2">
      <c r="A1726">
        <v>1.5974666666666699E-2</v>
      </c>
      <c r="B1726">
        <v>0.26582282210028901</v>
      </c>
      <c r="C1726">
        <v>0.21987199632395299</v>
      </c>
      <c r="D1726">
        <v>0.39631510988466501</v>
      </c>
      <c r="E1726">
        <v>0.33976226261109999</v>
      </c>
    </row>
    <row r="1727" spans="1:5" x14ac:dyDescent="0.2">
      <c r="A1727">
        <v>1.6001333333333301E-2</v>
      </c>
      <c r="B1727">
        <v>0.26597536805676403</v>
      </c>
      <c r="C1727">
        <v>0.220014629034854</v>
      </c>
      <c r="D1727">
        <v>0.396456202025811</v>
      </c>
      <c r="E1727">
        <v>0.34000658260458799</v>
      </c>
    </row>
    <row r="1728" spans="1:5" x14ac:dyDescent="0.2">
      <c r="A1728">
        <v>1.6028000000000001E-2</v>
      </c>
      <c r="B1728">
        <v>0.26612794523169298</v>
      </c>
      <c r="C1728">
        <v>0.220157297945443</v>
      </c>
      <c r="D1728">
        <v>0.39659726800573603</v>
      </c>
      <c r="E1728">
        <v>0.34025101117310502</v>
      </c>
    </row>
    <row r="1729" spans="1:5" x14ac:dyDescent="0.2">
      <c r="A1729">
        <v>1.60546666666667E-2</v>
      </c>
      <c r="B1729">
        <v>0.26628054993214001</v>
      </c>
      <c r="C1729">
        <v>0.22030000308315301</v>
      </c>
      <c r="D1729">
        <v>0.39673830781161401</v>
      </c>
      <c r="E1729">
        <v>0.34049554253930697</v>
      </c>
    </row>
    <row r="1730" spans="1:5" x14ac:dyDescent="0.2">
      <c r="A1730">
        <v>1.6081333333333302E-2</v>
      </c>
      <c r="B1730">
        <v>0.266433177729545</v>
      </c>
      <c r="C1730">
        <v>0.220442744475421</v>
      </c>
      <c r="D1730">
        <v>0.39687932143061899</v>
      </c>
      <c r="E1730">
        <v>0.34074016971233001</v>
      </c>
    </row>
    <row r="1731" spans="1:5" x14ac:dyDescent="0.2">
      <c r="A1731">
        <v>1.6108000000000001E-2</v>
      </c>
      <c r="B1731">
        <v>0.26658582419535098</v>
      </c>
      <c r="C1731">
        <v>0.220585522149679</v>
      </c>
      <c r="D1731">
        <v>0.39702030884992701</v>
      </c>
      <c r="E1731">
        <v>0.34098488570130903</v>
      </c>
    </row>
    <row r="1732" spans="1:5" x14ac:dyDescent="0.2">
      <c r="A1732">
        <v>1.61346666666667E-2</v>
      </c>
      <c r="B1732">
        <v>0.266738484900999</v>
      </c>
      <c r="C1732">
        <v>0.22072833613336301</v>
      </c>
      <c r="D1732">
        <v>0.39716127005671298</v>
      </c>
      <c r="E1732">
        <v>0.34122968351538002</v>
      </c>
    </row>
    <row r="1733" spans="1:5" x14ac:dyDescent="0.2">
      <c r="A1733">
        <v>1.6161333333333298E-2</v>
      </c>
      <c r="B1733">
        <v>0.26689115541792902</v>
      </c>
      <c r="C1733">
        <v>0.22087118645390599</v>
      </c>
      <c r="D1733">
        <v>0.397302205038151</v>
      </c>
      <c r="E1733">
        <v>0.341474556163679</v>
      </c>
    </row>
    <row r="1734" spans="1:5" x14ac:dyDescent="0.2">
      <c r="A1734">
        <v>1.6188000000000001E-2</v>
      </c>
      <c r="B1734">
        <v>0.26704383131758302</v>
      </c>
      <c r="C1734">
        <v>0.22101407313874399</v>
      </c>
      <c r="D1734">
        <v>0.397443113781417</v>
      </c>
      <c r="E1734">
        <v>0.34171949665534301</v>
      </c>
    </row>
    <row r="1735" spans="1:5" x14ac:dyDescent="0.2">
      <c r="A1735">
        <v>1.62146666666667E-2</v>
      </c>
      <c r="B1735">
        <v>0.267196508171403</v>
      </c>
      <c r="C1735">
        <v>0.22115699621530999</v>
      </c>
      <c r="D1735">
        <v>0.39758399627368501</v>
      </c>
      <c r="E1735">
        <v>0.34196449799950601</v>
      </c>
    </row>
    <row r="1736" spans="1:5" x14ac:dyDescent="0.2">
      <c r="A1736">
        <v>1.6241333333333299E-2</v>
      </c>
      <c r="B1736">
        <v>0.26734918155082898</v>
      </c>
      <c r="C1736">
        <v>0.221299955711038</v>
      </c>
      <c r="D1736">
        <v>0.39772485250213102</v>
      </c>
      <c r="E1736">
        <v>0.34220955320530499</v>
      </c>
    </row>
    <row r="1737" spans="1:5" x14ac:dyDescent="0.2">
      <c r="A1737">
        <v>1.6268000000000001E-2</v>
      </c>
      <c r="B1737">
        <v>0.26750184702730401</v>
      </c>
      <c r="C1737">
        <v>0.221442951653364</v>
      </c>
      <c r="D1737">
        <v>0.397865682453929</v>
      </c>
      <c r="E1737">
        <v>0.34245465528187502</v>
      </c>
    </row>
    <row r="1738" spans="1:5" x14ac:dyDescent="0.2">
      <c r="A1738">
        <v>1.62946666666667E-2</v>
      </c>
      <c r="B1738">
        <v>0.267654500172267</v>
      </c>
      <c r="C1738">
        <v>0.22158598406972199</v>
      </c>
      <c r="D1738">
        <v>0.398006486116254</v>
      </c>
      <c r="E1738">
        <v>0.34269979723835398</v>
      </c>
    </row>
    <row r="1739" spans="1:5" x14ac:dyDescent="0.2">
      <c r="A1739">
        <v>1.6321333333333299E-2</v>
      </c>
      <c r="B1739">
        <v>0.26780713655716099</v>
      </c>
      <c r="C1739">
        <v>0.221729052987545</v>
      </c>
      <c r="D1739">
        <v>0.39814726347628199</v>
      </c>
      <c r="E1739">
        <v>0.34294497208387498</v>
      </c>
    </row>
    <row r="1740" spans="1:5" x14ac:dyDescent="0.2">
      <c r="A1740">
        <v>1.6348000000000001E-2</v>
      </c>
      <c r="B1740">
        <v>0.26795975175342701</v>
      </c>
      <c r="C1740">
        <v>0.221872158434269</v>
      </c>
      <c r="D1740">
        <v>0.39828801452118601</v>
      </c>
      <c r="E1740">
        <v>0.34319017282757602</v>
      </c>
    </row>
    <row r="1741" spans="1:5" x14ac:dyDescent="0.2">
      <c r="A1741">
        <v>1.6374666666666701E-2</v>
      </c>
      <c r="B1741">
        <v>0.268112341332506</v>
      </c>
      <c r="C1741">
        <v>0.22201530043732701</v>
      </c>
      <c r="D1741">
        <v>0.39842873923814298</v>
      </c>
      <c r="E1741">
        <v>0.34343539247859201</v>
      </c>
    </row>
    <row r="1742" spans="1:5" x14ac:dyDescent="0.2">
      <c r="A1742">
        <v>1.6401333333333299E-2</v>
      </c>
      <c r="B1742">
        <v>0.26826490086583898</v>
      </c>
      <c r="C1742">
        <v>0.222158479024154</v>
      </c>
      <c r="D1742">
        <v>0.39856943761432601</v>
      </c>
      <c r="E1742">
        <v>0.34368062404605898</v>
      </c>
    </row>
    <row r="1743" spans="1:5" x14ac:dyDescent="0.2">
      <c r="A1743">
        <v>1.6428000000000002E-2</v>
      </c>
      <c r="B1743">
        <v>0.268417425924867</v>
      </c>
      <c r="C1743">
        <v>0.22230169422218499</v>
      </c>
      <c r="D1743">
        <v>0.398710109636912</v>
      </c>
      <c r="E1743">
        <v>0.343925860539113</v>
      </c>
    </row>
    <row r="1744" spans="1:5" x14ac:dyDescent="0.2">
      <c r="A1744">
        <v>1.6454666666666701E-2</v>
      </c>
      <c r="B1744">
        <v>0.26856991208103298</v>
      </c>
      <c r="C1744">
        <v>0.22244494605885401</v>
      </c>
      <c r="D1744">
        <v>0.39885075529307401</v>
      </c>
      <c r="E1744">
        <v>0.34417109496689002</v>
      </c>
    </row>
    <row r="1745" spans="1:5" x14ac:dyDescent="0.2">
      <c r="A1745">
        <v>1.6481333333333299E-2</v>
      </c>
      <c r="B1745">
        <v>0.26872235490577601</v>
      </c>
      <c r="C1745">
        <v>0.22258823456159399</v>
      </c>
      <c r="D1745">
        <v>0.39899137456998801</v>
      </c>
      <c r="E1745">
        <v>0.34441632033852498</v>
      </c>
    </row>
    <row r="1746" spans="1:5" x14ac:dyDescent="0.2">
      <c r="A1746">
        <v>1.6507999999999998E-2</v>
      </c>
      <c r="B1746">
        <v>0.26887474997053901</v>
      </c>
      <c r="C1746">
        <v>0.22273155975784201</v>
      </c>
      <c r="D1746">
        <v>0.39913196745482898</v>
      </c>
      <c r="E1746">
        <v>0.344661529663155</v>
      </c>
    </row>
    <row r="1747" spans="1:5" x14ac:dyDescent="0.2">
      <c r="A1747">
        <v>1.6534666666666701E-2</v>
      </c>
      <c r="B1747">
        <v>0.26902709284676202</v>
      </c>
      <c r="C1747">
        <v>0.22287492167503001</v>
      </c>
      <c r="D1747">
        <v>0.39927253393477102</v>
      </c>
      <c r="E1747">
        <v>0.34490671594991601</v>
      </c>
    </row>
    <row r="1748" spans="1:5" x14ac:dyDescent="0.2">
      <c r="A1748">
        <v>1.6561333333333299E-2</v>
      </c>
      <c r="B1748">
        <v>0.26917937910588802</v>
      </c>
      <c r="C1748">
        <v>0.22301832034059399</v>
      </c>
      <c r="D1748">
        <v>0.39941307399699</v>
      </c>
      <c r="E1748">
        <v>0.34515187220794302</v>
      </c>
    </row>
    <row r="1749" spans="1:5" x14ac:dyDescent="0.2">
      <c r="A1749">
        <v>1.6587999999999999E-2</v>
      </c>
      <c r="B1749">
        <v>0.26933160431935599</v>
      </c>
      <c r="C1749">
        <v>0.22316175578196701</v>
      </c>
      <c r="D1749">
        <v>0.39955358762866</v>
      </c>
      <c r="E1749">
        <v>0.34539699144637198</v>
      </c>
    </row>
    <row r="1750" spans="1:5" x14ac:dyDescent="0.2">
      <c r="A1750">
        <v>1.6614666666666701E-2</v>
      </c>
      <c r="B1750">
        <v>0.26948376405861002</v>
      </c>
      <c r="C1750">
        <v>0.22330522802658401</v>
      </c>
      <c r="D1750">
        <v>0.39969407481695701</v>
      </c>
      <c r="E1750">
        <v>0.345642066674339</v>
      </c>
    </row>
    <row r="1751" spans="1:5" x14ac:dyDescent="0.2">
      <c r="A1751">
        <v>1.66413333333333E-2</v>
      </c>
      <c r="B1751">
        <v>0.26963585389508798</v>
      </c>
      <c r="C1751">
        <v>0.22344873710188001</v>
      </c>
      <c r="D1751">
        <v>0.39983453554905501</v>
      </c>
      <c r="E1751">
        <v>0.34588709090098002</v>
      </c>
    </row>
    <row r="1752" spans="1:5" x14ac:dyDescent="0.2">
      <c r="A1752">
        <v>1.6667999999999999E-2</v>
      </c>
      <c r="B1752">
        <v>0.26978786940023403</v>
      </c>
      <c r="C1752">
        <v>0.223592283035289</v>
      </c>
      <c r="D1752">
        <v>0.39997496981212899</v>
      </c>
      <c r="E1752">
        <v>0.34613205713543099</v>
      </c>
    </row>
    <row r="1753" spans="1:5" x14ac:dyDescent="0.2">
      <c r="A1753">
        <v>1.6694666666666701E-2</v>
      </c>
      <c r="B1753">
        <v>0.26993980614548801</v>
      </c>
      <c r="C1753">
        <v>0.22373586585424499</v>
      </c>
      <c r="D1753">
        <v>0.40011537759335503</v>
      </c>
      <c r="E1753">
        <v>0.34637695838682703</v>
      </c>
    </row>
    <row r="1754" spans="1:5" x14ac:dyDescent="0.2">
      <c r="A1754">
        <v>1.67213333333333E-2</v>
      </c>
      <c r="B1754">
        <v>0.27009165970229199</v>
      </c>
      <c r="C1754">
        <v>0.22387948558618201</v>
      </c>
      <c r="D1754">
        <v>0.400255758879907</v>
      </c>
      <c r="E1754">
        <v>0.34662178766430501</v>
      </c>
    </row>
    <row r="1755" spans="1:5" x14ac:dyDescent="0.2">
      <c r="A1755">
        <v>1.6747999999999999E-2</v>
      </c>
      <c r="B1755">
        <v>0.27024342564208598</v>
      </c>
      <c r="C1755">
        <v>0.22402314225853601</v>
      </c>
      <c r="D1755">
        <v>0.400396113658959</v>
      </c>
      <c r="E1755">
        <v>0.34686653797700101</v>
      </c>
    </row>
    <row r="1756" spans="1:5" x14ac:dyDescent="0.2">
      <c r="A1756">
        <v>1.6774666666666702E-2</v>
      </c>
      <c r="B1756">
        <v>0.27039509953631302</v>
      </c>
      <c r="C1756">
        <v>0.22416683589873901</v>
      </c>
      <c r="D1756">
        <v>0.400536441917688</v>
      </c>
      <c r="E1756">
        <v>0.34711120233405002</v>
      </c>
    </row>
    <row r="1757" spans="1:5" x14ac:dyDescent="0.2">
      <c r="A1757">
        <v>1.68013333333333E-2</v>
      </c>
      <c r="B1757">
        <v>0.27054667695641299</v>
      </c>
      <c r="C1757">
        <v>0.22431056653422801</v>
      </c>
      <c r="D1757">
        <v>0.400676743643268</v>
      </c>
      <c r="E1757">
        <v>0.34735577374458798</v>
      </c>
    </row>
    <row r="1758" spans="1:5" x14ac:dyDescent="0.2">
      <c r="A1758">
        <v>1.6827999999999999E-2</v>
      </c>
      <c r="B1758">
        <v>0.27069815347382697</v>
      </c>
      <c r="C1758">
        <v>0.22445433419243499</v>
      </c>
      <c r="D1758">
        <v>0.40081701882287302</v>
      </c>
      <c r="E1758">
        <v>0.34760024521775201</v>
      </c>
    </row>
    <row r="1759" spans="1:5" x14ac:dyDescent="0.2">
      <c r="A1759">
        <v>1.6854666666666698E-2</v>
      </c>
      <c r="B1759">
        <v>0.27084952465999801</v>
      </c>
      <c r="C1759">
        <v>0.224598138900796</v>
      </c>
      <c r="D1759">
        <v>0.40095726744367899</v>
      </c>
      <c r="E1759">
        <v>0.347844609762676</v>
      </c>
    </row>
    <row r="1760" spans="1:5" x14ac:dyDescent="0.2">
      <c r="A1760">
        <v>1.68813333333333E-2</v>
      </c>
      <c r="B1760">
        <v>0.27100078608636502</v>
      </c>
      <c r="C1760">
        <v>0.224741980686745</v>
      </c>
      <c r="D1760">
        <v>0.401097489492861</v>
      </c>
      <c r="E1760">
        <v>0.34808886038849701</v>
      </c>
    </row>
    <row r="1761" spans="1:5" x14ac:dyDescent="0.2">
      <c r="A1761">
        <v>1.6907999999999999E-2</v>
      </c>
      <c r="B1761">
        <v>0.27115193332437099</v>
      </c>
      <c r="C1761">
        <v>0.22488585957771601</v>
      </c>
      <c r="D1761">
        <v>0.40123768495759399</v>
      </c>
      <c r="E1761">
        <v>0.34833299010435098</v>
      </c>
    </row>
    <row r="1762" spans="1:5" x14ac:dyDescent="0.2">
      <c r="A1762">
        <v>1.6934666666666699E-2</v>
      </c>
      <c r="B1762">
        <v>0.271302961945457</v>
      </c>
      <c r="C1762">
        <v>0.22502977560114301</v>
      </c>
      <c r="D1762">
        <v>0.40137785382505198</v>
      </c>
      <c r="E1762">
        <v>0.34857699191937402</v>
      </c>
    </row>
    <row r="1763" spans="1:5" x14ac:dyDescent="0.2">
      <c r="A1763">
        <v>1.6961333333333301E-2</v>
      </c>
      <c r="B1763">
        <v>0.27145386752106399</v>
      </c>
      <c r="C1763">
        <v>0.22517372878446201</v>
      </c>
      <c r="D1763">
        <v>0.40151799608241001</v>
      </c>
      <c r="E1763">
        <v>0.34882085884270098</v>
      </c>
    </row>
    <row r="1764" spans="1:5" x14ac:dyDescent="0.2">
      <c r="A1764">
        <v>1.6988E-2</v>
      </c>
      <c r="B1764">
        <v>0.27160464562263298</v>
      </c>
      <c r="C1764">
        <v>0.22531771915510501</v>
      </c>
      <c r="D1764">
        <v>0.40165811171684501</v>
      </c>
      <c r="E1764">
        <v>0.349064583883468</v>
      </c>
    </row>
    <row r="1765" spans="1:5" x14ac:dyDescent="0.2">
      <c r="A1765">
        <v>1.7014666666666699E-2</v>
      </c>
      <c r="B1765">
        <v>0.27175529213647398</v>
      </c>
      <c r="C1765">
        <v>0.22546174674050901</v>
      </c>
      <c r="D1765">
        <v>0.40179820071552902</v>
      </c>
      <c r="E1765">
        <v>0.34930816095642903</v>
      </c>
    </row>
    <row r="1766" spans="1:5" x14ac:dyDescent="0.2">
      <c r="A1766">
        <v>1.7041333333333301E-2</v>
      </c>
      <c r="B1766">
        <v>0.27190580873693798</v>
      </c>
      <c r="C1766">
        <v>0.225605811568107</v>
      </c>
      <c r="D1766">
        <v>0.40193826306563901</v>
      </c>
      <c r="E1766">
        <v>0.349551600623763</v>
      </c>
    </row>
    <row r="1767" spans="1:5" x14ac:dyDescent="0.2">
      <c r="A1767">
        <v>1.7068E-2</v>
      </c>
      <c r="B1767">
        <v>0.27205620217814203</v>
      </c>
      <c r="C1767">
        <v>0.22574991366533301</v>
      </c>
      <c r="D1767">
        <v>0.40207829875434797</v>
      </c>
      <c r="E1767">
        <v>0.34979492805795498</v>
      </c>
    </row>
    <row r="1768" spans="1:5" x14ac:dyDescent="0.2">
      <c r="A1768">
        <v>1.7094666666666699E-2</v>
      </c>
      <c r="B1768">
        <v>0.27220647938665998</v>
      </c>
      <c r="C1768">
        <v>0.22589405305962099</v>
      </c>
      <c r="D1768">
        <v>0.40221830776883399</v>
      </c>
      <c r="E1768">
        <v>0.35003816892749801</v>
      </c>
    </row>
    <row r="1769" spans="1:5" x14ac:dyDescent="0.2">
      <c r="A1769">
        <v>1.7121333333333301E-2</v>
      </c>
      <c r="B1769">
        <v>0.272356647289064</v>
      </c>
      <c r="C1769">
        <v>0.22603822977840801</v>
      </c>
      <c r="D1769">
        <v>0.402358290096269</v>
      </c>
      <c r="E1769">
        <v>0.35028134890089102</v>
      </c>
    </row>
    <row r="1770" spans="1:5" x14ac:dyDescent="0.2">
      <c r="A1770">
        <v>1.7148E-2</v>
      </c>
      <c r="B1770">
        <v>0.27250671281192701</v>
      </c>
      <c r="C1770">
        <v>0.226182443849125</v>
      </c>
      <c r="D1770">
        <v>0.40249824572382897</v>
      </c>
      <c r="E1770">
        <v>0.35052449364662802</v>
      </c>
    </row>
    <row r="1771" spans="1:5" x14ac:dyDescent="0.2">
      <c r="A1771">
        <v>1.7174666666666699E-2</v>
      </c>
      <c r="B1771">
        <v>0.27265668288182199</v>
      </c>
      <c r="C1771">
        <v>0.22632669529920901</v>
      </c>
      <c r="D1771">
        <v>0.40263817463868901</v>
      </c>
      <c r="E1771">
        <v>0.350767628833206</v>
      </c>
    </row>
    <row r="1772" spans="1:5" x14ac:dyDescent="0.2">
      <c r="A1772">
        <v>1.7201333333333301E-2</v>
      </c>
      <c r="B1772">
        <v>0.27280656442532197</v>
      </c>
      <c r="C1772">
        <v>0.22647098415609301</v>
      </c>
      <c r="D1772">
        <v>0.40277807682802402</v>
      </c>
      <c r="E1772">
        <v>0.35101078012912101</v>
      </c>
    </row>
    <row r="1773" spans="1:5" x14ac:dyDescent="0.2">
      <c r="A1773">
        <v>1.7228E-2</v>
      </c>
      <c r="B1773">
        <v>0.272956364369</v>
      </c>
      <c r="C1773">
        <v>0.226615310447212</v>
      </c>
      <c r="D1773">
        <v>0.40291795227900901</v>
      </c>
      <c r="E1773">
        <v>0.351253973202869</v>
      </c>
    </row>
    <row r="1774" spans="1:5" x14ac:dyDescent="0.2">
      <c r="A1774">
        <v>1.7254666666666699E-2</v>
      </c>
      <c r="B1774">
        <v>0.27310608963942901</v>
      </c>
      <c r="C1774">
        <v>0.22675967419999901</v>
      </c>
      <c r="D1774">
        <v>0.40305780097881799</v>
      </c>
      <c r="E1774">
        <v>0.351497233722946</v>
      </c>
    </row>
    <row r="1775" spans="1:5" x14ac:dyDescent="0.2">
      <c r="A1775">
        <v>1.7281333333333301E-2</v>
      </c>
      <c r="B1775">
        <v>0.27325574716318202</v>
      </c>
      <c r="C1775">
        <v>0.22690407544189101</v>
      </c>
      <c r="D1775">
        <v>0.40319762291462702</v>
      </c>
      <c r="E1775">
        <v>0.35174058735784802</v>
      </c>
    </row>
    <row r="1776" spans="1:5" x14ac:dyDescent="0.2">
      <c r="A1776">
        <v>1.7308E-2</v>
      </c>
      <c r="B1776">
        <v>0.27340534386683202</v>
      </c>
      <c r="C1776">
        <v>0.22704851420031999</v>
      </c>
      <c r="D1776">
        <v>0.40333741807361101</v>
      </c>
      <c r="E1776">
        <v>0.351984059776072</v>
      </c>
    </row>
    <row r="1777" spans="1:5" x14ac:dyDescent="0.2">
      <c r="A1777">
        <v>1.73346666666667E-2</v>
      </c>
      <c r="B1777">
        <v>0.27355488667695199</v>
      </c>
      <c r="C1777">
        <v>0.22719299050272099</v>
      </c>
      <c r="D1777">
        <v>0.403477186442944</v>
      </c>
      <c r="E1777">
        <v>0.35222767664611399</v>
      </c>
    </row>
    <row r="1778" spans="1:5" x14ac:dyDescent="0.2">
      <c r="A1778">
        <v>1.7361333333333302E-2</v>
      </c>
      <c r="B1778">
        <v>0.27370438252011497</v>
      </c>
      <c r="C1778">
        <v>0.227337504376529</v>
      </c>
      <c r="D1778">
        <v>0.40361692800980198</v>
      </c>
      <c r="E1778">
        <v>0.35247146363646897</v>
      </c>
    </row>
    <row r="1779" spans="1:5" x14ac:dyDescent="0.2">
      <c r="A1779">
        <v>1.7388000000000001E-2</v>
      </c>
      <c r="B1779">
        <v>0.27385383832289301</v>
      </c>
      <c r="C1779">
        <v>0.22748205584917799</v>
      </c>
      <c r="D1779">
        <v>0.40375664276135897</v>
      </c>
      <c r="E1779">
        <v>0.35271544641563402</v>
      </c>
    </row>
    <row r="1780" spans="1:5" x14ac:dyDescent="0.2">
      <c r="A1780">
        <v>1.74146666666667E-2</v>
      </c>
      <c r="B1780">
        <v>0.27400326101186101</v>
      </c>
      <c r="C1780">
        <v>0.227626644948102</v>
      </c>
      <c r="D1780">
        <v>0.40389633068478997</v>
      </c>
      <c r="E1780">
        <v>0.352959650652104</v>
      </c>
    </row>
    <row r="1781" spans="1:5" x14ac:dyDescent="0.2">
      <c r="A1781">
        <v>1.7441333333333298E-2</v>
      </c>
      <c r="B1781">
        <v>0.27415265751359003</v>
      </c>
      <c r="C1781">
        <v>0.22777127170073599</v>
      </c>
      <c r="D1781">
        <v>0.40403599176727101</v>
      </c>
      <c r="E1781">
        <v>0.35320410201437702</v>
      </c>
    </row>
    <row r="1782" spans="1:5" x14ac:dyDescent="0.2">
      <c r="A1782">
        <v>1.7468000000000001E-2</v>
      </c>
      <c r="B1782">
        <v>0.27430203475465398</v>
      </c>
      <c r="C1782">
        <v>0.227915936134514</v>
      </c>
      <c r="D1782">
        <v>0.40417562599597501</v>
      </c>
      <c r="E1782">
        <v>0.35344882617094803</v>
      </c>
    </row>
    <row r="1783" spans="1:5" x14ac:dyDescent="0.2">
      <c r="A1783">
        <v>1.74946666666667E-2</v>
      </c>
      <c r="B1783">
        <v>0.27445139966162602</v>
      </c>
      <c r="C1783">
        <v>0.22806063827687101</v>
      </c>
      <c r="D1783">
        <v>0.40431523335807901</v>
      </c>
      <c r="E1783">
        <v>0.35369384879031301</v>
      </c>
    </row>
    <row r="1784" spans="1:5" x14ac:dyDescent="0.2">
      <c r="A1784">
        <v>1.7521333333333299E-2</v>
      </c>
      <c r="B1784">
        <v>0.27460075916107801</v>
      </c>
      <c r="C1784">
        <v>0.22820537815524</v>
      </c>
      <c r="D1784">
        <v>0.40445481384075699</v>
      </c>
      <c r="E1784">
        <v>0.35393919554096898</v>
      </c>
    </row>
    <row r="1785" spans="1:5" x14ac:dyDescent="0.2">
      <c r="A1785">
        <v>1.7548000000000001E-2</v>
      </c>
      <c r="B1785">
        <v>0.274750120179584</v>
      </c>
      <c r="C1785">
        <v>0.228350155797057</v>
      </c>
      <c r="D1785">
        <v>0.40459436743118399</v>
      </c>
      <c r="E1785">
        <v>0.35418489209141102</v>
      </c>
    </row>
    <row r="1786" spans="1:5" x14ac:dyDescent="0.2">
      <c r="A1786">
        <v>1.75746666666667E-2</v>
      </c>
      <c r="B1786">
        <v>0.27489948964371702</v>
      </c>
      <c r="C1786">
        <v>0.22849497122975501</v>
      </c>
      <c r="D1786">
        <v>0.40473389411653499</v>
      </c>
      <c r="E1786">
        <v>0.35443096411013603</v>
      </c>
    </row>
    <row r="1787" spans="1:5" x14ac:dyDescent="0.2">
      <c r="A1787">
        <v>1.7601333333333299E-2</v>
      </c>
      <c r="B1787">
        <v>0.275048874480049</v>
      </c>
      <c r="C1787">
        <v>0.228639824480769</v>
      </c>
      <c r="D1787">
        <v>0.40487339388398402</v>
      </c>
      <c r="E1787">
        <v>0.354677437265639</v>
      </c>
    </row>
    <row r="1788" spans="1:5" x14ac:dyDescent="0.2">
      <c r="A1788">
        <v>1.7628000000000001E-2</v>
      </c>
      <c r="B1788">
        <v>0.27519828161515397</v>
      </c>
      <c r="C1788">
        <v>0.22878471557753399</v>
      </c>
      <c r="D1788">
        <v>0.40501286672070802</v>
      </c>
      <c r="E1788">
        <v>0.35492433722641697</v>
      </c>
    </row>
    <row r="1789" spans="1:5" x14ac:dyDescent="0.2">
      <c r="A1789">
        <v>1.76546666666667E-2</v>
      </c>
      <c r="B1789">
        <v>0.27534771797560398</v>
      </c>
      <c r="C1789">
        <v>0.22892964454748299</v>
      </c>
      <c r="D1789">
        <v>0.40515231261387902</v>
      </c>
      <c r="E1789">
        <v>0.35517168966096602</v>
      </c>
    </row>
    <row r="1790" spans="1:5" x14ac:dyDescent="0.2">
      <c r="A1790">
        <v>1.7681333333333299E-2</v>
      </c>
      <c r="B1790">
        <v>0.275497190487973</v>
      </c>
      <c r="C1790">
        <v>0.22907461141805199</v>
      </c>
      <c r="D1790">
        <v>0.40529173155067499</v>
      </c>
      <c r="E1790">
        <v>0.35541952023778201</v>
      </c>
    </row>
    <row r="1791" spans="1:5" x14ac:dyDescent="0.2">
      <c r="A1791">
        <v>1.7708000000000002E-2</v>
      </c>
      <c r="B1791">
        <v>0.27564670607883301</v>
      </c>
      <c r="C1791">
        <v>0.229219616216674</v>
      </c>
      <c r="D1791">
        <v>0.40543112351826899</v>
      </c>
      <c r="E1791">
        <v>0.35566785462536199</v>
      </c>
    </row>
    <row r="1792" spans="1:5" x14ac:dyDescent="0.2">
      <c r="A1792">
        <v>1.7734666666666701E-2</v>
      </c>
      <c r="B1792">
        <v>0.27579627167475801</v>
      </c>
      <c r="C1792">
        <v>0.22936465897078301</v>
      </c>
      <c r="D1792">
        <v>0.40557048850383698</v>
      </c>
      <c r="E1792">
        <v>0.35591671849220002</v>
      </c>
    </row>
    <row r="1793" spans="1:5" x14ac:dyDescent="0.2">
      <c r="A1793">
        <v>1.7761333333333299E-2</v>
      </c>
      <c r="B1793">
        <v>0.27594589420232002</v>
      </c>
      <c r="C1793">
        <v>0.22950973970781499</v>
      </c>
      <c r="D1793">
        <v>0.40570982649455301</v>
      </c>
      <c r="E1793">
        <v>0.35616613750679399</v>
      </c>
    </row>
    <row r="1794" spans="1:5" x14ac:dyDescent="0.2">
      <c r="A1794">
        <v>1.7788000000000002E-2</v>
      </c>
      <c r="B1794">
        <v>0.27609558058809303</v>
      </c>
      <c r="C1794">
        <v>0.229654858455204</v>
      </c>
      <c r="D1794">
        <v>0.40584913747759199</v>
      </c>
      <c r="E1794">
        <v>0.35641613733763999</v>
      </c>
    </row>
    <row r="1795" spans="1:5" x14ac:dyDescent="0.2">
      <c r="A1795">
        <v>1.7814666666666701E-2</v>
      </c>
      <c r="B1795">
        <v>0.27624533775864901</v>
      </c>
      <c r="C1795">
        <v>0.22980001524038399</v>
      </c>
      <c r="D1795">
        <v>0.40598842144012998</v>
      </c>
      <c r="E1795">
        <v>0.35666674365323298</v>
      </c>
    </row>
    <row r="1796" spans="1:5" x14ac:dyDescent="0.2">
      <c r="A1796">
        <v>1.7841333333333299E-2</v>
      </c>
      <c r="B1796">
        <v>0.27639517264056102</v>
      </c>
      <c r="C1796">
        <v>0.229945210090788</v>
      </c>
      <c r="D1796">
        <v>0.40612767836933999</v>
      </c>
      <c r="E1796">
        <v>0.35691798212206999</v>
      </c>
    </row>
    <row r="1797" spans="1:5" x14ac:dyDescent="0.2">
      <c r="A1797">
        <v>1.7867999999999998E-2</v>
      </c>
      <c r="B1797">
        <v>0.27654509216040202</v>
      </c>
      <c r="C1797">
        <v>0.23009044303385301</v>
      </c>
      <c r="D1797">
        <v>0.40626690825239897</v>
      </c>
      <c r="E1797">
        <v>0.35716987841264702</v>
      </c>
    </row>
    <row r="1798" spans="1:5" x14ac:dyDescent="0.2">
      <c r="A1798">
        <v>1.7894666666666701E-2</v>
      </c>
      <c r="B1798">
        <v>0.276695103244746</v>
      </c>
      <c r="C1798">
        <v>0.23023571409701199</v>
      </c>
      <c r="D1798">
        <v>0.406406111076481</v>
      </c>
      <c r="E1798">
        <v>0.35742245819346002</v>
      </c>
    </row>
    <row r="1799" spans="1:5" x14ac:dyDescent="0.2">
      <c r="A1799">
        <v>1.79213333333333E-2</v>
      </c>
      <c r="B1799">
        <v>0.276845212820165</v>
      </c>
      <c r="C1799">
        <v>0.230381023307699</v>
      </c>
      <c r="D1799">
        <v>0.40654528682876101</v>
      </c>
      <c r="E1799">
        <v>0.35767574713300498</v>
      </c>
    </row>
    <row r="1800" spans="1:5" x14ac:dyDescent="0.2">
      <c r="A1800">
        <v>1.7947999999999999E-2</v>
      </c>
      <c r="B1800">
        <v>0.276995427813232</v>
      </c>
      <c r="C1800">
        <v>0.230526370693349</v>
      </c>
      <c r="D1800">
        <v>0.40668443549641398</v>
      </c>
      <c r="E1800">
        <v>0.35792977089977801</v>
      </c>
    </row>
    <row r="1801" spans="1:5" x14ac:dyDescent="0.2">
      <c r="A1801">
        <v>1.7974666666666701E-2</v>
      </c>
      <c r="B1801">
        <v>0.27714575515052098</v>
      </c>
      <c r="C1801">
        <v>0.23067175628139699</v>
      </c>
      <c r="D1801">
        <v>0.40682355706661399</v>
      </c>
      <c r="E1801">
        <v>0.35818455516227599</v>
      </c>
    </row>
    <row r="1802" spans="1:5" x14ac:dyDescent="0.2">
      <c r="A1802">
        <v>1.80013333333333E-2</v>
      </c>
      <c r="B1802">
        <v>0.27729620175860298</v>
      </c>
      <c r="C1802">
        <v>0.23081718009902599</v>
      </c>
      <c r="D1802">
        <v>0.40696265152653799</v>
      </c>
      <c r="E1802">
        <v>0.358440125586448</v>
      </c>
    </row>
    <row r="1803" spans="1:5" x14ac:dyDescent="0.2">
      <c r="A1803">
        <v>1.8027999999999999E-2</v>
      </c>
      <c r="B1803">
        <v>0.27744677456405298</v>
      </c>
      <c r="C1803">
        <v>0.23096263985485399</v>
      </c>
      <c r="D1803">
        <v>0.407101718863359</v>
      </c>
      <c r="E1803">
        <v>0.358696484275494</v>
      </c>
    </row>
    <row r="1804" spans="1:5" x14ac:dyDescent="0.2">
      <c r="A1804">
        <v>1.8054666666666701E-2</v>
      </c>
      <c r="B1804">
        <v>0.27759748049344202</v>
      </c>
      <c r="C1804">
        <v>0.23110812527189201</v>
      </c>
      <c r="D1804">
        <v>0.407240759064253</v>
      </c>
      <c r="E1804">
        <v>0.358953552177674</v>
      </c>
    </row>
    <row r="1805" spans="1:5" x14ac:dyDescent="0.2">
      <c r="A1805">
        <v>1.80813333333333E-2</v>
      </c>
      <c r="B1805">
        <v>0.27774832647334502</v>
      </c>
      <c r="C1805">
        <v>0.231253624355199</v>
      </c>
      <c r="D1805">
        <v>0.40737977211639398</v>
      </c>
      <c r="E1805">
        <v>0.359211232782362</v>
      </c>
    </row>
    <row r="1806" spans="1:5" x14ac:dyDescent="0.2">
      <c r="A1806">
        <v>1.8107999999999999E-2</v>
      </c>
      <c r="B1806">
        <v>0.27789931943033402</v>
      </c>
      <c r="C1806">
        <v>0.23139912510983601</v>
      </c>
      <c r="D1806">
        <v>0.40751875800695803</v>
      </c>
      <c r="E1806">
        <v>0.35946942957893202</v>
      </c>
    </row>
    <row r="1807" spans="1:5" x14ac:dyDescent="0.2">
      <c r="A1807">
        <v>1.8134666666666702E-2</v>
      </c>
      <c r="B1807">
        <v>0.27805046629098101</v>
      </c>
      <c r="C1807">
        <v>0.231544615540866</v>
      </c>
      <c r="D1807">
        <v>0.40765771672311901</v>
      </c>
      <c r="E1807">
        <v>0.35972804605675801</v>
      </c>
    </row>
    <row r="1808" spans="1:5" x14ac:dyDescent="0.2">
      <c r="A1808">
        <v>1.81613333333333E-2</v>
      </c>
      <c r="B1808">
        <v>0.27820177398186102</v>
      </c>
      <c r="C1808">
        <v>0.231690083653349</v>
      </c>
      <c r="D1808">
        <v>0.40779664825205297</v>
      </c>
      <c r="E1808">
        <v>0.35998698570521398</v>
      </c>
    </row>
    <row r="1809" spans="1:5" x14ac:dyDescent="0.2">
      <c r="A1809">
        <v>1.8187999999999999E-2</v>
      </c>
      <c r="B1809">
        <v>0.27835324942954498</v>
      </c>
      <c r="C1809">
        <v>0.23183551745234601</v>
      </c>
      <c r="D1809">
        <v>0.407935552580934</v>
      </c>
      <c r="E1809">
        <v>0.36024615201367399</v>
      </c>
    </row>
    <row r="1810" spans="1:5" x14ac:dyDescent="0.2">
      <c r="A1810">
        <v>1.8214666666666698E-2</v>
      </c>
      <c r="B1810">
        <v>0.27850489956060798</v>
      </c>
      <c r="C1810">
        <v>0.23198090494291801</v>
      </c>
      <c r="D1810">
        <v>0.40807442969693702</v>
      </c>
      <c r="E1810">
        <v>0.360505448471511</v>
      </c>
    </row>
    <row r="1811" spans="1:5" x14ac:dyDescent="0.2">
      <c r="A1811">
        <v>1.82413333333333E-2</v>
      </c>
      <c r="B1811">
        <v>0.278656731301621</v>
      </c>
      <c r="C1811">
        <v>0.23212623413012601</v>
      </c>
      <c r="D1811">
        <v>0.40821327958723702</v>
      </c>
      <c r="E1811">
        <v>0.36076477856810002</v>
      </c>
    </row>
    <row r="1812" spans="1:5" x14ac:dyDescent="0.2">
      <c r="A1812">
        <v>1.8268E-2</v>
      </c>
      <c r="B1812">
        <v>0.27880875157915802</v>
      </c>
      <c r="C1812">
        <v>0.23227149301903299</v>
      </c>
      <c r="D1812">
        <v>0.40835210223900897</v>
      </c>
      <c r="E1812">
        <v>0.361024045792814</v>
      </c>
    </row>
    <row r="1813" spans="1:5" x14ac:dyDescent="0.2">
      <c r="A1813">
        <v>1.8294666666666699E-2</v>
      </c>
      <c r="B1813">
        <v>0.27896096731979197</v>
      </c>
      <c r="C1813">
        <v>0.23241666961469801</v>
      </c>
      <c r="D1813">
        <v>0.40849089763942797</v>
      </c>
      <c r="E1813">
        <v>0.361283153635028</v>
      </c>
    </row>
    <row r="1814" spans="1:5" x14ac:dyDescent="0.2">
      <c r="A1814">
        <v>1.8321333333333301E-2</v>
      </c>
      <c r="B1814">
        <v>0.27911338545009601</v>
      </c>
      <c r="C1814">
        <v>0.23256175192218301</v>
      </c>
      <c r="D1814">
        <v>0.40862966577567</v>
      </c>
      <c r="E1814">
        <v>0.36154200558411398</v>
      </c>
    </row>
    <row r="1815" spans="1:5" x14ac:dyDescent="0.2">
      <c r="A1815">
        <v>1.8348E-2</v>
      </c>
      <c r="B1815">
        <v>0.27926601289664199</v>
      </c>
      <c r="C1815">
        <v>0.23270672794654901</v>
      </c>
      <c r="D1815">
        <v>0.40876840663490799</v>
      </c>
      <c r="E1815">
        <v>0.361800505129448</v>
      </c>
    </row>
    <row r="1816" spans="1:5" x14ac:dyDescent="0.2">
      <c r="A1816">
        <v>1.8374666666666699E-2</v>
      </c>
      <c r="B1816">
        <v>0.27941885658600402</v>
      </c>
      <c r="C1816">
        <v>0.23285158569285699</v>
      </c>
      <c r="D1816">
        <v>0.40890712020431702</v>
      </c>
      <c r="E1816">
        <v>0.36205855576040202</v>
      </c>
    </row>
    <row r="1817" spans="1:5" x14ac:dyDescent="0.2">
      <c r="A1817">
        <v>1.8401333333333301E-2</v>
      </c>
      <c r="B1817">
        <v>0.27957192344475501</v>
      </c>
      <c r="C1817">
        <v>0.23299631316616801</v>
      </c>
      <c r="D1817">
        <v>0.40904580647107402</v>
      </c>
      <c r="E1817">
        <v>0.36231606096635099</v>
      </c>
    </row>
    <row r="1818" spans="1:5" x14ac:dyDescent="0.2">
      <c r="A1818">
        <v>1.8428E-2</v>
      </c>
      <c r="B1818">
        <v>0.27972522039946701</v>
      </c>
      <c r="C1818">
        <v>0.233140898371544</v>
      </c>
      <c r="D1818">
        <v>0.40918446542235198</v>
      </c>
      <c r="E1818">
        <v>0.36257292423666898</v>
      </c>
    </row>
    <row r="1819" spans="1:5" x14ac:dyDescent="0.2">
      <c r="A1819">
        <v>1.8454666666666699E-2</v>
      </c>
      <c r="B1819">
        <v>0.279878754376714</v>
      </c>
      <c r="C1819">
        <v>0.233285329314045</v>
      </c>
      <c r="D1819">
        <v>0.40932309704532699</v>
      </c>
      <c r="E1819">
        <v>0.36282904906072999</v>
      </c>
    </row>
    <row r="1820" spans="1:5" x14ac:dyDescent="0.2">
      <c r="A1820">
        <v>1.8481333333333301E-2</v>
      </c>
      <c r="B1820">
        <v>0.28003253230306902</v>
      </c>
      <c r="C1820">
        <v>0.233429593998733</v>
      </c>
      <c r="D1820">
        <v>0.40946170132717302</v>
      </c>
      <c r="E1820">
        <v>0.36308433892790598</v>
      </c>
    </row>
    <row r="1821" spans="1:5" x14ac:dyDescent="0.2">
      <c r="A1821">
        <v>1.8508E-2</v>
      </c>
      <c r="B1821">
        <v>0.28018656110510398</v>
      </c>
      <c r="C1821">
        <v>0.23357368043067001</v>
      </c>
      <c r="D1821">
        <v>0.40960027825506601</v>
      </c>
      <c r="E1821">
        <v>0.36333869732757301</v>
      </c>
    </row>
    <row r="1822" spans="1:5" x14ac:dyDescent="0.2">
      <c r="A1822">
        <v>1.8534666666666699E-2</v>
      </c>
      <c r="B1822">
        <v>0.28034084770939199</v>
      </c>
      <c r="C1822">
        <v>0.23371757661491499</v>
      </c>
      <c r="D1822">
        <v>0.40973882781617998</v>
      </c>
      <c r="E1822">
        <v>0.36359202774910399</v>
      </c>
    </row>
    <row r="1823" spans="1:5" x14ac:dyDescent="0.2">
      <c r="A1823">
        <v>1.8561333333333301E-2</v>
      </c>
      <c r="B1823">
        <v>0.28049539904250698</v>
      </c>
      <c r="C1823">
        <v>0.23386127055653</v>
      </c>
      <c r="D1823">
        <v>0.40987734999769099</v>
      </c>
      <c r="E1823">
        <v>0.36384423368187402</v>
      </c>
    </row>
    <row r="1824" spans="1:5" x14ac:dyDescent="0.2">
      <c r="A1824">
        <v>1.8588E-2</v>
      </c>
      <c r="B1824">
        <v>0.28065022203102202</v>
      </c>
      <c r="C1824">
        <v>0.23400475026057599</v>
      </c>
      <c r="D1824">
        <v>0.410015844786772</v>
      </c>
      <c r="E1824">
        <v>0.36409521861525501</v>
      </c>
    </row>
    <row r="1825" spans="1:5" x14ac:dyDescent="0.2">
      <c r="A1825">
        <v>1.8614666666666699E-2</v>
      </c>
      <c r="B1825">
        <v>0.280805323601509</v>
      </c>
      <c r="C1825">
        <v>0.234148003732115</v>
      </c>
      <c r="D1825">
        <v>0.4101543121706</v>
      </c>
      <c r="E1825">
        <v>0.36434488603862097</v>
      </c>
    </row>
    <row r="1826" spans="1:5" x14ac:dyDescent="0.2">
      <c r="A1826">
        <v>1.8641333333333301E-2</v>
      </c>
      <c r="B1826">
        <v>0.28096071068054101</v>
      </c>
      <c r="C1826">
        <v>0.23429101897620799</v>
      </c>
      <c r="D1826">
        <v>0.41029275213634903</v>
      </c>
      <c r="E1826">
        <v>0.36459313944134802</v>
      </c>
    </row>
    <row r="1827" spans="1:5" x14ac:dyDescent="0.2">
      <c r="A1827">
        <v>1.8668000000000001E-2</v>
      </c>
      <c r="B1827">
        <v>0.28111639019469198</v>
      </c>
      <c r="C1827">
        <v>0.23443378399791501</v>
      </c>
      <c r="D1827">
        <v>0.410431164671194</v>
      </c>
      <c r="E1827">
        <v>0.36483988231280801</v>
      </c>
    </row>
    <row r="1828" spans="1:5" x14ac:dyDescent="0.2">
      <c r="A1828">
        <v>1.86946666666667E-2</v>
      </c>
      <c r="B1828">
        <v>0.28127236907053399</v>
      </c>
      <c r="C1828">
        <v>0.234576286802298</v>
      </c>
      <c r="D1828">
        <v>0.41056954976231003</v>
      </c>
      <c r="E1828">
        <v>0.36508501814237498</v>
      </c>
    </row>
    <row r="1829" spans="1:5" x14ac:dyDescent="0.2">
      <c r="A1829">
        <v>1.8721333333333302E-2</v>
      </c>
      <c r="B1829">
        <v>0.28142865423463997</v>
      </c>
      <c r="C1829">
        <v>0.23471851539441899</v>
      </c>
      <c r="D1829">
        <v>0.41070790739687202</v>
      </c>
      <c r="E1829">
        <v>0.36532845041942402</v>
      </c>
    </row>
    <row r="1830" spans="1:5" x14ac:dyDescent="0.2">
      <c r="A1830">
        <v>1.8748000000000001E-2</v>
      </c>
      <c r="B1830">
        <v>0.28158525261358403</v>
      </c>
      <c r="C1830">
        <v>0.23486045777933701</v>
      </c>
      <c r="D1830">
        <v>0.41084623756205402</v>
      </c>
      <c r="E1830">
        <v>0.36557008263332802</v>
      </c>
    </row>
    <row r="1831" spans="1:5" x14ac:dyDescent="0.2">
      <c r="A1831">
        <v>1.87746666666667E-2</v>
      </c>
      <c r="B1831">
        <v>0.28174217113393701</v>
      </c>
      <c r="C1831">
        <v>0.23500210196211399</v>
      </c>
      <c r="D1831">
        <v>0.410984540245033</v>
      </c>
      <c r="E1831">
        <v>0.36580981827346098</v>
      </c>
    </row>
    <row r="1832" spans="1:5" x14ac:dyDescent="0.2">
      <c r="A1832">
        <v>1.8801333333333298E-2</v>
      </c>
      <c r="B1832">
        <v>0.28189941672227398</v>
      </c>
      <c r="C1832">
        <v>0.23514343594781201</v>
      </c>
      <c r="D1832">
        <v>0.41112281543298201</v>
      </c>
      <c r="E1832">
        <v>0.36604756082919698</v>
      </c>
    </row>
    <row r="1833" spans="1:5" x14ac:dyDescent="0.2">
      <c r="A1833">
        <v>1.8828000000000001E-2</v>
      </c>
      <c r="B1833">
        <v>0.28205699630516801</v>
      </c>
      <c r="C1833">
        <v>0.23528444774149199</v>
      </c>
      <c r="D1833">
        <v>0.41126106311307598</v>
      </c>
      <c r="E1833">
        <v>0.36628321378991002</v>
      </c>
    </row>
    <row r="1834" spans="1:5" x14ac:dyDescent="0.2">
      <c r="A1834">
        <v>1.88546666666667E-2</v>
      </c>
      <c r="B1834">
        <v>0.28221491680918998</v>
      </c>
      <c r="C1834">
        <v>0.235425125348214</v>
      </c>
      <c r="D1834">
        <v>0.41139928327249098</v>
      </c>
      <c r="E1834">
        <v>0.366516680644973</v>
      </c>
    </row>
    <row r="1835" spans="1:5" x14ac:dyDescent="0.2">
      <c r="A1835">
        <v>1.8881333333333299E-2</v>
      </c>
      <c r="B1835">
        <v>0.28237318516091398</v>
      </c>
      <c r="C1835">
        <v>0.23556545677304</v>
      </c>
      <c r="D1835">
        <v>0.41153747589840201</v>
      </c>
      <c r="E1835">
        <v>0.36674786488376099</v>
      </c>
    </row>
    <row r="1836" spans="1:5" x14ac:dyDescent="0.2">
      <c r="A1836">
        <v>1.8908000000000001E-2</v>
      </c>
      <c r="B1836">
        <v>0.28253180828691399</v>
      </c>
      <c r="C1836">
        <v>0.235705430021032</v>
      </c>
      <c r="D1836">
        <v>0.41167564097798298</v>
      </c>
      <c r="E1836">
        <v>0.36697666999564699</v>
      </c>
    </row>
    <row r="1837" spans="1:5" x14ac:dyDescent="0.2">
      <c r="A1837">
        <v>1.89346666666667E-2</v>
      </c>
      <c r="B1837">
        <v>0.282690793113761</v>
      </c>
      <c r="C1837">
        <v>0.235845033097249</v>
      </c>
      <c r="D1837">
        <v>0.411813778498409</v>
      </c>
      <c r="E1837">
        <v>0.36720299947000601</v>
      </c>
    </row>
    <row r="1838" spans="1:5" x14ac:dyDescent="0.2">
      <c r="A1838">
        <v>1.8961333333333299E-2</v>
      </c>
      <c r="B1838">
        <v>0.28285014656802998</v>
      </c>
      <c r="C1838">
        <v>0.23598425400675399</v>
      </c>
      <c r="D1838">
        <v>0.41195188844685598</v>
      </c>
      <c r="E1838">
        <v>0.36742675679621101</v>
      </c>
    </row>
    <row r="1839" spans="1:5" x14ac:dyDescent="0.2">
      <c r="A1839">
        <v>1.8988000000000001E-2</v>
      </c>
      <c r="B1839">
        <v>0.28300987557629298</v>
      </c>
      <c r="C1839">
        <v>0.236123080754607</v>
      </c>
      <c r="D1839">
        <v>0.41208997081049697</v>
      </c>
      <c r="E1839">
        <v>0.36764784546363599</v>
      </c>
    </row>
    <row r="1840" spans="1:5" x14ac:dyDescent="0.2">
      <c r="A1840">
        <v>1.9014666666666701E-2</v>
      </c>
      <c r="B1840">
        <v>0.28316998507517599</v>
      </c>
      <c r="C1840">
        <v>0.236261501671337</v>
      </c>
      <c r="D1840">
        <v>0.41222802557650901</v>
      </c>
      <c r="E1840">
        <v>0.36786617490573897</v>
      </c>
    </row>
    <row r="1841" spans="1:5" x14ac:dyDescent="0.2">
      <c r="A1841">
        <v>1.9041333333333299E-2</v>
      </c>
      <c r="B1841">
        <v>0.28333044342129299</v>
      </c>
      <c r="C1841">
        <v>0.236399511070366</v>
      </c>
      <c r="D1841">
        <v>0.412366052732066</v>
      </c>
      <c r="E1841">
        <v>0.36808176382263602</v>
      </c>
    </row>
    <row r="1842" spans="1:5" x14ac:dyDescent="0.2">
      <c r="A1842">
        <v>1.9068000000000002E-2</v>
      </c>
      <c r="B1842">
        <v>0.28349118686749702</v>
      </c>
      <c r="C1842">
        <v>0.236537108515883</v>
      </c>
      <c r="D1842">
        <v>0.412504052264343</v>
      </c>
      <c r="E1842">
        <v>0.36829472681025499</v>
      </c>
    </row>
    <row r="1843" spans="1:5" x14ac:dyDescent="0.2">
      <c r="A1843">
        <v>1.9094666666666701E-2</v>
      </c>
      <c r="B1843">
        <v>0.28365215057672899</v>
      </c>
      <c r="C1843">
        <v>0.23667429375034299</v>
      </c>
      <c r="D1843">
        <v>0.41264202416051499</v>
      </c>
      <c r="E1843">
        <v>0.36850518172015201</v>
      </c>
    </row>
    <row r="1844" spans="1:5" x14ac:dyDescent="0.2">
      <c r="A1844">
        <v>1.9121333333333299E-2</v>
      </c>
      <c r="B1844">
        <v>0.28381326971193299</v>
      </c>
      <c r="C1844">
        <v>0.23681106651619799</v>
      </c>
      <c r="D1844">
        <v>0.41277996840775599</v>
      </c>
      <c r="E1844">
        <v>0.36871324640388098</v>
      </c>
    </row>
    <row r="1845" spans="1:5" x14ac:dyDescent="0.2">
      <c r="A1845">
        <v>1.9147999999999998E-2</v>
      </c>
      <c r="B1845">
        <v>0.28397447943605097</v>
      </c>
      <c r="C1845">
        <v>0.23694742655590001</v>
      </c>
      <c r="D1845">
        <v>0.412917884993243</v>
      </c>
      <c r="E1845">
        <v>0.36891903871299803</v>
      </c>
    </row>
    <row r="1846" spans="1:5" x14ac:dyDescent="0.2">
      <c r="A1846">
        <v>1.9174666666666701E-2</v>
      </c>
      <c r="B1846">
        <v>0.28413571491202699</v>
      </c>
      <c r="C1846">
        <v>0.23708337361190401</v>
      </c>
      <c r="D1846">
        <v>0.41305577390414899</v>
      </c>
      <c r="E1846">
        <v>0.369122676499057</v>
      </c>
    </row>
    <row r="1847" spans="1:5" x14ac:dyDescent="0.2">
      <c r="A1847">
        <v>1.9201333333333299E-2</v>
      </c>
      <c r="B1847">
        <v>0.28429691130280399</v>
      </c>
      <c r="C1847">
        <v>0.23721890742666199</v>
      </c>
      <c r="D1847">
        <v>0.41319363512765001</v>
      </c>
      <c r="E1847">
        <v>0.36932427761361503</v>
      </c>
    </row>
    <row r="1848" spans="1:5" x14ac:dyDescent="0.2">
      <c r="A1848">
        <v>1.9227999999999999E-2</v>
      </c>
      <c r="B1848">
        <v>0.28445800377132302</v>
      </c>
      <c r="C1848">
        <v>0.23735402774262601</v>
      </c>
      <c r="D1848">
        <v>0.41333146865092002</v>
      </c>
      <c r="E1848">
        <v>0.36952395990822501</v>
      </c>
    </row>
    <row r="1849" spans="1:5" x14ac:dyDescent="0.2">
      <c r="A1849">
        <v>1.9254666666666701E-2</v>
      </c>
      <c r="B1849">
        <v>0.28461892748052797</v>
      </c>
      <c r="C1849">
        <v>0.23748873430225001</v>
      </c>
      <c r="D1849">
        <v>0.41346927446113502</v>
      </c>
      <c r="E1849">
        <v>0.36972184123444202</v>
      </c>
    </row>
    <row r="1850" spans="1:5" x14ac:dyDescent="0.2">
      <c r="A1850">
        <v>1.92813333333333E-2</v>
      </c>
      <c r="B1850">
        <v>0.28477961759336201</v>
      </c>
      <c r="C1850">
        <v>0.237623026847987</v>
      </c>
      <c r="D1850">
        <v>0.41360705254546898</v>
      </c>
      <c r="E1850">
        <v>0.36991803944382301</v>
      </c>
    </row>
    <row r="1851" spans="1:5" x14ac:dyDescent="0.2">
      <c r="A1851">
        <v>1.9307999999999999E-2</v>
      </c>
      <c r="B1851">
        <v>0.28494000927276703</v>
      </c>
      <c r="C1851">
        <v>0.23775690512229</v>
      </c>
      <c r="D1851">
        <v>0.413744802891097</v>
      </c>
      <c r="E1851">
        <v>0.370112672387921</v>
      </c>
    </row>
    <row r="1852" spans="1:5" x14ac:dyDescent="0.2">
      <c r="A1852">
        <v>1.9334666666666701E-2</v>
      </c>
      <c r="B1852">
        <v>0.28510003768168701</v>
      </c>
      <c r="C1852">
        <v>0.237890368867611</v>
      </c>
      <c r="D1852">
        <v>0.413882525485195</v>
      </c>
      <c r="E1852">
        <v>0.37030585791829201</v>
      </c>
    </row>
    <row r="1853" spans="1:5" x14ac:dyDescent="0.2">
      <c r="A1853">
        <v>1.93613333333333E-2</v>
      </c>
      <c r="B1853">
        <v>0.28525963798306297</v>
      </c>
      <c r="C1853">
        <v>0.23802341782640399</v>
      </c>
      <c r="D1853">
        <v>0.41402022031493702</v>
      </c>
      <c r="E1853">
        <v>0.370497713886492</v>
      </c>
    </row>
    <row r="1854" spans="1:5" x14ac:dyDescent="0.2">
      <c r="A1854">
        <v>1.9387999999999999E-2</v>
      </c>
      <c r="B1854">
        <v>0.28541874533984002</v>
      </c>
      <c r="C1854">
        <v>0.238156051741122</v>
      </c>
      <c r="D1854">
        <v>0.41415788736749798</v>
      </c>
      <c r="E1854">
        <v>0.37068835814407403</v>
      </c>
    </row>
    <row r="1855" spans="1:5" x14ac:dyDescent="0.2">
      <c r="A1855">
        <v>1.9414666666666702E-2</v>
      </c>
      <c r="B1855">
        <v>0.28557729491495898</v>
      </c>
      <c r="C1855">
        <v>0.23828827035421701</v>
      </c>
      <c r="D1855">
        <v>0.41429552663005298</v>
      </c>
      <c r="E1855">
        <v>0.370877908542594</v>
      </c>
    </row>
    <row r="1856" spans="1:5" x14ac:dyDescent="0.2">
      <c r="A1856">
        <v>1.94413333333333E-2</v>
      </c>
      <c r="B1856">
        <v>0.28573522187136402</v>
      </c>
      <c r="C1856">
        <v>0.238420073408142</v>
      </c>
      <c r="D1856">
        <v>0.414433138089777</v>
      </c>
      <c r="E1856">
        <v>0.371066482933607</v>
      </c>
    </row>
    <row r="1857" spans="1:5" x14ac:dyDescent="0.2">
      <c r="A1857">
        <v>1.9467999999999999E-2</v>
      </c>
      <c r="B1857">
        <v>0.28589246137199797</v>
      </c>
      <c r="C1857">
        <v>0.23855146064535099</v>
      </c>
      <c r="D1857">
        <v>0.41457072173384502</v>
      </c>
      <c r="E1857">
        <v>0.37125419916866798</v>
      </c>
    </row>
    <row r="1858" spans="1:5" x14ac:dyDescent="0.2">
      <c r="A1858">
        <v>1.9494666666666698E-2</v>
      </c>
      <c r="B1858">
        <v>0.28604894857980201</v>
      </c>
      <c r="C1858">
        <v>0.23868243180829599</v>
      </c>
      <c r="D1858">
        <v>0.41470827754943201</v>
      </c>
      <c r="E1858">
        <v>0.371441175099333</v>
      </c>
    </row>
    <row r="1859" spans="1:5" x14ac:dyDescent="0.2">
      <c r="A1859">
        <v>1.95213333333333E-2</v>
      </c>
      <c r="B1859">
        <v>0.28620461865772101</v>
      </c>
      <c r="C1859">
        <v>0.23881298663943001</v>
      </c>
      <c r="D1859">
        <v>0.41484580552371297</v>
      </c>
      <c r="E1859">
        <v>0.37162752857715498</v>
      </c>
    </row>
    <row r="1860" spans="1:5" x14ac:dyDescent="0.2">
      <c r="A1860">
        <v>1.9547999999999999E-2</v>
      </c>
      <c r="B1860">
        <v>0.28635940676869598</v>
      </c>
      <c r="C1860">
        <v>0.238943124881207</v>
      </c>
      <c r="D1860">
        <v>0.41498330564386199</v>
      </c>
      <c r="E1860">
        <v>0.37181337745369097</v>
      </c>
    </row>
    <row r="1861" spans="1:5" x14ac:dyDescent="0.2">
      <c r="A1861">
        <v>1.9574666666666699E-2</v>
      </c>
      <c r="B1861">
        <v>0.28651324807567102</v>
      </c>
      <c r="C1861">
        <v>0.239072846276079</v>
      </c>
      <c r="D1861">
        <v>0.41512077789705598</v>
      </c>
      <c r="E1861">
        <v>0.37199883958049501</v>
      </c>
    </row>
    <row r="1862" spans="1:5" x14ac:dyDescent="0.2">
      <c r="A1862">
        <v>1.96013333333333E-2</v>
      </c>
      <c r="B1862">
        <v>0.28666607774158898</v>
      </c>
      <c r="C1862">
        <v>0.23920215056649899</v>
      </c>
      <c r="D1862">
        <v>0.41525822227046699</v>
      </c>
      <c r="E1862">
        <v>0.37218403280912199</v>
      </c>
    </row>
    <row r="1863" spans="1:5" x14ac:dyDescent="0.2">
      <c r="A1863">
        <v>1.9628E-2</v>
      </c>
      <c r="B1863">
        <v>0.286817830929392</v>
      </c>
      <c r="C1863">
        <v>0.23933103749491999</v>
      </c>
      <c r="D1863">
        <v>0.415395638751272</v>
      </c>
      <c r="E1863">
        <v>0.37236907499112798</v>
      </c>
    </row>
    <row r="1864" spans="1:5" x14ac:dyDescent="0.2">
      <c r="A1864">
        <v>1.9654666666666699E-2</v>
      </c>
      <c r="B1864">
        <v>0.28696844280202199</v>
      </c>
      <c r="C1864">
        <v>0.23945950680379499</v>
      </c>
      <c r="D1864">
        <v>0.41553302732664599</v>
      </c>
      <c r="E1864">
        <v>0.372554083978066</v>
      </c>
    </row>
    <row r="1865" spans="1:5" x14ac:dyDescent="0.2">
      <c r="A1865">
        <v>1.9681333333333301E-2</v>
      </c>
      <c r="B1865">
        <v>0.287117848522424</v>
      </c>
      <c r="C1865">
        <v>0.23958755823557701</v>
      </c>
      <c r="D1865">
        <v>0.41567038798376299</v>
      </c>
      <c r="E1865">
        <v>0.372739177621494</v>
      </c>
    </row>
    <row r="1866" spans="1:5" x14ac:dyDescent="0.2">
      <c r="A1866">
        <v>1.9708E-2</v>
      </c>
      <c r="B1866">
        <v>0.28726598325354002</v>
      </c>
      <c r="C1866">
        <v>0.239715191532719</v>
      </c>
      <c r="D1866">
        <v>0.41580772070979799</v>
      </c>
      <c r="E1866">
        <v>0.372924473772964</v>
      </c>
    </row>
    <row r="1867" spans="1:5" x14ac:dyDescent="0.2">
      <c r="A1867">
        <v>1.9734666666666699E-2</v>
      </c>
      <c r="B1867">
        <v>0.28741278215831201</v>
      </c>
      <c r="C1867">
        <v>0.23984240643767399</v>
      </c>
      <c r="D1867">
        <v>0.41594502549192702</v>
      </c>
      <c r="E1867">
        <v>0.37311009028403302</v>
      </c>
    </row>
    <row r="1868" spans="1:5" x14ac:dyDescent="0.2">
      <c r="A1868">
        <v>1.9761333333333301E-2</v>
      </c>
      <c r="B1868">
        <v>0.28755818039968301</v>
      </c>
      <c r="C1868">
        <v>0.23996920269289501</v>
      </c>
      <c r="D1868">
        <v>0.41608230231732302</v>
      </c>
      <c r="E1868">
        <v>0.37329614500625602</v>
      </c>
    </row>
    <row r="1869" spans="1:5" x14ac:dyDescent="0.2">
      <c r="A1869">
        <v>1.9788E-2</v>
      </c>
      <c r="B1869">
        <v>0.28770211314059702</v>
      </c>
      <c r="C1869">
        <v>0.240095580040835</v>
      </c>
      <c r="D1869">
        <v>0.416219551173163</v>
      </c>
      <c r="E1869">
        <v>0.373482755791187</v>
      </c>
    </row>
    <row r="1870" spans="1:5" x14ac:dyDescent="0.2">
      <c r="A1870">
        <v>1.9814666666666699E-2</v>
      </c>
      <c r="B1870">
        <v>0.28784451554399498</v>
      </c>
      <c r="C1870">
        <v>0.24022153822394601</v>
      </c>
      <c r="D1870">
        <v>0.41635677204662103</v>
      </c>
      <c r="E1870">
        <v>0.37367004049038199</v>
      </c>
    </row>
    <row r="1871" spans="1:5" x14ac:dyDescent="0.2">
      <c r="A1871">
        <v>1.9841333333333301E-2</v>
      </c>
      <c r="B1871">
        <v>0.28798532277282102</v>
      </c>
      <c r="C1871">
        <v>0.240347076984682</v>
      </c>
      <c r="D1871">
        <v>0.41649396492487201</v>
      </c>
      <c r="E1871">
        <v>0.373858116955395</v>
      </c>
    </row>
    <row r="1872" spans="1:5" x14ac:dyDescent="0.2">
      <c r="A1872">
        <v>1.9868E-2</v>
      </c>
      <c r="B1872">
        <v>0.28812446999001801</v>
      </c>
      <c r="C1872">
        <v>0.240472196065495</v>
      </c>
      <c r="D1872">
        <v>0.41663112979508998</v>
      </c>
      <c r="E1872">
        <v>0.37404710303778199</v>
      </c>
    </row>
    <row r="1873" spans="1:5" x14ac:dyDescent="0.2">
      <c r="A1873">
        <v>1.9894666666666699E-2</v>
      </c>
      <c r="B1873">
        <v>0.288261892358529</v>
      </c>
      <c r="C1873">
        <v>0.24059689520884001</v>
      </c>
      <c r="D1873">
        <v>0.41676826664445099</v>
      </c>
      <c r="E1873">
        <v>0.37423711658909697</v>
      </c>
    </row>
    <row r="1874" spans="1:5" x14ac:dyDescent="0.2">
      <c r="A1874">
        <v>1.9921333333333301E-2</v>
      </c>
      <c r="B1874">
        <v>0.28839752504129501</v>
      </c>
      <c r="C1874">
        <v>0.24072117415716701</v>
      </c>
      <c r="D1874">
        <v>0.41690537546013101</v>
      </c>
      <c r="E1874">
        <v>0.37442827546089702</v>
      </c>
    </row>
    <row r="1875" spans="1:5" x14ac:dyDescent="0.2">
      <c r="A1875">
        <v>1.9948E-2</v>
      </c>
      <c r="B1875">
        <v>0.28853130320126102</v>
      </c>
      <c r="C1875">
        <v>0.240845032652932</v>
      </c>
      <c r="D1875">
        <v>0.41704245622930203</v>
      </c>
      <c r="E1875">
        <v>0.37462069750473498</v>
      </c>
    </row>
    <row r="1876" spans="1:5" x14ac:dyDescent="0.2">
      <c r="A1876">
        <v>1.99746666666667E-2</v>
      </c>
      <c r="B1876">
        <v>0.28866316200136899</v>
      </c>
      <c r="C1876">
        <v>0.24096847043858499</v>
      </c>
      <c r="D1876">
        <v>0.41717950893914202</v>
      </c>
      <c r="E1876">
        <v>0.37481450057216698</v>
      </c>
    </row>
    <row r="1877" spans="1:5" x14ac:dyDescent="0.2">
      <c r="A1877">
        <v>2.0001333333333302E-2</v>
      </c>
      <c r="B1877">
        <v>0.28879303660726302</v>
      </c>
      <c r="C1877">
        <v>0.241091487256582</v>
      </c>
      <c r="D1877">
        <v>0.41731653357682402</v>
      </c>
      <c r="E1877">
        <v>0.37500980250996202</v>
      </c>
    </row>
    <row r="1878" spans="1:5" x14ac:dyDescent="0.2">
      <c r="A1878">
        <v>2.0028000000000001E-2</v>
      </c>
      <c r="B1878">
        <v>0.28892088719441</v>
      </c>
      <c r="C1878">
        <v>0.24121408284937301</v>
      </c>
      <c r="D1878">
        <v>0.41745353012952302</v>
      </c>
      <c r="E1878">
        <v>0.37520667686741099</v>
      </c>
    </row>
    <row r="1879" spans="1:5" x14ac:dyDescent="0.2">
      <c r="A1879">
        <v>2.00546666666667E-2</v>
      </c>
      <c r="B1879">
        <v>0.28904676007722202</v>
      </c>
      <c r="C1879">
        <v>0.24133625695941299</v>
      </c>
      <c r="D1879">
        <v>0.41759049858441499</v>
      </c>
      <c r="E1879">
        <v>0.37540504462423202</v>
      </c>
    </row>
    <row r="1880" spans="1:5" x14ac:dyDescent="0.2">
      <c r="A1880">
        <v>2.0081333333333298E-2</v>
      </c>
      <c r="B1880">
        <v>0.28917072010120398</v>
      </c>
      <c r="C1880">
        <v>0.24145800932915401</v>
      </c>
      <c r="D1880">
        <v>0.41772743892867398</v>
      </c>
      <c r="E1880">
        <v>0.375604793937801</v>
      </c>
    </row>
    <row r="1881" spans="1:5" x14ac:dyDescent="0.2">
      <c r="A1881">
        <v>2.0108000000000001E-2</v>
      </c>
      <c r="B1881">
        <v>0.28929283211186602</v>
      </c>
      <c r="C1881">
        <v>0.241579339701049</v>
      </c>
      <c r="D1881">
        <v>0.41786435114947501</v>
      </c>
      <c r="E1881">
        <v>0.37580581296549498</v>
      </c>
    </row>
    <row r="1882" spans="1:5" x14ac:dyDescent="0.2">
      <c r="A1882">
        <v>2.01346666666667E-2</v>
      </c>
      <c r="B1882">
        <v>0.28941316095471398</v>
      </c>
      <c r="C1882">
        <v>0.24170024781755101</v>
      </c>
      <c r="D1882">
        <v>0.41800123523399402</v>
      </c>
      <c r="E1882">
        <v>0.37600798986469097</v>
      </c>
    </row>
    <row r="1883" spans="1:5" x14ac:dyDescent="0.2">
      <c r="A1883">
        <v>2.0161333333333298E-2</v>
      </c>
      <c r="B1883">
        <v>0.28953177147525699</v>
      </c>
      <c r="C1883">
        <v>0.24182073342111299</v>
      </c>
      <c r="D1883">
        <v>0.41813809116940398</v>
      </c>
      <c r="E1883">
        <v>0.37621121279276398</v>
      </c>
    </row>
    <row r="1884" spans="1:5" x14ac:dyDescent="0.2">
      <c r="A1884">
        <v>2.0188000000000001E-2</v>
      </c>
      <c r="B1884">
        <v>0.28964872851900197</v>
      </c>
      <c r="C1884">
        <v>0.24194079625418899</v>
      </c>
      <c r="D1884">
        <v>0.41827491894288199</v>
      </c>
      <c r="E1884">
        <v>0.37641536990709301</v>
      </c>
    </row>
    <row r="1885" spans="1:5" x14ac:dyDescent="0.2">
      <c r="A1885">
        <v>2.02146666666667E-2</v>
      </c>
      <c r="B1885">
        <v>0.28976409693145599</v>
      </c>
      <c r="C1885">
        <v>0.24206043605923</v>
      </c>
      <c r="D1885">
        <v>0.41841171854160097</v>
      </c>
      <c r="E1885">
        <v>0.37662034936505201</v>
      </c>
    </row>
    <row r="1886" spans="1:5" x14ac:dyDescent="0.2">
      <c r="A1886">
        <v>2.0241333333333299E-2</v>
      </c>
      <c r="B1886">
        <v>0.28987794155812902</v>
      </c>
      <c r="C1886">
        <v>0.24217965257869001</v>
      </c>
      <c r="D1886">
        <v>0.41854848995273802</v>
      </c>
      <c r="E1886">
        <v>0.37682603932401998</v>
      </c>
    </row>
    <row r="1887" spans="1:5" x14ac:dyDescent="0.2">
      <c r="A1887">
        <v>2.0268000000000001E-2</v>
      </c>
      <c r="B1887">
        <v>0.289990327244526</v>
      </c>
      <c r="C1887">
        <v>0.242298445555023</v>
      </c>
      <c r="D1887">
        <v>0.41868523316346601</v>
      </c>
      <c r="E1887">
        <v>0.37703232794137298</v>
      </c>
    </row>
    <row r="1888" spans="1:5" x14ac:dyDescent="0.2">
      <c r="A1888">
        <v>2.02946666666667E-2</v>
      </c>
      <c r="B1888">
        <v>0.29010131883615697</v>
      </c>
      <c r="C1888">
        <v>0.24241681473068</v>
      </c>
      <c r="D1888">
        <v>0.41882194816096102</v>
      </c>
      <c r="E1888">
        <v>0.37723910337448602</v>
      </c>
    </row>
    <row r="1889" spans="1:5" x14ac:dyDescent="0.2">
      <c r="A1889">
        <v>2.0321333333333299E-2</v>
      </c>
      <c r="B1889">
        <v>0.290210981178529</v>
      </c>
      <c r="C1889">
        <v>0.24253475984811501</v>
      </c>
      <c r="D1889">
        <v>0.41895863493239799</v>
      </c>
      <c r="E1889">
        <v>0.37744625378073798</v>
      </c>
    </row>
    <row r="1890" spans="1:5" x14ac:dyDescent="0.2">
      <c r="A1890">
        <v>2.0348000000000002E-2</v>
      </c>
      <c r="B1890">
        <v>0.290319379117149</v>
      </c>
      <c r="C1890">
        <v>0.24265228064978001</v>
      </c>
      <c r="D1890">
        <v>0.419095293464951</v>
      </c>
      <c r="E1890">
        <v>0.37765366731750399</v>
      </c>
    </row>
    <row r="1891" spans="1:5" x14ac:dyDescent="0.2">
      <c r="A1891">
        <v>2.0374666666666701E-2</v>
      </c>
      <c r="B1891">
        <v>0.29042657749752498</v>
      </c>
      <c r="C1891">
        <v>0.242769376878129</v>
      </c>
      <c r="D1891">
        <v>0.41923192374579599</v>
      </c>
      <c r="E1891">
        <v>0.377861232142162</v>
      </c>
    </row>
    <row r="1892" spans="1:5" x14ac:dyDescent="0.2">
      <c r="A1892">
        <v>2.0401333333333299E-2</v>
      </c>
      <c r="B1892">
        <v>0.29053264116516597</v>
      </c>
      <c r="C1892">
        <v>0.242886048275615</v>
      </c>
      <c r="D1892">
        <v>0.41936852576210798</v>
      </c>
      <c r="E1892">
        <v>0.37806883641208799</v>
      </c>
    </row>
    <row r="1893" spans="1:5" x14ac:dyDescent="0.2">
      <c r="A1893">
        <v>2.0428000000000002E-2</v>
      </c>
      <c r="B1893">
        <v>0.29063763496557798</v>
      </c>
      <c r="C1893">
        <v>0.243002294584691</v>
      </c>
      <c r="D1893">
        <v>0.41950509950106102</v>
      </c>
      <c r="E1893">
        <v>0.37827636828465699</v>
      </c>
    </row>
    <row r="1894" spans="1:5" x14ac:dyDescent="0.2">
      <c r="A1894">
        <v>2.0454666666666701E-2</v>
      </c>
      <c r="B1894">
        <v>0.29074162374426998</v>
      </c>
      <c r="C1894">
        <v>0.24311811554780899</v>
      </c>
      <c r="D1894">
        <v>0.41964164494982997</v>
      </c>
      <c r="E1894">
        <v>0.378483715917249</v>
      </c>
    </row>
    <row r="1895" spans="1:5" x14ac:dyDescent="0.2">
      <c r="A1895">
        <v>2.0481333333333299E-2</v>
      </c>
      <c r="B1895">
        <v>0.29084467234674899</v>
      </c>
      <c r="C1895">
        <v>0.24323351090742201</v>
      </c>
      <c r="D1895">
        <v>0.41977816209558999</v>
      </c>
      <c r="E1895">
        <v>0.37869076746723701</v>
      </c>
    </row>
    <row r="1896" spans="1:5" x14ac:dyDescent="0.2">
      <c r="A1896">
        <v>2.0507999999999998E-2</v>
      </c>
      <c r="B1896">
        <v>0.29094684561852302</v>
      </c>
      <c r="C1896">
        <v>0.243348480405984</v>
      </c>
      <c r="D1896">
        <v>0.419914650925517</v>
      </c>
      <c r="E1896">
        <v>0.37889741109200098</v>
      </c>
    </row>
    <row r="1897" spans="1:5" x14ac:dyDescent="0.2">
      <c r="A1897">
        <v>2.0534666666666701E-2</v>
      </c>
      <c r="B1897">
        <v>0.29104820840509998</v>
      </c>
      <c r="C1897">
        <v>0.243463023785947</v>
      </c>
      <c r="D1897">
        <v>0.42005111142678497</v>
      </c>
      <c r="E1897">
        <v>0.37910353494891502</v>
      </c>
    </row>
    <row r="1898" spans="1:5" x14ac:dyDescent="0.2">
      <c r="A1898">
        <v>2.05613333333333E-2</v>
      </c>
      <c r="B1898">
        <v>0.29114882555198701</v>
      </c>
      <c r="C1898">
        <v>0.243577140789765</v>
      </c>
      <c r="D1898">
        <v>0.42018754358656801</v>
      </c>
      <c r="E1898">
        <v>0.37930902719535697</v>
      </c>
    </row>
    <row r="1899" spans="1:5" x14ac:dyDescent="0.2">
      <c r="A1899">
        <v>2.0587999999999999E-2</v>
      </c>
      <c r="B1899">
        <v>0.29124876190469301</v>
      </c>
      <c r="C1899">
        <v>0.24369083115988999</v>
      </c>
      <c r="D1899">
        <v>0.42032394739204298</v>
      </c>
      <c r="E1899">
        <v>0.37951377598870301</v>
      </c>
    </row>
    <row r="1900" spans="1:5" x14ac:dyDescent="0.2">
      <c r="A1900">
        <v>2.0614666666666701E-2</v>
      </c>
      <c r="B1900">
        <v>0.291348082308724</v>
      </c>
      <c r="C1900">
        <v>0.243804094638775</v>
      </c>
      <c r="D1900">
        <v>0.42046032283038398</v>
      </c>
      <c r="E1900">
        <v>0.37971766948633101</v>
      </c>
    </row>
    <row r="1901" spans="1:5" x14ac:dyDescent="0.2">
      <c r="A1901">
        <v>2.06413333333333E-2</v>
      </c>
      <c r="B1901">
        <v>0.291446851609589</v>
      </c>
      <c r="C1901">
        <v>0.24391693096887301</v>
      </c>
      <c r="D1901">
        <v>0.42059666988876498</v>
      </c>
      <c r="E1901">
        <v>0.37992059584561599</v>
      </c>
    </row>
    <row r="1902" spans="1:5" x14ac:dyDescent="0.2">
      <c r="A1902">
        <v>2.0667999999999999E-2</v>
      </c>
      <c r="B1902">
        <v>0.29154513465279502</v>
      </c>
      <c r="C1902">
        <v>0.244029339892638</v>
      </c>
      <c r="D1902">
        <v>0.42073298855436297</v>
      </c>
      <c r="E1902">
        <v>0.38012244322393501</v>
      </c>
    </row>
    <row r="1903" spans="1:5" x14ac:dyDescent="0.2">
      <c r="A1903">
        <v>2.0694666666666701E-2</v>
      </c>
      <c r="B1903">
        <v>0.29164299628385099</v>
      </c>
      <c r="C1903">
        <v>0.24414132115252099</v>
      </c>
      <c r="D1903">
        <v>0.42086927881435099</v>
      </c>
      <c r="E1903">
        <v>0.38032309977866502</v>
      </c>
    </row>
    <row r="1904" spans="1:5" x14ac:dyDescent="0.2">
      <c r="A1904">
        <v>2.07213333333333E-2</v>
      </c>
      <c r="B1904">
        <v>0.29174050134826301</v>
      </c>
      <c r="C1904">
        <v>0.24425287449097699</v>
      </c>
      <c r="D1904">
        <v>0.42100554065590501</v>
      </c>
      <c r="E1904">
        <v>0.38052245366718201</v>
      </c>
    </row>
    <row r="1905" spans="1:5" x14ac:dyDescent="0.2">
      <c r="A1905">
        <v>2.0747999999999999E-2</v>
      </c>
      <c r="B1905">
        <v>0.29183771469154002</v>
      </c>
      <c r="C1905">
        <v>0.24436399965045799</v>
      </c>
      <c r="D1905">
        <v>0.42114177406619902</v>
      </c>
      <c r="E1905">
        <v>0.380720393046864</v>
      </c>
    </row>
    <row r="1906" spans="1:5" x14ac:dyDescent="0.2">
      <c r="A1906">
        <v>2.0774666666666702E-2</v>
      </c>
      <c r="B1906">
        <v>0.29193470115918901</v>
      </c>
      <c r="C1906">
        <v>0.24447469637341601</v>
      </c>
      <c r="D1906">
        <v>0.42127797903240899</v>
      </c>
      <c r="E1906">
        <v>0.38091680607508699</v>
      </c>
    </row>
    <row r="1907" spans="1:5" x14ac:dyDescent="0.2">
      <c r="A1907">
        <v>2.08013333333333E-2</v>
      </c>
      <c r="B1907">
        <v>0.29203152559671902</v>
      </c>
      <c r="C1907">
        <v>0.24458496440230501</v>
      </c>
      <c r="D1907">
        <v>0.42141415554170902</v>
      </c>
      <c r="E1907">
        <v>0.38111158090922598</v>
      </c>
    </row>
    <row r="1908" spans="1:5" x14ac:dyDescent="0.2">
      <c r="A1908">
        <v>2.0827999999999999E-2</v>
      </c>
      <c r="B1908">
        <v>0.29212825284963601</v>
      </c>
      <c r="C1908">
        <v>0.244694803479579</v>
      </c>
      <c r="D1908">
        <v>0.42155030358127399</v>
      </c>
      <c r="E1908">
        <v>0.38130460570666003</v>
      </c>
    </row>
    <row r="1909" spans="1:5" x14ac:dyDescent="0.2">
      <c r="A1909">
        <v>2.0854666666666698E-2</v>
      </c>
      <c r="B1909">
        <v>0.29222494776344798</v>
      </c>
      <c r="C1909">
        <v>0.24480421334768901</v>
      </c>
      <c r="D1909">
        <v>0.42168642313827998</v>
      </c>
      <c r="E1909">
        <v>0.38149576862476497</v>
      </c>
    </row>
    <row r="1910" spans="1:5" x14ac:dyDescent="0.2">
      <c r="A1910">
        <v>2.08813333333333E-2</v>
      </c>
      <c r="B1910">
        <v>0.29232167518366398</v>
      </c>
      <c r="C1910">
        <v>0.24491319374908799</v>
      </c>
      <c r="D1910">
        <v>0.42182251419990102</v>
      </c>
      <c r="E1910">
        <v>0.38168495782091699</v>
      </c>
    </row>
    <row r="1911" spans="1:5" x14ac:dyDescent="0.2">
      <c r="A1911">
        <v>2.0908E-2</v>
      </c>
      <c r="B1911">
        <v>0.292418499955791</v>
      </c>
      <c r="C1911">
        <v>0.24502174442623101</v>
      </c>
      <c r="D1911">
        <v>0.421958576753312</v>
      </c>
      <c r="E1911">
        <v>0.38187206145249297</v>
      </c>
    </row>
    <row r="1912" spans="1:5" x14ac:dyDescent="0.2">
      <c r="A1912">
        <v>2.0934666666666699E-2</v>
      </c>
      <c r="B1912">
        <v>0.29251548692533702</v>
      </c>
      <c r="C1912">
        <v>0.24512986512156901</v>
      </c>
      <c r="D1912">
        <v>0.422094610785689</v>
      </c>
      <c r="E1912">
        <v>0.38205696767686997</v>
      </c>
    </row>
    <row r="1913" spans="1:5" x14ac:dyDescent="0.2">
      <c r="A1913">
        <v>2.0961333333333301E-2</v>
      </c>
      <c r="B1913">
        <v>0.292612700937809</v>
      </c>
      <c r="C1913">
        <v>0.245237555577555</v>
      </c>
      <c r="D1913">
        <v>0.422230616284205</v>
      </c>
      <c r="E1913">
        <v>0.382239564651423</v>
      </c>
    </row>
    <row r="1914" spans="1:5" x14ac:dyDescent="0.2">
      <c r="A1914">
        <v>2.0988E-2</v>
      </c>
      <c r="B1914">
        <v>0.29271020683871601</v>
      </c>
      <c r="C1914">
        <v>0.245344815536644</v>
      </c>
      <c r="D1914">
        <v>0.42236659323603598</v>
      </c>
      <c r="E1914">
        <v>0.38241974053353101</v>
      </c>
    </row>
    <row r="1915" spans="1:5" x14ac:dyDescent="0.2">
      <c r="A1915">
        <v>2.1014666666666699E-2</v>
      </c>
      <c r="B1915">
        <v>0.29280806748291499</v>
      </c>
      <c r="C1915">
        <v>0.24545164515245599</v>
      </c>
      <c r="D1915">
        <v>0.42250254162835699</v>
      </c>
      <c r="E1915">
        <v>0.38259738863172599</v>
      </c>
    </row>
    <row r="1916" spans="1:5" x14ac:dyDescent="0.2">
      <c r="A1916">
        <v>2.1041333333333301E-2</v>
      </c>
      <c r="B1916">
        <v>0.29290630913232901</v>
      </c>
      <c r="C1916">
        <v>0.24555805213691601</v>
      </c>
      <c r="D1916">
        <v>0.42263846144834299</v>
      </c>
      <c r="E1916">
        <v>0.382772496945258</v>
      </c>
    </row>
    <row r="1917" spans="1:5" x14ac:dyDescent="0.2">
      <c r="A1917">
        <v>2.1068E-2</v>
      </c>
      <c r="B1917">
        <v>0.29300492593377903</v>
      </c>
      <c r="C1917">
        <v>0.24566405083534601</v>
      </c>
      <c r="D1917">
        <v>0.42277435268316899</v>
      </c>
      <c r="E1917">
        <v>0.38294513657689699</v>
      </c>
    </row>
    <row r="1918" spans="1:5" x14ac:dyDescent="0.2">
      <c r="A1918">
        <v>2.1094666666666699E-2</v>
      </c>
      <c r="B1918">
        <v>0.29310391094379101</v>
      </c>
      <c r="C1918">
        <v>0.24576965581826701</v>
      </c>
      <c r="D1918">
        <v>0.422910215320009</v>
      </c>
      <c r="E1918">
        <v>0.38311538145074397</v>
      </c>
    </row>
    <row r="1919" spans="1:5" x14ac:dyDescent="0.2">
      <c r="A1919">
        <v>2.1121333333333301E-2</v>
      </c>
      <c r="B1919">
        <v>0.29320325721888901</v>
      </c>
      <c r="C1919">
        <v>0.245874881656204</v>
      </c>
      <c r="D1919">
        <v>0.42304604934603901</v>
      </c>
      <c r="E1919">
        <v>0.38328330549090001</v>
      </c>
    </row>
    <row r="1920" spans="1:5" x14ac:dyDescent="0.2">
      <c r="A1920">
        <v>2.1148E-2</v>
      </c>
      <c r="B1920">
        <v>0.29330295781560201</v>
      </c>
      <c r="C1920">
        <v>0.24597974291968</v>
      </c>
      <c r="D1920">
        <v>0.42318185474843401</v>
      </c>
      <c r="E1920">
        <v>0.38344898262146498</v>
      </c>
    </row>
    <row r="1921" spans="1:5" x14ac:dyDescent="0.2">
      <c r="A1921">
        <v>2.1174666666666699E-2</v>
      </c>
      <c r="B1921">
        <v>0.29340300579045298</v>
      </c>
      <c r="C1921">
        <v>0.246084254179217</v>
      </c>
      <c r="D1921">
        <v>0.42331763151436702</v>
      </c>
      <c r="E1921">
        <v>0.38361248676654203</v>
      </c>
    </row>
    <row r="1922" spans="1:5" x14ac:dyDescent="0.2">
      <c r="A1922">
        <v>2.1201333333333301E-2</v>
      </c>
      <c r="B1922">
        <v>0.29350339419997001</v>
      </c>
      <c r="C1922">
        <v>0.24618843000533899</v>
      </c>
      <c r="D1922">
        <v>0.42345337963101598</v>
      </c>
      <c r="E1922">
        <v>0.38377389185023097</v>
      </c>
    </row>
    <row r="1923" spans="1:5" x14ac:dyDescent="0.2">
      <c r="A1923">
        <v>2.1228E-2</v>
      </c>
      <c r="B1923">
        <v>0.29360411610067799</v>
      </c>
      <c r="C1923">
        <v>0.246292284968569</v>
      </c>
      <c r="D1923">
        <v>0.42358909908555298</v>
      </c>
      <c r="E1923">
        <v>0.383933271796632</v>
      </c>
    </row>
    <row r="1924" spans="1:5" x14ac:dyDescent="0.2">
      <c r="A1924">
        <v>2.1254666666666699E-2</v>
      </c>
      <c r="B1924">
        <v>0.293705164549103</v>
      </c>
      <c r="C1924">
        <v>0.24639583363942999</v>
      </c>
      <c r="D1924">
        <v>0.42372478986515499</v>
      </c>
      <c r="E1924">
        <v>0.38409070052984901</v>
      </c>
    </row>
    <row r="1925" spans="1:5" x14ac:dyDescent="0.2">
      <c r="A1925">
        <v>2.1281333333333301E-2</v>
      </c>
      <c r="B1925">
        <v>0.29380653260177197</v>
      </c>
      <c r="C1925">
        <v>0.24649909058844599</v>
      </c>
      <c r="D1925">
        <v>0.42386045195699601</v>
      </c>
      <c r="E1925">
        <v>0.38424625197397999</v>
      </c>
    </row>
    <row r="1926" spans="1:5" x14ac:dyDescent="0.2">
      <c r="A1926">
        <v>2.1308000000000001E-2</v>
      </c>
      <c r="B1926">
        <v>0.293908213315209</v>
      </c>
      <c r="C1926">
        <v>0.24660207038613899</v>
      </c>
      <c r="D1926">
        <v>0.42399608534825101</v>
      </c>
      <c r="E1926">
        <v>0.38440000005312802</v>
      </c>
    </row>
    <row r="1927" spans="1:5" x14ac:dyDescent="0.2">
      <c r="A1927">
        <v>2.13346666666667E-2</v>
      </c>
      <c r="B1927">
        <v>0.294010199745941</v>
      </c>
      <c r="C1927">
        <v>0.24670478760303199</v>
      </c>
      <c r="D1927">
        <v>0.42413169002609502</v>
      </c>
      <c r="E1927">
        <v>0.38455201869139299</v>
      </c>
    </row>
    <row r="1928" spans="1:5" x14ac:dyDescent="0.2">
      <c r="A1928">
        <v>2.1361333333333302E-2</v>
      </c>
      <c r="B1928">
        <v>0.29411248495049402</v>
      </c>
      <c r="C1928">
        <v>0.24680725680964999</v>
      </c>
      <c r="D1928">
        <v>0.42426726597770298</v>
      </c>
      <c r="E1928">
        <v>0.38470238181287703</v>
      </c>
    </row>
    <row r="1929" spans="1:5" x14ac:dyDescent="0.2">
      <c r="A1929">
        <v>2.1388000000000001E-2</v>
      </c>
      <c r="B1929">
        <v>0.29421506198539399</v>
      </c>
      <c r="C1929">
        <v>0.24690949257651401</v>
      </c>
      <c r="D1929">
        <v>0.42440281319024997</v>
      </c>
      <c r="E1929">
        <v>0.38485116334168001</v>
      </c>
    </row>
    <row r="1930" spans="1:5" x14ac:dyDescent="0.2">
      <c r="A1930">
        <v>2.14146666666667E-2</v>
      </c>
      <c r="B1930">
        <v>0.29431792390716599</v>
      </c>
      <c r="C1930">
        <v>0.24701150947414799</v>
      </c>
      <c r="D1930">
        <v>0.42453833165091098</v>
      </c>
      <c r="E1930">
        <v>0.38499843720190502</v>
      </c>
    </row>
    <row r="1931" spans="1:5" x14ac:dyDescent="0.2">
      <c r="A1931">
        <v>2.1441333333333298E-2</v>
      </c>
      <c r="B1931">
        <v>0.29442106377233801</v>
      </c>
      <c r="C1931">
        <v>0.24711332207307499</v>
      </c>
      <c r="D1931">
        <v>0.42467382134686099</v>
      </c>
      <c r="E1931">
        <v>0.385144277317651</v>
      </c>
    </row>
    <row r="1932" spans="1:5" x14ac:dyDescent="0.2">
      <c r="A1932">
        <v>2.1468000000000001E-2</v>
      </c>
      <c r="B1932">
        <v>0.29452447463743298</v>
      </c>
      <c r="C1932">
        <v>0.24721494494381799</v>
      </c>
      <c r="D1932">
        <v>0.42480928226527398</v>
      </c>
      <c r="E1932">
        <v>0.38528875761302001</v>
      </c>
    </row>
    <row r="1933" spans="1:5" x14ac:dyDescent="0.2">
      <c r="A1933">
        <v>2.14946666666667E-2</v>
      </c>
      <c r="B1933">
        <v>0.29462814955897998</v>
      </c>
      <c r="C1933">
        <v>0.247316392656901</v>
      </c>
      <c r="D1933">
        <v>0.42494471439332598</v>
      </c>
      <c r="E1933">
        <v>0.385431952012113</v>
      </c>
    </row>
    <row r="1934" spans="1:5" x14ac:dyDescent="0.2">
      <c r="A1934">
        <v>2.1521333333333299E-2</v>
      </c>
      <c r="B1934">
        <v>0.294732081593502</v>
      </c>
      <c r="C1934">
        <v>0.24741767978284601</v>
      </c>
      <c r="D1934">
        <v>0.42508011771819099</v>
      </c>
      <c r="E1934">
        <v>0.38557393443903099</v>
      </c>
    </row>
    <row r="1935" spans="1:5" x14ac:dyDescent="0.2">
      <c r="A1935">
        <v>2.1548000000000001E-2</v>
      </c>
      <c r="B1935">
        <v>0.29483626379752698</v>
      </c>
      <c r="C1935">
        <v>0.247518820892177</v>
      </c>
      <c r="D1935">
        <v>0.42521549222704502</v>
      </c>
      <c r="E1935">
        <v>0.38571477881787503</v>
      </c>
    </row>
    <row r="1936" spans="1:5" x14ac:dyDescent="0.2">
      <c r="A1936">
        <v>2.15746666666667E-2</v>
      </c>
      <c r="B1936">
        <v>0.29494068922758099</v>
      </c>
      <c r="C1936">
        <v>0.247619830555417</v>
      </c>
      <c r="D1936">
        <v>0.42535083790706202</v>
      </c>
      <c r="E1936">
        <v>0.38585455907274602</v>
      </c>
    </row>
    <row r="1937" spans="1:5" x14ac:dyDescent="0.2">
      <c r="A1937">
        <v>2.1601333333333299E-2</v>
      </c>
      <c r="B1937">
        <v>0.29504535094018802</v>
      </c>
      <c r="C1937">
        <v>0.24772072334308901</v>
      </c>
      <c r="D1937">
        <v>0.42548615474541801</v>
      </c>
      <c r="E1937">
        <v>0.38599334912774602</v>
      </c>
    </row>
    <row r="1938" spans="1:5" x14ac:dyDescent="0.2">
      <c r="A1938">
        <v>2.1628000000000001E-2</v>
      </c>
      <c r="B1938">
        <v>0.29515024199187601</v>
      </c>
      <c r="C1938">
        <v>0.24782151382571599</v>
      </c>
      <c r="D1938">
        <v>0.42562144272928598</v>
      </c>
      <c r="E1938">
        <v>0.38613122290697499</v>
      </c>
    </row>
    <row r="1939" spans="1:5" x14ac:dyDescent="0.2">
      <c r="A1939">
        <v>2.1654666666666701E-2</v>
      </c>
      <c r="B1939">
        <v>0.29525535543916998</v>
      </c>
      <c r="C1939">
        <v>0.24792221657382099</v>
      </c>
      <c r="D1939">
        <v>0.42575670184584402</v>
      </c>
      <c r="E1939">
        <v>0.38626825433453399</v>
      </c>
    </row>
    <row r="1940" spans="1:5" x14ac:dyDescent="0.2">
      <c r="A1940">
        <v>2.1681333333333299E-2</v>
      </c>
      <c r="B1940">
        <v>0.29536068433859602</v>
      </c>
      <c r="C1940">
        <v>0.248022846157927</v>
      </c>
      <c r="D1940">
        <v>0.425891932082264</v>
      </c>
      <c r="E1940">
        <v>0.38640451733452502</v>
      </c>
    </row>
    <row r="1941" spans="1:5" x14ac:dyDescent="0.2">
      <c r="A1941">
        <v>2.1708000000000002E-2</v>
      </c>
      <c r="B1941">
        <v>0.29546622174668002</v>
      </c>
      <c r="C1941">
        <v>0.24812341714855801</v>
      </c>
      <c r="D1941">
        <v>0.42602713342572202</v>
      </c>
      <c r="E1941">
        <v>0.38654008583104899</v>
      </c>
    </row>
    <row r="1942" spans="1:5" x14ac:dyDescent="0.2">
      <c r="A1942">
        <v>2.1734666666666701E-2</v>
      </c>
      <c r="B1942">
        <v>0.29557196071994701</v>
      </c>
      <c r="C1942">
        <v>0.24822394411623699</v>
      </c>
      <c r="D1942">
        <v>0.42616230586339299</v>
      </c>
      <c r="E1942">
        <v>0.386675033748206</v>
      </c>
    </row>
    <row r="1943" spans="1:5" x14ac:dyDescent="0.2">
      <c r="A1943">
        <v>2.1761333333333299E-2</v>
      </c>
      <c r="B1943">
        <v>0.29567789431492503</v>
      </c>
      <c r="C1943">
        <v>0.24832444163148601</v>
      </c>
      <c r="D1943">
        <v>0.42629744938245201</v>
      </c>
      <c r="E1943">
        <v>0.38680943501009801</v>
      </c>
    </row>
    <row r="1944" spans="1:5" x14ac:dyDescent="0.2">
      <c r="A1944">
        <v>2.1787999999999998E-2</v>
      </c>
      <c r="B1944">
        <v>0.29578401558813799</v>
      </c>
      <c r="C1944">
        <v>0.24842492426482901</v>
      </c>
      <c r="D1944">
        <v>0.42643256397007401</v>
      </c>
      <c r="E1944">
        <v>0.38694336354082598</v>
      </c>
    </row>
    <row r="1945" spans="1:5" x14ac:dyDescent="0.2">
      <c r="A1945">
        <v>2.1814666666666701E-2</v>
      </c>
      <c r="B1945">
        <v>0.29589031759611301</v>
      </c>
      <c r="C1945">
        <v>0.24852540658679001</v>
      </c>
      <c r="D1945">
        <v>0.42656764961343402</v>
      </c>
      <c r="E1945">
        <v>0.38707689326449102</v>
      </c>
    </row>
    <row r="1946" spans="1:5" x14ac:dyDescent="0.2">
      <c r="A1946">
        <v>2.1841333333333299E-2</v>
      </c>
      <c r="B1946">
        <v>0.29599679339537499</v>
      </c>
      <c r="C1946">
        <v>0.24862590316788999</v>
      </c>
      <c r="D1946">
        <v>0.42670270629970602</v>
      </c>
      <c r="E1946">
        <v>0.38721009810519402</v>
      </c>
    </row>
    <row r="1947" spans="1:5" x14ac:dyDescent="0.2">
      <c r="A1947">
        <v>2.1867999999999999E-2</v>
      </c>
      <c r="B1947">
        <v>0.29610343604245098</v>
      </c>
      <c r="C1947">
        <v>0.24872642857865401</v>
      </c>
      <c r="D1947">
        <v>0.42683773401606601</v>
      </c>
      <c r="E1947">
        <v>0.387343051987036</v>
      </c>
    </row>
    <row r="1948" spans="1:5" x14ac:dyDescent="0.2">
      <c r="A1948">
        <v>2.1894666666666701E-2</v>
      </c>
      <c r="B1948">
        <v>0.29621023859386703</v>
      </c>
      <c r="C1948">
        <v>0.24882699738960401</v>
      </c>
      <c r="D1948">
        <v>0.426972732749689</v>
      </c>
      <c r="E1948">
        <v>0.38747582883411802</v>
      </c>
    </row>
    <row r="1949" spans="1:5" x14ac:dyDescent="0.2">
      <c r="A1949">
        <v>2.19213333333333E-2</v>
      </c>
      <c r="B1949">
        <v>0.29631719410614799</v>
      </c>
      <c r="C1949">
        <v>0.24892762417126399</v>
      </c>
      <c r="D1949">
        <v>0.42710770248774899</v>
      </c>
      <c r="E1949">
        <v>0.38760850257054102</v>
      </c>
    </row>
    <row r="1950" spans="1:5" x14ac:dyDescent="0.2">
      <c r="A1950">
        <v>2.1947999999999999E-2</v>
      </c>
      <c r="B1950">
        <v>0.29642429563582001</v>
      </c>
      <c r="C1950">
        <v>0.24902832349415699</v>
      </c>
      <c r="D1950">
        <v>0.427242643217422</v>
      </c>
      <c r="E1950">
        <v>0.38774114712040703</v>
      </c>
    </row>
    <row r="1951" spans="1:5" x14ac:dyDescent="0.2">
      <c r="A1951">
        <v>2.1974666666666701E-2</v>
      </c>
      <c r="B1951">
        <v>0.29653153623940898</v>
      </c>
      <c r="C1951">
        <v>0.24912910992880499</v>
      </c>
      <c r="D1951">
        <v>0.42737755492588198</v>
      </c>
      <c r="E1951">
        <v>0.38787383640781598</v>
      </c>
    </row>
    <row r="1952" spans="1:5" x14ac:dyDescent="0.2">
      <c r="A1952">
        <v>2.20013333333333E-2</v>
      </c>
      <c r="B1952">
        <v>0.29663890897344197</v>
      </c>
      <c r="C1952">
        <v>0.24922999804534801</v>
      </c>
      <c r="D1952">
        <v>0.427512437600304</v>
      </c>
      <c r="E1952">
        <v>0.38800664435530902</v>
      </c>
    </row>
    <row r="1953" spans="1:5" x14ac:dyDescent="0.2">
      <c r="A1953">
        <v>2.2027999999999999E-2</v>
      </c>
      <c r="B1953">
        <v>0.29674640689444398</v>
      </c>
      <c r="C1953">
        <v>0.24933099884920601</v>
      </c>
      <c r="D1953">
        <v>0.42764729122786299</v>
      </c>
      <c r="E1953">
        <v>0.38813963043776201</v>
      </c>
    </row>
    <row r="1954" spans="1:5" x14ac:dyDescent="0.2">
      <c r="A1954">
        <v>2.2054666666666702E-2</v>
      </c>
      <c r="B1954">
        <v>0.29685402305893999</v>
      </c>
      <c r="C1954">
        <v>0.24943211106819199</v>
      </c>
      <c r="D1954">
        <v>0.427782115795735</v>
      </c>
      <c r="E1954">
        <v>0.38827280436933997</v>
      </c>
    </row>
    <row r="1955" spans="1:5" x14ac:dyDescent="0.2">
      <c r="A1955">
        <v>2.20813333333333E-2</v>
      </c>
      <c r="B1955">
        <v>0.29696175052345802</v>
      </c>
      <c r="C1955">
        <v>0.249533330788831</v>
      </c>
      <c r="D1955">
        <v>0.42791691129109299</v>
      </c>
      <c r="E1955">
        <v>0.38840616515917398</v>
      </c>
    </row>
    <row r="1956" spans="1:5" x14ac:dyDescent="0.2">
      <c r="A1956">
        <v>2.2107999999999999E-2</v>
      </c>
      <c r="B1956">
        <v>0.29706958234452302</v>
      </c>
      <c r="C1956">
        <v>0.24963465409764701</v>
      </c>
      <c r="D1956">
        <v>0.42805167770111402</v>
      </c>
      <c r="E1956">
        <v>0.38853971181639102</v>
      </c>
    </row>
    <row r="1957" spans="1:5" x14ac:dyDescent="0.2">
      <c r="A1957">
        <v>2.2134666666666698E-2</v>
      </c>
      <c r="B1957">
        <v>0.29717751157866001</v>
      </c>
      <c r="C1957">
        <v>0.24973607708116699</v>
      </c>
      <c r="D1957">
        <v>0.428186415012971</v>
      </c>
      <c r="E1957">
        <v>0.38867344335012</v>
      </c>
    </row>
    <row r="1958" spans="1:5" x14ac:dyDescent="0.2">
      <c r="A1958">
        <v>2.21613333333333E-2</v>
      </c>
      <c r="B1958">
        <v>0.29728553128239599</v>
      </c>
      <c r="C1958">
        <v>0.249837595825915</v>
      </c>
      <c r="D1958">
        <v>0.42832112321384103</v>
      </c>
      <c r="E1958">
        <v>0.38880735876949202</v>
      </c>
    </row>
    <row r="1959" spans="1:5" x14ac:dyDescent="0.2">
      <c r="A1959">
        <v>2.2187999999999999E-2</v>
      </c>
      <c r="B1959">
        <v>0.29739363451225698</v>
      </c>
      <c r="C1959">
        <v>0.24993920641841599</v>
      </c>
      <c r="D1959">
        <v>0.42845580229089703</v>
      </c>
      <c r="E1959">
        <v>0.38894145708363298</v>
      </c>
    </row>
    <row r="1960" spans="1:5" x14ac:dyDescent="0.2">
      <c r="A1960">
        <v>2.2214666666666699E-2</v>
      </c>
      <c r="B1960">
        <v>0.29750181432476902</v>
      </c>
      <c r="C1960">
        <v>0.25004090494519599</v>
      </c>
      <c r="D1960">
        <v>0.42859045223131498</v>
      </c>
      <c r="E1960">
        <v>0.389075737301674</v>
      </c>
    </row>
    <row r="1961" spans="1:5" x14ac:dyDescent="0.2">
      <c r="A1961">
        <v>2.22413333333333E-2</v>
      </c>
      <c r="B1961">
        <v>0.29761006377645699</v>
      </c>
      <c r="C1961">
        <v>0.25014268749278001</v>
      </c>
      <c r="D1961">
        <v>0.42872507302226998</v>
      </c>
      <c r="E1961">
        <v>0.38921019843274401</v>
      </c>
    </row>
    <row r="1962" spans="1:5" x14ac:dyDescent="0.2">
      <c r="A1962">
        <v>2.2268E-2</v>
      </c>
      <c r="B1962">
        <v>0.29771837592384798</v>
      </c>
      <c r="C1962">
        <v>0.25024455014769198</v>
      </c>
      <c r="D1962">
        <v>0.428859664650936</v>
      </c>
      <c r="E1962">
        <v>0.38934483948596998</v>
      </c>
    </row>
    <row r="1963" spans="1:5" x14ac:dyDescent="0.2">
      <c r="A1963">
        <v>2.2294666666666699E-2</v>
      </c>
      <c r="B1963">
        <v>0.29782674382346702</v>
      </c>
      <c r="C1963">
        <v>0.25034648899646</v>
      </c>
      <c r="D1963">
        <v>0.42899422710448898</v>
      </c>
      <c r="E1963">
        <v>0.38947965947048302</v>
      </c>
    </row>
    <row r="1964" spans="1:5" x14ac:dyDescent="0.2">
      <c r="A1964">
        <v>2.2321333333333301E-2</v>
      </c>
      <c r="B1964">
        <v>0.29793516053183999</v>
      </c>
      <c r="C1964">
        <v>0.25044850012560599</v>
      </c>
      <c r="D1964">
        <v>0.429128760370103</v>
      </c>
      <c r="E1964">
        <v>0.38961465739541101</v>
      </c>
    </row>
    <row r="1965" spans="1:5" x14ac:dyDescent="0.2">
      <c r="A1965">
        <v>2.2348E-2</v>
      </c>
      <c r="B1965">
        <v>0.29804361910549398</v>
      </c>
      <c r="C1965">
        <v>0.250550579621657</v>
      </c>
      <c r="D1965">
        <v>0.429263264434953</v>
      </c>
      <c r="E1965">
        <v>0.38974983226988202</v>
      </c>
    </row>
    <row r="1966" spans="1:5" x14ac:dyDescent="0.2">
      <c r="A1966">
        <v>2.2374666666666699E-2</v>
      </c>
      <c r="B1966">
        <v>0.29815211260095398</v>
      </c>
      <c r="C1966">
        <v>0.25065272357113799</v>
      </c>
      <c r="D1966">
        <v>0.429397739286215</v>
      </c>
      <c r="E1966">
        <v>0.389885183103027</v>
      </c>
    </row>
    <row r="1967" spans="1:5" x14ac:dyDescent="0.2">
      <c r="A1967">
        <v>2.2401333333333301E-2</v>
      </c>
      <c r="B1967">
        <v>0.29826063407474601</v>
      </c>
      <c r="C1967">
        <v>0.25075492806057498</v>
      </c>
      <c r="D1967">
        <v>0.42953218491106299</v>
      </c>
      <c r="E1967">
        <v>0.390020708903973</v>
      </c>
    </row>
    <row r="1968" spans="1:5" x14ac:dyDescent="0.2">
      <c r="A1968">
        <v>2.2428E-2</v>
      </c>
      <c r="B1968">
        <v>0.29836917658339601</v>
      </c>
      <c r="C1968">
        <v>0.25085718917649102</v>
      </c>
      <c r="D1968">
        <v>0.429666601296672</v>
      </c>
      <c r="E1968">
        <v>0.39015640868184998</v>
      </c>
    </row>
    <row r="1969" spans="1:5" x14ac:dyDescent="0.2">
      <c r="A1969">
        <v>2.2454666666666699E-2</v>
      </c>
      <c r="B1969">
        <v>0.29847773318343002</v>
      </c>
      <c r="C1969">
        <v>0.25095950300541298</v>
      </c>
      <c r="D1969">
        <v>0.42980098843021802</v>
      </c>
      <c r="E1969">
        <v>0.39029228144578698</v>
      </c>
    </row>
    <row r="1970" spans="1:5" x14ac:dyDescent="0.2">
      <c r="A1970">
        <v>2.2481333333333301E-2</v>
      </c>
      <c r="B1970">
        <v>0.29858629693137401</v>
      </c>
      <c r="C1970">
        <v>0.25106186563386601</v>
      </c>
      <c r="D1970">
        <v>0.42993534629887398</v>
      </c>
      <c r="E1970">
        <v>0.39042832620491202</v>
      </c>
    </row>
    <row r="1971" spans="1:5" x14ac:dyDescent="0.2">
      <c r="A1971">
        <v>2.2508E-2</v>
      </c>
      <c r="B1971">
        <v>0.29869486088375402</v>
      </c>
      <c r="C1971">
        <v>0.25116427314837397</v>
      </c>
      <c r="D1971">
        <v>0.43006967488981601</v>
      </c>
      <c r="E1971">
        <v>0.39056454196835499</v>
      </c>
    </row>
    <row r="1972" spans="1:5" x14ac:dyDescent="0.2">
      <c r="A1972">
        <v>2.2534666666666699E-2</v>
      </c>
      <c r="B1972">
        <v>0.29880341809709499</v>
      </c>
      <c r="C1972">
        <v>0.25126672163546299</v>
      </c>
      <c r="D1972">
        <v>0.430203974190219</v>
      </c>
      <c r="E1972">
        <v>0.39070092774524401</v>
      </c>
    </row>
    <row r="1973" spans="1:5" x14ac:dyDescent="0.2">
      <c r="A1973">
        <v>2.2561333333333301E-2</v>
      </c>
      <c r="B1973">
        <v>0.29891196162792499</v>
      </c>
      <c r="C1973">
        <v>0.251369207181659</v>
      </c>
      <c r="D1973">
        <v>0.43033824418725802</v>
      </c>
      <c r="E1973">
        <v>0.39083748254470801</v>
      </c>
    </row>
    <row r="1974" spans="1:5" x14ac:dyDescent="0.2">
      <c r="A1974">
        <v>2.2588E-2</v>
      </c>
      <c r="B1974">
        <v>0.29902048453276803</v>
      </c>
      <c r="C1974">
        <v>0.25147172587348599</v>
      </c>
      <c r="D1974">
        <v>0.43047248486810802</v>
      </c>
      <c r="E1974">
        <v>0.39097420537587702</v>
      </c>
    </row>
    <row r="1975" spans="1:5" x14ac:dyDescent="0.2">
      <c r="A1975">
        <v>2.26146666666667E-2</v>
      </c>
      <c r="B1975">
        <v>0.29912897986815101</v>
      </c>
      <c r="C1975">
        <v>0.25157427379746999</v>
      </c>
      <c r="D1975">
        <v>0.43060669621994402</v>
      </c>
      <c r="E1975">
        <v>0.39111109524787901</v>
      </c>
    </row>
    <row r="1976" spans="1:5" x14ac:dyDescent="0.2">
      <c r="A1976">
        <v>2.2641333333333302E-2</v>
      </c>
      <c r="B1976">
        <v>0.29923744069059899</v>
      </c>
      <c r="C1976">
        <v>0.25167684704013599</v>
      </c>
      <c r="D1976">
        <v>0.43074087822994001</v>
      </c>
      <c r="E1976">
        <v>0.39124815116984202</v>
      </c>
    </row>
    <row r="1977" spans="1:5" x14ac:dyDescent="0.2">
      <c r="A1977">
        <v>2.2668000000000001E-2</v>
      </c>
      <c r="B1977">
        <v>0.29934586005663799</v>
      </c>
      <c r="C1977">
        <v>0.25177944168800898</v>
      </c>
      <c r="D1977">
        <v>0.43087503088527102</v>
      </c>
      <c r="E1977">
        <v>0.39138537215089703</v>
      </c>
    </row>
    <row r="1978" spans="1:5" x14ac:dyDescent="0.2">
      <c r="A1978">
        <v>2.26946666666667E-2</v>
      </c>
      <c r="B1978">
        <v>0.299454231022795</v>
      </c>
      <c r="C1978">
        <v>0.25188205382761403</v>
      </c>
      <c r="D1978">
        <v>0.43100915417311297</v>
      </c>
      <c r="E1978">
        <v>0.39152275720017099</v>
      </c>
    </row>
    <row r="1979" spans="1:5" x14ac:dyDescent="0.2">
      <c r="A1979">
        <v>2.2721333333333298E-2</v>
      </c>
      <c r="B1979">
        <v>0.29956254664559501</v>
      </c>
      <c r="C1979">
        <v>0.25198467954547599</v>
      </c>
      <c r="D1979">
        <v>0.43114324808064097</v>
      </c>
      <c r="E1979">
        <v>0.39166030532679502</v>
      </c>
    </row>
    <row r="1980" spans="1:5" x14ac:dyDescent="0.2">
      <c r="A1980">
        <v>2.2748000000000001E-2</v>
      </c>
      <c r="B1980">
        <v>0.29967079998156498</v>
      </c>
      <c r="C1980">
        <v>0.25208731492812197</v>
      </c>
      <c r="D1980">
        <v>0.431277312595028</v>
      </c>
      <c r="E1980">
        <v>0.39179801553989602</v>
      </c>
    </row>
    <row r="1981" spans="1:5" x14ac:dyDescent="0.2">
      <c r="A1981">
        <v>2.27746666666667E-2</v>
      </c>
      <c r="B1981">
        <v>0.29977898408723003</v>
      </c>
      <c r="C1981">
        <v>0.252189956062075</v>
      </c>
      <c r="D1981">
        <v>0.43141134770345102</v>
      </c>
      <c r="E1981">
        <v>0.39193588684860298</v>
      </c>
    </row>
    <row r="1982" spans="1:5" x14ac:dyDescent="0.2">
      <c r="A1982">
        <v>2.2801333333333298E-2</v>
      </c>
      <c r="B1982">
        <v>0.29988709201911501</v>
      </c>
      <c r="C1982">
        <v>0.25229259903386098</v>
      </c>
      <c r="D1982">
        <v>0.43154535339308497</v>
      </c>
      <c r="E1982">
        <v>0.39207391826204602</v>
      </c>
    </row>
    <row r="1983" spans="1:5" x14ac:dyDescent="0.2">
      <c r="A1983">
        <v>2.2828000000000001E-2</v>
      </c>
      <c r="B1983">
        <v>0.29999511683374802</v>
      </c>
      <c r="C1983">
        <v>0.25239523993000501</v>
      </c>
      <c r="D1983">
        <v>0.43167932965110301</v>
      </c>
      <c r="E1983">
        <v>0.39221210878935397</v>
      </c>
    </row>
    <row r="1984" spans="1:5" x14ac:dyDescent="0.2">
      <c r="A1984">
        <v>2.28546666666667E-2</v>
      </c>
      <c r="B1984">
        <v>0.30010305158765399</v>
      </c>
      <c r="C1984">
        <v>0.25249787483703301</v>
      </c>
      <c r="D1984">
        <v>0.43181327646468098</v>
      </c>
      <c r="E1984">
        <v>0.39235045743965502</v>
      </c>
    </row>
    <row r="1985" spans="1:5" x14ac:dyDescent="0.2">
      <c r="A1985">
        <v>2.2881333333333299E-2</v>
      </c>
      <c r="B1985">
        <v>0.30021088933735801</v>
      </c>
      <c r="C1985">
        <v>0.25260049984146998</v>
      </c>
      <c r="D1985">
        <v>0.431947193820995</v>
      </c>
      <c r="E1985">
        <v>0.39248896322207799</v>
      </c>
    </row>
    <row r="1986" spans="1:5" x14ac:dyDescent="0.2">
      <c r="A1986">
        <v>2.2908000000000001E-2</v>
      </c>
      <c r="B1986">
        <v>0.30031862313938801</v>
      </c>
      <c r="C1986">
        <v>0.25270311102984</v>
      </c>
      <c r="D1986">
        <v>0.43208108170721798</v>
      </c>
      <c r="E1986">
        <v>0.392627625145752</v>
      </c>
    </row>
    <row r="1987" spans="1:5" x14ac:dyDescent="0.2">
      <c r="A1987">
        <v>2.29346666666667E-2</v>
      </c>
      <c r="B1987">
        <v>0.30042624605026802</v>
      </c>
      <c r="C1987">
        <v>0.25280570448866901</v>
      </c>
      <c r="D1987">
        <v>0.43221494011052602</v>
      </c>
      <c r="E1987">
        <v>0.392766442219807</v>
      </c>
    </row>
    <row r="1988" spans="1:5" x14ac:dyDescent="0.2">
      <c r="A1988">
        <v>2.2961333333333299E-2</v>
      </c>
      <c r="B1988">
        <v>0.30053375112652497</v>
      </c>
      <c r="C1988">
        <v>0.25290827630448298</v>
      </c>
      <c r="D1988">
        <v>0.43234876901809399</v>
      </c>
      <c r="E1988">
        <v>0.39290541345336999</v>
      </c>
    </row>
    <row r="1989" spans="1:5" x14ac:dyDescent="0.2">
      <c r="A1989">
        <v>2.2988000000000001E-2</v>
      </c>
      <c r="B1989">
        <v>0.30064113142468402</v>
      </c>
      <c r="C1989">
        <v>0.25301082256380603</v>
      </c>
      <c r="D1989">
        <v>0.43248256841709598</v>
      </c>
      <c r="E1989">
        <v>0.39304453785557097</v>
      </c>
    </row>
    <row r="1990" spans="1:5" x14ac:dyDescent="0.2">
      <c r="A1990">
        <v>2.3014666666666701E-2</v>
      </c>
      <c r="B1990">
        <v>0.30074838032106199</v>
      </c>
      <c r="C1990">
        <v>0.25311333949172898</v>
      </c>
      <c r="D1990">
        <v>0.43261633829470902</v>
      </c>
      <c r="E1990">
        <v>0.39318381443554001</v>
      </c>
    </row>
    <row r="1991" spans="1:5" x14ac:dyDescent="0.2">
      <c r="A1991">
        <v>2.3041333333333299E-2</v>
      </c>
      <c r="B1991">
        <v>0.30085549707047099</v>
      </c>
      <c r="C1991">
        <v>0.25321582586049701</v>
      </c>
      <c r="D1991">
        <v>0.432750078638105</v>
      </c>
      <c r="E1991">
        <v>0.393323242202404</v>
      </c>
    </row>
    <row r="1992" spans="1:5" x14ac:dyDescent="0.2">
      <c r="A1992">
        <v>2.3068000000000002E-2</v>
      </c>
      <c r="B1992">
        <v>0.30096248608687998</v>
      </c>
      <c r="C1992">
        <v>0.25331828267782303</v>
      </c>
      <c r="D1992">
        <v>0.43288378943446199</v>
      </c>
      <c r="E1992">
        <v>0.39346282016529199</v>
      </c>
    </row>
    <row r="1993" spans="1:5" x14ac:dyDescent="0.2">
      <c r="A1993">
        <v>2.3094666666666701E-2</v>
      </c>
      <c r="B1993">
        <v>0.30106935195940798</v>
      </c>
      <c r="C1993">
        <v>0.25342071102730801</v>
      </c>
      <c r="D1993">
        <v>0.43301747067095198</v>
      </c>
      <c r="E1993">
        <v>0.393602547333335</v>
      </c>
    </row>
    <row r="1994" spans="1:5" x14ac:dyDescent="0.2">
      <c r="A1994">
        <v>2.3121333333333299E-2</v>
      </c>
      <c r="B1994">
        <v>0.30117609927717498</v>
      </c>
      <c r="C1994">
        <v>0.253523111992558</v>
      </c>
      <c r="D1994">
        <v>0.433151122334752</v>
      </c>
      <c r="E1994">
        <v>0.39374242271565901</v>
      </c>
    </row>
    <row r="1995" spans="1:5" x14ac:dyDescent="0.2">
      <c r="A1995">
        <v>2.3147999999999998E-2</v>
      </c>
      <c r="B1995">
        <v>0.301282732629299</v>
      </c>
      <c r="C1995">
        <v>0.25362548665717499</v>
      </c>
      <c r="D1995">
        <v>0.43328474441303599</v>
      </c>
      <c r="E1995">
        <v>0.39388244532139599</v>
      </c>
    </row>
    <row r="1996" spans="1:5" x14ac:dyDescent="0.2">
      <c r="A1996">
        <v>2.3174666666666701E-2</v>
      </c>
      <c r="B1996">
        <v>0.30138925660490001</v>
      </c>
      <c r="C1996">
        <v>0.25372783610476302</v>
      </c>
      <c r="D1996">
        <v>0.43341833689297998</v>
      </c>
      <c r="E1996">
        <v>0.39402261415967199</v>
      </c>
    </row>
    <row r="1997" spans="1:5" x14ac:dyDescent="0.2">
      <c r="A1997">
        <v>2.32013333333333E-2</v>
      </c>
      <c r="B1997">
        <v>0.301495675793096</v>
      </c>
      <c r="C1997">
        <v>0.253830161418925</v>
      </c>
      <c r="D1997">
        <v>0.43355189976175801</v>
      </c>
      <c r="E1997">
        <v>0.39416292823961802</v>
      </c>
    </row>
    <row r="1998" spans="1:5" x14ac:dyDescent="0.2">
      <c r="A1998">
        <v>2.3227999999999999E-2</v>
      </c>
      <c r="B1998">
        <v>0.30160199478300798</v>
      </c>
      <c r="C1998">
        <v>0.253932463683266</v>
      </c>
      <c r="D1998">
        <v>0.433685433006544</v>
      </c>
      <c r="E1998">
        <v>0.39430338657036201</v>
      </c>
    </row>
    <row r="1999" spans="1:5" x14ac:dyDescent="0.2">
      <c r="A1999">
        <v>2.3254666666666701E-2</v>
      </c>
      <c r="B1999">
        <v>0.30170821816375398</v>
      </c>
      <c r="C1999">
        <v>0.25403474398138898</v>
      </c>
      <c r="D1999">
        <v>0.43381893661451498</v>
      </c>
      <c r="E1999">
        <v>0.39444398816103299</v>
      </c>
    </row>
    <row r="2000" spans="1:5" x14ac:dyDescent="0.2">
      <c r="A2000">
        <v>2.32813333333333E-2</v>
      </c>
      <c r="B2000">
        <v>0.30181435052445299</v>
      </c>
      <c r="C2000">
        <v>0.25413700339689699</v>
      </c>
      <c r="D2000">
        <v>0.433952410572845</v>
      </c>
      <c r="E2000">
        <v>0.39458473202076</v>
      </c>
    </row>
    <row r="2001" spans="1:5" x14ac:dyDescent="0.2">
      <c r="A2001">
        <v>2.3307999999999999E-2</v>
      </c>
      <c r="B2001">
        <v>0.30192039645422503</v>
      </c>
      <c r="C2001">
        <v>0.25423924301339501</v>
      </c>
      <c r="D2001">
        <v>0.43408585486870799</v>
      </c>
      <c r="E2001">
        <v>0.39472561715867199</v>
      </c>
    </row>
    <row r="2002" spans="1:5" x14ac:dyDescent="0.2">
      <c r="A2002">
        <v>2.3334666666666701E-2</v>
      </c>
      <c r="B2002">
        <v>0.30202636054218901</v>
      </c>
      <c r="C2002">
        <v>0.25434146391448498</v>
      </c>
      <c r="D2002">
        <v>0.43421926948928002</v>
      </c>
      <c r="E2002">
        <v>0.39486664258389798</v>
      </c>
    </row>
    <row r="2003" spans="1:5" x14ac:dyDescent="0.2">
      <c r="A2003">
        <v>2.33613333333333E-2</v>
      </c>
      <c r="B2003">
        <v>0.30213224737746303</v>
      </c>
      <c r="C2003">
        <v>0.25444366718377198</v>
      </c>
      <c r="D2003">
        <v>0.43435265442173598</v>
      </c>
      <c r="E2003">
        <v>0.39500780730556601</v>
      </c>
    </row>
    <row r="2004" spans="1:5" x14ac:dyDescent="0.2">
      <c r="A2004">
        <v>2.3387999999999999E-2</v>
      </c>
      <c r="B2004">
        <v>0.30223806154916799</v>
      </c>
      <c r="C2004">
        <v>0.25454585390485901</v>
      </c>
      <c r="D2004">
        <v>0.43448600965325102</v>
      </c>
      <c r="E2004">
        <v>0.39514911033280598</v>
      </c>
    </row>
    <row r="2005" spans="1:5" x14ac:dyDescent="0.2">
      <c r="A2005">
        <v>2.3414666666666702E-2</v>
      </c>
      <c r="B2005">
        <v>0.30234380764642199</v>
      </c>
      <c r="C2005">
        <v>0.25464802516134899</v>
      </c>
      <c r="D2005">
        <v>0.43461933517099899</v>
      </c>
      <c r="E2005">
        <v>0.395290550674747</v>
      </c>
    </row>
    <row r="2006" spans="1:5" x14ac:dyDescent="0.2">
      <c r="A2006">
        <v>2.34413333333333E-2</v>
      </c>
      <c r="B2006">
        <v>0.302449490258345</v>
      </c>
      <c r="C2006">
        <v>0.25475018203684702</v>
      </c>
      <c r="D2006">
        <v>0.43475263096215599</v>
      </c>
      <c r="E2006">
        <v>0.39543212734051703</v>
      </c>
    </row>
    <row r="2007" spans="1:5" x14ac:dyDescent="0.2">
      <c r="A2007">
        <v>2.3467999999999999E-2</v>
      </c>
      <c r="B2007">
        <v>0.30255511397405499</v>
      </c>
      <c r="C2007">
        <v>0.25485232561495602</v>
      </c>
      <c r="D2007">
        <v>0.43488589701389602</v>
      </c>
      <c r="E2007">
        <v>0.395573839339246</v>
      </c>
    </row>
    <row r="2008" spans="1:5" x14ac:dyDescent="0.2">
      <c r="A2008">
        <v>2.3494666666666698E-2</v>
      </c>
      <c r="B2008">
        <v>0.30266068338267199</v>
      </c>
      <c r="C2008">
        <v>0.25495445697927899</v>
      </c>
      <c r="D2008">
        <v>0.43501913331339398</v>
      </c>
      <c r="E2008">
        <v>0.39571568568006199</v>
      </c>
    </row>
    <row r="2009" spans="1:5" x14ac:dyDescent="0.2">
      <c r="A2009">
        <v>2.35213333333333E-2</v>
      </c>
      <c r="B2009">
        <v>0.30276620307331498</v>
      </c>
      <c r="C2009">
        <v>0.25505657721342001</v>
      </c>
      <c r="D2009">
        <v>0.43515233984782598</v>
      </c>
      <c r="E2009">
        <v>0.39585766537209399</v>
      </c>
    </row>
    <row r="2010" spans="1:5" x14ac:dyDescent="0.2">
      <c r="A2010">
        <v>2.3547999999999999E-2</v>
      </c>
      <c r="B2010">
        <v>0.30287167763510298</v>
      </c>
      <c r="C2010">
        <v>0.25515868740098302</v>
      </c>
      <c r="D2010">
        <v>0.43528551660436599</v>
      </c>
      <c r="E2010">
        <v>0.39599977742447201</v>
      </c>
    </row>
    <row r="2011" spans="1:5" x14ac:dyDescent="0.2">
      <c r="A2011">
        <v>2.3574666666666699E-2</v>
      </c>
      <c r="B2011">
        <v>0.30297711165715602</v>
      </c>
      <c r="C2011">
        <v>0.255260788625571</v>
      </c>
      <c r="D2011">
        <v>0.43541866357018999</v>
      </c>
      <c r="E2011">
        <v>0.396142020846323</v>
      </c>
    </row>
    <row r="2012" spans="1:5" x14ac:dyDescent="0.2">
      <c r="A2012">
        <v>2.3601333333333301E-2</v>
      </c>
      <c r="B2012">
        <v>0.30308250972859302</v>
      </c>
      <c r="C2012">
        <v>0.25536288197078799</v>
      </c>
      <c r="D2012">
        <v>0.43555178073247097</v>
      </c>
      <c r="E2012">
        <v>0.39628439464677701</v>
      </c>
    </row>
    <row r="2013" spans="1:5" x14ac:dyDescent="0.2">
      <c r="A2013">
        <v>2.3628E-2</v>
      </c>
      <c r="B2013">
        <v>0.30318787643853201</v>
      </c>
      <c r="C2013">
        <v>0.25546496852023798</v>
      </c>
      <c r="D2013">
        <v>0.43568486807838502</v>
      </c>
      <c r="E2013">
        <v>0.39642689783496399</v>
      </c>
    </row>
    <row r="2014" spans="1:5" x14ac:dyDescent="0.2">
      <c r="A2014">
        <v>2.3654666666666699E-2</v>
      </c>
      <c r="B2014">
        <v>0.30329321637609302</v>
      </c>
      <c r="C2014">
        <v>0.255567049357524</v>
      </c>
      <c r="D2014">
        <v>0.43581792559510801</v>
      </c>
      <c r="E2014">
        <v>0.396569529420011</v>
      </c>
    </row>
    <row r="2015" spans="1:5" x14ac:dyDescent="0.2">
      <c r="A2015">
        <v>2.3681333333333301E-2</v>
      </c>
      <c r="B2015">
        <v>0.30339853413039503</v>
      </c>
      <c r="C2015">
        <v>0.25566912556624999</v>
      </c>
      <c r="D2015">
        <v>0.43595095326981298</v>
      </c>
      <c r="E2015">
        <v>0.396712288411048</v>
      </c>
    </row>
    <row r="2016" spans="1:5" x14ac:dyDescent="0.2">
      <c r="A2016">
        <v>2.3708E-2</v>
      </c>
      <c r="B2016">
        <v>0.30350383429055799</v>
      </c>
      <c r="C2016">
        <v>0.25577119823001898</v>
      </c>
      <c r="D2016">
        <v>0.43608395108967601</v>
      </c>
      <c r="E2016">
        <v>0.39685517381720298</v>
      </c>
    </row>
    <row r="2017" spans="1:5" x14ac:dyDescent="0.2">
      <c r="A2017">
        <v>2.3734666666666699E-2</v>
      </c>
      <c r="B2017">
        <v>0.30360912144570001</v>
      </c>
      <c r="C2017">
        <v>0.25587326843243502</v>
      </c>
      <c r="D2017">
        <v>0.43621691904187099</v>
      </c>
      <c r="E2017">
        <v>0.396998184647606</v>
      </c>
    </row>
    <row r="2018" spans="1:5" x14ac:dyDescent="0.2">
      <c r="A2018">
        <v>2.3761333333333301E-2</v>
      </c>
      <c r="B2018">
        <v>0.303714400184941</v>
      </c>
      <c r="C2018">
        <v>0.25597533725710198</v>
      </c>
      <c r="D2018">
        <v>0.43634985711357499</v>
      </c>
      <c r="E2018">
        <v>0.39714131991138601</v>
      </c>
    </row>
    <row r="2019" spans="1:5" x14ac:dyDescent="0.2">
      <c r="A2019">
        <v>2.3788E-2</v>
      </c>
      <c r="B2019">
        <v>0.30381967509739999</v>
      </c>
      <c r="C2019">
        <v>0.256077405787623</v>
      </c>
      <c r="D2019">
        <v>0.43648276529196101</v>
      </c>
      <c r="E2019">
        <v>0.39728457861767102</v>
      </c>
    </row>
    <row r="2020" spans="1:5" x14ac:dyDescent="0.2">
      <c r="A2020">
        <v>2.3814666666666699E-2</v>
      </c>
      <c r="B2020">
        <v>0.303924950772196</v>
      </c>
      <c r="C2020">
        <v>0.25617947510760197</v>
      </c>
      <c r="D2020">
        <v>0.43661564356420401</v>
      </c>
      <c r="E2020">
        <v>0.39742795977558998</v>
      </c>
    </row>
    <row r="2021" spans="1:5" x14ac:dyDescent="0.2">
      <c r="A2021">
        <v>2.3841333333333301E-2</v>
      </c>
      <c r="B2021">
        <v>0.30403023179844801</v>
      </c>
      <c r="C2021">
        <v>0.25628154630064298</v>
      </c>
      <c r="D2021">
        <v>0.43674849191748</v>
      </c>
      <c r="E2021">
        <v>0.39757146239427299</v>
      </c>
    </row>
    <row r="2022" spans="1:5" x14ac:dyDescent="0.2">
      <c r="A2022">
        <v>2.3868E-2</v>
      </c>
      <c r="B2022">
        <v>0.304135522765275</v>
      </c>
      <c r="C2022">
        <v>0.25638362045034901</v>
      </c>
      <c r="D2022">
        <v>0.43688131033896399</v>
      </c>
      <c r="E2022">
        <v>0.39771508548284701</v>
      </c>
    </row>
    <row r="2023" spans="1:5" x14ac:dyDescent="0.2">
      <c r="A2023">
        <v>2.3894666666666699E-2</v>
      </c>
      <c r="B2023">
        <v>0.30424082826179699</v>
      </c>
      <c r="C2023">
        <v>0.256485698640323</v>
      </c>
      <c r="D2023">
        <v>0.43701409881582898</v>
      </c>
      <c r="E2023">
        <v>0.39785882805044298</v>
      </c>
    </row>
    <row r="2024" spans="1:5" x14ac:dyDescent="0.2">
      <c r="A2024">
        <v>2.3921333333333301E-2</v>
      </c>
      <c r="B2024">
        <v>0.30434615287713301</v>
      </c>
      <c r="C2024">
        <v>0.25658778195416998</v>
      </c>
      <c r="D2024">
        <v>0.43714685733525199</v>
      </c>
      <c r="E2024">
        <v>0.39800268910618902</v>
      </c>
    </row>
    <row r="2025" spans="1:5" x14ac:dyDescent="0.2">
      <c r="A2025">
        <v>2.3948000000000001E-2</v>
      </c>
      <c r="B2025">
        <v>0.30445150120040199</v>
      </c>
      <c r="C2025">
        <v>0.25668987147549299</v>
      </c>
      <c r="D2025">
        <v>0.43727958588440702</v>
      </c>
      <c r="E2025">
        <v>0.39814666765921303</v>
      </c>
    </row>
    <row r="2026" spans="1:5" x14ac:dyDescent="0.2">
      <c r="A2026">
        <v>2.39746666666667E-2</v>
      </c>
      <c r="B2026">
        <v>0.30455687782072299</v>
      </c>
      <c r="C2026">
        <v>0.25679196828789502</v>
      </c>
      <c r="D2026">
        <v>0.43741228445046998</v>
      </c>
      <c r="E2026">
        <v>0.398290762718645</v>
      </c>
    </row>
    <row r="2027" spans="1:5" x14ac:dyDescent="0.2">
      <c r="A2027">
        <v>2.4001333333333302E-2</v>
      </c>
      <c r="B2027">
        <v>0.304662287327092</v>
      </c>
      <c r="C2027">
        <v>0.25689407347495002</v>
      </c>
      <c r="D2027">
        <v>0.43754495302061402</v>
      </c>
      <c r="E2027">
        <v>0.39843497329361399</v>
      </c>
    </row>
    <row r="2028" spans="1:5" x14ac:dyDescent="0.2">
      <c r="A2028">
        <v>2.4028000000000001E-2</v>
      </c>
      <c r="B2028">
        <v>0.30476773315924199</v>
      </c>
      <c r="C2028">
        <v>0.25699618783002698</v>
      </c>
      <c r="D2028">
        <v>0.43767759158201502</v>
      </c>
      <c r="E2028">
        <v>0.39857929839324902</v>
      </c>
    </row>
    <row r="2029" spans="1:5" x14ac:dyDescent="0.2">
      <c r="A2029">
        <v>2.40546666666667E-2</v>
      </c>
      <c r="B2029">
        <v>0.30487321479862101</v>
      </c>
      <c r="C2029">
        <v>0.257098311146985</v>
      </c>
      <c r="D2029">
        <v>0.43781020012184801</v>
      </c>
      <c r="E2029">
        <v>0.39872373702667802</v>
      </c>
    </row>
    <row r="2030" spans="1:5" x14ac:dyDescent="0.2">
      <c r="A2030">
        <v>2.4081333333333298E-2</v>
      </c>
      <c r="B2030">
        <v>0.304978730875128</v>
      </c>
      <c r="C2030">
        <v>0.257200443004657</v>
      </c>
      <c r="D2030">
        <v>0.43794277862728798</v>
      </c>
      <c r="E2030">
        <v>0.398868288203031</v>
      </c>
    </row>
    <row r="2031" spans="1:5" x14ac:dyDescent="0.2">
      <c r="A2031">
        <v>2.4108000000000001E-2</v>
      </c>
      <c r="B2031">
        <v>0.305084280018664</v>
      </c>
      <c r="C2031">
        <v>0.25730258298187603</v>
      </c>
      <c r="D2031">
        <v>0.43807532708551</v>
      </c>
      <c r="E2031">
        <v>0.39901295093143602</v>
      </c>
    </row>
    <row r="2032" spans="1:5" x14ac:dyDescent="0.2">
      <c r="A2032">
        <v>2.41346666666667E-2</v>
      </c>
      <c r="B2032">
        <v>0.30518986085912603</v>
      </c>
      <c r="C2032">
        <v>0.25740473065747399</v>
      </c>
      <c r="D2032">
        <v>0.43820784548368802</v>
      </c>
      <c r="E2032">
        <v>0.39915772422102203</v>
      </c>
    </row>
    <row r="2033" spans="1:5" x14ac:dyDescent="0.2">
      <c r="A2033">
        <v>2.4161333333333299E-2</v>
      </c>
      <c r="B2033">
        <v>0.30529547202641599</v>
      </c>
      <c r="C2033">
        <v>0.25750688561028401</v>
      </c>
      <c r="D2033">
        <v>0.43834033380899801</v>
      </c>
      <c r="E2033">
        <v>0.39930260708091903</v>
      </c>
    </row>
    <row r="2034" spans="1:5" x14ac:dyDescent="0.2">
      <c r="A2034">
        <v>2.4188000000000001E-2</v>
      </c>
      <c r="B2034">
        <v>0.30540111215043098</v>
      </c>
      <c r="C2034">
        <v>0.25760904741913898</v>
      </c>
      <c r="D2034">
        <v>0.438472792048615</v>
      </c>
      <c r="E2034">
        <v>0.39944759852025502</v>
      </c>
    </row>
    <row r="2035" spans="1:5" x14ac:dyDescent="0.2">
      <c r="A2035">
        <v>2.42146666666667E-2</v>
      </c>
      <c r="B2035">
        <v>0.305506779861072</v>
      </c>
      <c r="C2035">
        <v>0.25771121566287197</v>
      </c>
      <c r="D2035">
        <v>0.43860522018971299</v>
      </c>
      <c r="E2035">
        <v>0.39959269754815802</v>
      </c>
    </row>
    <row r="2036" spans="1:5" x14ac:dyDescent="0.2">
      <c r="A2036">
        <v>2.4241333333333299E-2</v>
      </c>
      <c r="B2036">
        <v>0.30561247378823803</v>
      </c>
      <c r="C2036">
        <v>0.25781338992031599</v>
      </c>
      <c r="D2036">
        <v>0.438737618219468</v>
      </c>
      <c r="E2036">
        <v>0.39973790317375901</v>
      </c>
    </row>
    <row r="2037" spans="1:5" x14ac:dyDescent="0.2">
      <c r="A2037">
        <v>2.4268000000000001E-2</v>
      </c>
      <c r="B2037">
        <v>0.30571819256182797</v>
      </c>
      <c r="C2037">
        <v>0.257915569770302</v>
      </c>
      <c r="D2037">
        <v>0.43886998612505301</v>
      </c>
      <c r="E2037">
        <v>0.39988321440618602</v>
      </c>
    </row>
    <row r="2038" spans="1:5" x14ac:dyDescent="0.2">
      <c r="A2038">
        <v>2.42946666666667E-2</v>
      </c>
      <c r="B2038">
        <v>0.30582393481174203</v>
      </c>
      <c r="C2038">
        <v>0.258017754791665</v>
      </c>
      <c r="D2038">
        <v>0.43900232389364602</v>
      </c>
      <c r="E2038">
        <v>0.40002863025456697</v>
      </c>
    </row>
    <row r="2039" spans="1:5" x14ac:dyDescent="0.2">
      <c r="A2039">
        <v>2.4321333333333299E-2</v>
      </c>
      <c r="B2039">
        <v>0.30592969916787999</v>
      </c>
      <c r="C2039">
        <v>0.258119944563237</v>
      </c>
      <c r="D2039">
        <v>0.43913463151241899</v>
      </c>
      <c r="E2039">
        <v>0.400174149728032</v>
      </c>
    </row>
    <row r="2040" spans="1:5" x14ac:dyDescent="0.2">
      <c r="A2040">
        <v>2.4348000000000002E-2</v>
      </c>
      <c r="B2040">
        <v>0.30603548426013999</v>
      </c>
      <c r="C2040">
        <v>0.25822213866385002</v>
      </c>
      <c r="D2040">
        <v>0.43926690896854798</v>
      </c>
      <c r="E2040">
        <v>0.40031977183570999</v>
      </c>
    </row>
    <row r="2041" spans="1:5" x14ac:dyDescent="0.2">
      <c r="A2041">
        <v>2.4374666666666701E-2</v>
      </c>
      <c r="B2041">
        <v>0.306141288718422</v>
      </c>
      <c r="C2041">
        <v>0.25832433667233701</v>
      </c>
      <c r="D2041">
        <v>0.439399156249209</v>
      </c>
      <c r="E2041">
        <v>0.400465495586729</v>
      </c>
    </row>
    <row r="2042" spans="1:5" x14ac:dyDescent="0.2">
      <c r="A2042">
        <v>2.4401333333333299E-2</v>
      </c>
      <c r="B2042">
        <v>0.30624711117262599</v>
      </c>
      <c r="C2042">
        <v>0.25842653816753203</v>
      </c>
      <c r="D2042">
        <v>0.43953137334157499</v>
      </c>
      <c r="E2042">
        <v>0.40061131999021798</v>
      </c>
    </row>
    <row r="2043" spans="1:5" x14ac:dyDescent="0.2">
      <c r="A2043">
        <v>2.4427999999999998E-2</v>
      </c>
      <c r="B2043">
        <v>0.30635295025265102</v>
      </c>
      <c r="C2043">
        <v>0.25852874272826698</v>
      </c>
      <c r="D2043">
        <v>0.43966356023282299</v>
      </c>
      <c r="E2043">
        <v>0.40075724405530699</v>
      </c>
    </row>
    <row r="2044" spans="1:5" x14ac:dyDescent="0.2">
      <c r="A2044">
        <v>2.4454666666666701E-2</v>
      </c>
      <c r="B2044">
        <v>0.30645880458839603</v>
      </c>
      <c r="C2044">
        <v>0.25863094993337399</v>
      </c>
      <c r="D2044">
        <v>0.43979571691012598</v>
      </c>
      <c r="E2044">
        <v>0.40090326679112398</v>
      </c>
    </row>
    <row r="2045" spans="1:5" x14ac:dyDescent="0.2">
      <c r="A2045">
        <v>2.4481333333333299E-2</v>
      </c>
      <c r="B2045">
        <v>0.30656467280976102</v>
      </c>
      <c r="C2045">
        <v>0.258733159361686</v>
      </c>
      <c r="D2045">
        <v>0.43992784336065999</v>
      </c>
      <c r="E2045">
        <v>0.401049387206799</v>
      </c>
    </row>
    <row r="2046" spans="1:5" x14ac:dyDescent="0.2">
      <c r="A2046">
        <v>2.4507999999999999E-2</v>
      </c>
      <c r="B2046">
        <v>0.30667055354664502</v>
      </c>
      <c r="C2046">
        <v>0.25883537059203698</v>
      </c>
      <c r="D2046">
        <v>0.4400599395716</v>
      </c>
      <c r="E2046">
        <v>0.40119560431146001</v>
      </c>
    </row>
    <row r="2047" spans="1:5" x14ac:dyDescent="0.2">
      <c r="A2047">
        <v>2.4534666666666701E-2</v>
      </c>
      <c r="B2047">
        <v>0.306776445428948</v>
      </c>
      <c r="C2047">
        <v>0.25893758320325899</v>
      </c>
      <c r="D2047">
        <v>0.44019200553012</v>
      </c>
      <c r="E2047">
        <v>0.401341917114235</v>
      </c>
    </row>
    <row r="2048" spans="1:5" x14ac:dyDescent="0.2">
      <c r="A2048">
        <v>2.45613333333333E-2</v>
      </c>
      <c r="B2048">
        <v>0.30688234708656997</v>
      </c>
      <c r="C2048">
        <v>0.25903979677418498</v>
      </c>
      <c r="D2048">
        <v>0.44032404122339602</v>
      </c>
      <c r="E2048">
        <v>0.40148832462425499</v>
      </c>
    </row>
    <row r="2049" spans="1:5" x14ac:dyDescent="0.2">
      <c r="A2049">
        <v>2.4587999999999999E-2</v>
      </c>
      <c r="B2049">
        <v>0.30698825714940797</v>
      </c>
      <c r="C2049">
        <v>0.25914201088364702</v>
      </c>
      <c r="D2049">
        <v>0.44045604663860299</v>
      </c>
      <c r="E2049">
        <v>0.40163482585064703</v>
      </c>
    </row>
    <row r="2050" spans="1:5" x14ac:dyDescent="0.2">
      <c r="A2050">
        <v>2.4614666666666701E-2</v>
      </c>
      <c r="B2050">
        <v>0.30709417424736402</v>
      </c>
      <c r="C2050">
        <v>0.25924422511047901</v>
      </c>
      <c r="D2050">
        <v>0.44058802176291501</v>
      </c>
      <c r="E2050">
        <v>0.40178141980254101</v>
      </c>
    </row>
    <row r="2051" spans="1:5" x14ac:dyDescent="0.2">
      <c r="A2051">
        <v>2.46413333333333E-2</v>
      </c>
      <c r="B2051">
        <v>0.30720009701033602</v>
      </c>
      <c r="C2051">
        <v>0.25934643903351301</v>
      </c>
      <c r="D2051">
        <v>0.44071996658350698</v>
      </c>
      <c r="E2051">
        <v>0.40192810548906599</v>
      </c>
    </row>
    <row r="2052" spans="1:5" x14ac:dyDescent="0.2">
      <c r="A2052">
        <v>2.4667999999999999E-2</v>
      </c>
      <c r="B2052">
        <v>0.30730602406822399</v>
      </c>
      <c r="C2052">
        <v>0.25944865223158098</v>
      </c>
      <c r="D2052">
        <v>0.44085188108755502</v>
      </c>
      <c r="E2052">
        <v>0.40207488191934998</v>
      </c>
    </row>
    <row r="2053" spans="1:5" x14ac:dyDescent="0.2">
      <c r="A2053">
        <v>2.4694666666666702E-2</v>
      </c>
      <c r="B2053">
        <v>0.30741195405092703</v>
      </c>
      <c r="C2053">
        <v>0.25955086428351698</v>
      </c>
      <c r="D2053">
        <v>0.44098376526223199</v>
      </c>
      <c r="E2053">
        <v>0.40222174810252298</v>
      </c>
    </row>
    <row r="2054" spans="1:5" x14ac:dyDescent="0.2">
      <c r="A2054">
        <v>2.47213333333333E-2</v>
      </c>
      <c r="B2054">
        <v>0.30751788558834497</v>
      </c>
      <c r="C2054">
        <v>0.25965307476815402</v>
      </c>
      <c r="D2054">
        <v>0.44111561909471497</v>
      </c>
      <c r="E2054">
        <v>0.40236870304771399</v>
      </c>
    </row>
    <row r="2055" spans="1:5" x14ac:dyDescent="0.2">
      <c r="A2055">
        <v>2.4747999999999999E-2</v>
      </c>
      <c r="B2055">
        <v>0.30762381731037802</v>
      </c>
      <c r="C2055">
        <v>0.25975528326432401</v>
      </c>
      <c r="D2055">
        <v>0.44124744257217902</v>
      </c>
      <c r="E2055">
        <v>0.40251574576405003</v>
      </c>
    </row>
    <row r="2056" spans="1:5" x14ac:dyDescent="0.2">
      <c r="A2056">
        <v>2.4774666666666698E-2</v>
      </c>
      <c r="B2056">
        <v>0.30772974784692297</v>
      </c>
      <c r="C2056">
        <v>0.25985748935086</v>
      </c>
      <c r="D2056">
        <v>0.44137923568179699</v>
      </c>
      <c r="E2056">
        <v>0.40266287526066202</v>
      </c>
    </row>
    <row r="2057" spans="1:5" x14ac:dyDescent="0.2">
      <c r="A2057">
        <v>2.48013333333333E-2</v>
      </c>
      <c r="B2057">
        <v>0.30783567582788202</v>
      </c>
      <c r="C2057">
        <v>0.25995969260659402</v>
      </c>
      <c r="D2057">
        <v>0.44151099841074498</v>
      </c>
      <c r="E2057">
        <v>0.40281009054667799</v>
      </c>
    </row>
    <row r="2058" spans="1:5" x14ac:dyDescent="0.2">
      <c r="A2058">
        <v>2.4827999999999999E-2</v>
      </c>
      <c r="B2058">
        <v>0.30794159988315301</v>
      </c>
      <c r="C2058">
        <v>0.260061892610361</v>
      </c>
      <c r="D2058">
        <v>0.44164273074619698</v>
      </c>
      <c r="E2058">
        <v>0.40295739063122799</v>
      </c>
    </row>
    <row r="2059" spans="1:5" x14ac:dyDescent="0.2">
      <c r="A2059">
        <v>2.4854666666666698E-2</v>
      </c>
      <c r="B2059">
        <v>0.30804751864263602</v>
      </c>
      <c r="C2059">
        <v>0.26016408894099102</v>
      </c>
      <c r="D2059">
        <v>0.44177443267533001</v>
      </c>
      <c r="E2059">
        <v>0.40310477452343901</v>
      </c>
    </row>
    <row r="2060" spans="1:5" x14ac:dyDescent="0.2">
      <c r="A2060">
        <v>2.48813333333333E-2</v>
      </c>
      <c r="B2060">
        <v>0.30815343073623003</v>
      </c>
      <c r="C2060">
        <v>0.26026628117731798</v>
      </c>
      <c r="D2060">
        <v>0.441906104185318</v>
      </c>
      <c r="E2060">
        <v>0.40325224123244102</v>
      </c>
    </row>
    <row r="2061" spans="1:5" x14ac:dyDescent="0.2">
      <c r="A2061">
        <v>2.4908E-2</v>
      </c>
      <c r="B2061">
        <v>0.30825933479383499</v>
      </c>
      <c r="C2061">
        <v>0.260368468898176</v>
      </c>
      <c r="D2061">
        <v>0.442037745263335</v>
      </c>
      <c r="E2061">
        <v>0.40339978976736302</v>
      </c>
    </row>
    <row r="2062" spans="1:5" x14ac:dyDescent="0.2">
      <c r="A2062">
        <v>2.4934666666666699E-2</v>
      </c>
      <c r="B2062">
        <v>0.30836522944535</v>
      </c>
      <c r="C2062">
        <v>0.26047065168239603</v>
      </c>
      <c r="D2062">
        <v>0.44216935589655598</v>
      </c>
      <c r="E2062">
        <v>0.403547419137334</v>
      </c>
    </row>
    <row r="2063" spans="1:5" x14ac:dyDescent="0.2">
      <c r="A2063">
        <v>2.4961333333333301E-2</v>
      </c>
      <c r="B2063">
        <v>0.30847111332067501</v>
      </c>
      <c r="C2063">
        <v>0.26057282910881102</v>
      </c>
      <c r="D2063">
        <v>0.44230093607215798</v>
      </c>
      <c r="E2063">
        <v>0.40369512835148202</v>
      </c>
    </row>
    <row r="2064" spans="1:5" x14ac:dyDescent="0.2">
      <c r="A2064">
        <v>2.4988E-2</v>
      </c>
      <c r="B2064">
        <v>0.30857698504970799</v>
      </c>
      <c r="C2064">
        <v>0.26067500075625499</v>
      </c>
      <c r="D2064">
        <v>0.44243248577731298</v>
      </c>
      <c r="E2064">
        <v>0.40384291641893699</v>
      </c>
    </row>
    <row r="2065" spans="1:5" x14ac:dyDescent="0.2">
      <c r="A2065">
        <v>2.5014666666666699E-2</v>
      </c>
      <c r="B2065">
        <v>0.30868284332505103</v>
      </c>
      <c r="C2065">
        <v>0.260777166231911</v>
      </c>
      <c r="D2065">
        <v>0.44256400499919801</v>
      </c>
      <c r="E2065">
        <v>0.40399078234882801</v>
      </c>
    </row>
    <row r="2066" spans="1:5" x14ac:dyDescent="0.2">
      <c r="A2066">
        <v>2.5041333333333301E-2</v>
      </c>
      <c r="B2066">
        <v>0.30878868799187797</v>
      </c>
      <c r="C2066">
        <v>0.26087932566414301</v>
      </c>
      <c r="D2066">
        <v>0.44269549372498801</v>
      </c>
      <c r="E2066">
        <v>0.40413872515028298</v>
      </c>
    </row>
    <row r="2067" spans="1:5" x14ac:dyDescent="0.2">
      <c r="A2067">
        <v>2.5068E-2</v>
      </c>
      <c r="B2067">
        <v>0.30889451990690397</v>
      </c>
      <c r="C2067">
        <v>0.26098147963871399</v>
      </c>
      <c r="D2067">
        <v>0.44282695194185601</v>
      </c>
      <c r="E2067">
        <v>0.40428674383243102</v>
      </c>
    </row>
    <row r="2068" spans="1:5" x14ac:dyDescent="0.2">
      <c r="A2068">
        <v>2.5094666666666699E-2</v>
      </c>
      <c r="B2068">
        <v>0.30900033996118498</v>
      </c>
      <c r="C2068">
        <v>0.26108362875691798</v>
      </c>
      <c r="D2068">
        <v>0.44295837963697898</v>
      </c>
      <c r="E2068">
        <v>0.404434837404401</v>
      </c>
    </row>
    <row r="2069" spans="1:5" x14ac:dyDescent="0.2">
      <c r="A2069">
        <v>2.5121333333333301E-2</v>
      </c>
      <c r="B2069">
        <v>0.30910614904577699</v>
      </c>
      <c r="C2069">
        <v>0.26118577362004702</v>
      </c>
      <c r="D2069">
        <v>0.44308977679753098</v>
      </c>
      <c r="E2069">
        <v>0.404583004875323</v>
      </c>
    </row>
    <row r="2070" spans="1:5" x14ac:dyDescent="0.2">
      <c r="A2070">
        <v>2.5148E-2</v>
      </c>
      <c r="B2070">
        <v>0.30921194805173402</v>
      </c>
      <c r="C2070">
        <v>0.26128791482939501</v>
      </c>
      <c r="D2070">
        <v>0.44322114341068702</v>
      </c>
      <c r="E2070">
        <v>0.40473124525432502</v>
      </c>
    </row>
    <row r="2071" spans="1:5" x14ac:dyDescent="0.2">
      <c r="A2071">
        <v>2.5174666666666699E-2</v>
      </c>
      <c r="B2071">
        <v>0.30931773787011302</v>
      </c>
      <c r="C2071">
        <v>0.26139005298625301</v>
      </c>
      <c r="D2071">
        <v>0.443352479463622</v>
      </c>
      <c r="E2071">
        <v>0.40487955755053501</v>
      </c>
    </row>
    <row r="2072" spans="1:5" x14ac:dyDescent="0.2">
      <c r="A2072">
        <v>2.5201333333333301E-2</v>
      </c>
      <c r="B2072">
        <v>0.30942351939196899</v>
      </c>
      <c r="C2072">
        <v>0.26149218869191498</v>
      </c>
      <c r="D2072">
        <v>0.44348378494351098</v>
      </c>
      <c r="E2072">
        <v>0.40502794077308402</v>
      </c>
    </row>
    <row r="2073" spans="1:5" x14ac:dyDescent="0.2">
      <c r="A2073">
        <v>2.5228E-2</v>
      </c>
      <c r="B2073">
        <v>0.30952929350835701</v>
      </c>
      <c r="C2073">
        <v>0.26159432254767301</v>
      </c>
      <c r="D2073">
        <v>0.44361505983752803</v>
      </c>
      <c r="E2073">
        <v>0.405176393931099</v>
      </c>
    </row>
    <row r="2074" spans="1:5" x14ac:dyDescent="0.2">
      <c r="A2074">
        <v>2.52546666666667E-2</v>
      </c>
      <c r="B2074">
        <v>0.30963506111033401</v>
      </c>
      <c r="C2074">
        <v>0.26169645515482198</v>
      </c>
      <c r="D2074">
        <v>0.44374630413284999</v>
      </c>
      <c r="E2074">
        <v>0.40532491603371101</v>
      </c>
    </row>
    <row r="2075" spans="1:5" x14ac:dyDescent="0.2">
      <c r="A2075">
        <v>2.5281333333333302E-2</v>
      </c>
      <c r="B2075">
        <v>0.30974082308895401</v>
      </c>
      <c r="C2075">
        <v>0.26179858711465198</v>
      </c>
      <c r="D2075">
        <v>0.44387751781665002</v>
      </c>
      <c r="E2075">
        <v>0.40547350609004701</v>
      </c>
    </row>
    <row r="2076" spans="1:5" x14ac:dyDescent="0.2">
      <c r="A2076">
        <v>2.5308000000000001E-2</v>
      </c>
      <c r="B2076">
        <v>0.30984658033527301</v>
      </c>
      <c r="C2076">
        <v>0.26190071902845802</v>
      </c>
      <c r="D2076">
        <v>0.444008700876103</v>
      </c>
      <c r="E2076">
        <v>0.40562216310923599</v>
      </c>
    </row>
    <row r="2077" spans="1:5" x14ac:dyDescent="0.2">
      <c r="A2077">
        <v>2.53346666666667E-2</v>
      </c>
      <c r="B2077">
        <v>0.30995233374034697</v>
      </c>
      <c r="C2077">
        <v>0.262002851497531</v>
      </c>
      <c r="D2077">
        <v>0.44413985329838601</v>
      </c>
      <c r="E2077">
        <v>0.40577088610040801</v>
      </c>
    </row>
    <row r="2078" spans="1:5" x14ac:dyDescent="0.2">
      <c r="A2078">
        <v>2.5361333333333302E-2</v>
      </c>
      <c r="B2078">
        <v>0.31005808419523101</v>
      </c>
      <c r="C2078">
        <v>0.26210498512316599</v>
      </c>
      <c r="D2078">
        <v>0.44427097507067098</v>
      </c>
      <c r="E2078">
        <v>0.40591967407269097</v>
      </c>
    </row>
    <row r="2079" spans="1:5" x14ac:dyDescent="0.2">
      <c r="A2079">
        <v>2.5388000000000001E-2</v>
      </c>
      <c r="B2079">
        <v>0.31016383259098101</v>
      </c>
      <c r="C2079">
        <v>0.26220712050665401</v>
      </c>
      <c r="D2079">
        <v>0.444402066180135</v>
      </c>
      <c r="E2079">
        <v>0.40606852603521498</v>
      </c>
    </row>
    <row r="2080" spans="1:5" x14ac:dyDescent="0.2">
      <c r="A2080">
        <v>2.54146666666667E-2</v>
      </c>
      <c r="B2080">
        <v>0.310269579818652</v>
      </c>
      <c r="C2080">
        <v>0.26230925824928902</v>
      </c>
      <c r="D2080">
        <v>0.444533126613953</v>
      </c>
      <c r="E2080">
        <v>0.40621744099710699</v>
      </c>
    </row>
    <row r="2081" spans="1:5" x14ac:dyDescent="0.2">
      <c r="A2081">
        <v>2.5441333333333298E-2</v>
      </c>
      <c r="B2081">
        <v>0.31037532676930002</v>
      </c>
      <c r="C2081">
        <v>0.26241139895236298</v>
      </c>
      <c r="D2081">
        <v>0.44466415635929901</v>
      </c>
      <c r="E2081">
        <v>0.40636641796749901</v>
      </c>
    </row>
    <row r="2082" spans="1:5" x14ac:dyDescent="0.2">
      <c r="A2082">
        <v>2.5468000000000001E-2</v>
      </c>
      <c r="B2082">
        <v>0.31048107433398098</v>
      </c>
      <c r="C2082">
        <v>0.26251354321716902</v>
      </c>
      <c r="D2082">
        <v>0.44479515540334702</v>
      </c>
      <c r="E2082">
        <v>0.40651545595551702</v>
      </c>
    </row>
    <row r="2083" spans="1:5" x14ac:dyDescent="0.2">
      <c r="A2083">
        <v>2.54946666666667E-2</v>
      </c>
      <c r="B2083">
        <v>0.31058682340374999</v>
      </c>
      <c r="C2083">
        <v>0.26261569164499998</v>
      </c>
      <c r="D2083">
        <v>0.444926123733274</v>
      </c>
      <c r="E2083">
        <v>0.406664553970291</v>
      </c>
    </row>
    <row r="2084" spans="1:5" x14ac:dyDescent="0.2">
      <c r="A2084">
        <v>2.5521333333333299E-2</v>
      </c>
      <c r="B2084">
        <v>0.31069257486966201</v>
      </c>
      <c r="C2084">
        <v>0.26271784483714999</v>
      </c>
      <c r="D2084">
        <v>0.445057061336255</v>
      </c>
      <c r="E2084">
        <v>0.40681371102094899</v>
      </c>
    </row>
    <row r="2085" spans="1:5" x14ac:dyDescent="0.2">
      <c r="A2085">
        <v>2.5548000000000001E-2</v>
      </c>
      <c r="B2085">
        <v>0.31079832962277298</v>
      </c>
      <c r="C2085">
        <v>0.26282000339491002</v>
      </c>
      <c r="D2085">
        <v>0.44518796819946299</v>
      </c>
      <c r="E2085">
        <v>0.40696292611662199</v>
      </c>
    </row>
    <row r="2086" spans="1:5" x14ac:dyDescent="0.2">
      <c r="A2086">
        <v>2.55746666666667E-2</v>
      </c>
      <c r="B2086">
        <v>0.31090408855413898</v>
      </c>
      <c r="C2086">
        <v>0.26292216791957301</v>
      </c>
      <c r="D2086">
        <v>0.44531884431007401</v>
      </c>
      <c r="E2086">
        <v>0.40711219826643802</v>
      </c>
    </row>
    <row r="2087" spans="1:5" x14ac:dyDescent="0.2">
      <c r="A2087">
        <v>2.5601333333333299E-2</v>
      </c>
      <c r="B2087">
        <v>0.311009852554815</v>
      </c>
      <c r="C2087">
        <v>0.26302433901243299</v>
      </c>
      <c r="D2087">
        <v>0.44544968965526199</v>
      </c>
      <c r="E2087">
        <v>0.40726152647952502</v>
      </c>
    </row>
    <row r="2088" spans="1:5" x14ac:dyDescent="0.2">
      <c r="A2088">
        <v>2.5628000000000001E-2</v>
      </c>
      <c r="B2088">
        <v>0.31111562251585601</v>
      </c>
      <c r="C2088">
        <v>0.26312651727478198</v>
      </c>
      <c r="D2088">
        <v>0.44558050422220402</v>
      </c>
      <c r="E2088">
        <v>0.40741090976501199</v>
      </c>
    </row>
    <row r="2089" spans="1:5" x14ac:dyDescent="0.2">
      <c r="A2089">
        <v>2.5654666666666701E-2</v>
      </c>
      <c r="B2089">
        <v>0.31122139932831899</v>
      </c>
      <c r="C2089">
        <v>0.26322870330791398</v>
      </c>
      <c r="D2089">
        <v>0.44571128799807302</v>
      </c>
      <c r="E2089">
        <v>0.40756034713202899</v>
      </c>
    </row>
    <row r="2090" spans="1:5" x14ac:dyDescent="0.2">
      <c r="A2090">
        <v>2.5681333333333299E-2</v>
      </c>
      <c r="B2090">
        <v>0.31132718388325797</v>
      </c>
      <c r="C2090">
        <v>0.26333089771312002</v>
      </c>
      <c r="D2090">
        <v>0.44584204097004498</v>
      </c>
      <c r="E2090">
        <v>0.40770983758970503</v>
      </c>
    </row>
    <row r="2091" spans="1:5" x14ac:dyDescent="0.2">
      <c r="A2091">
        <v>2.5708000000000002E-2</v>
      </c>
      <c r="B2091">
        <v>0.31143297707173001</v>
      </c>
      <c r="C2091">
        <v>0.26343310109169399</v>
      </c>
      <c r="D2091">
        <v>0.44597276312529499</v>
      </c>
      <c r="E2091">
        <v>0.40785938014716799</v>
      </c>
    </row>
    <row r="2092" spans="1:5" x14ac:dyDescent="0.2">
      <c r="A2092">
        <v>2.5734666666666701E-2</v>
      </c>
      <c r="B2092">
        <v>0.31153877978479</v>
      </c>
      <c r="C2092">
        <v>0.26353531404492903</v>
      </c>
      <c r="D2092">
        <v>0.44610345445099697</v>
      </c>
      <c r="E2092">
        <v>0.408008973813547</v>
      </c>
    </row>
    <row r="2093" spans="1:5" x14ac:dyDescent="0.2">
      <c r="A2093">
        <v>2.5761333333333299E-2</v>
      </c>
      <c r="B2093">
        <v>0.311644592913493</v>
      </c>
      <c r="C2093">
        <v>0.26363753717411698</v>
      </c>
      <c r="D2093">
        <v>0.44623411493432602</v>
      </c>
      <c r="E2093">
        <v>0.40815861759797101</v>
      </c>
    </row>
    <row r="2094" spans="1:5" x14ac:dyDescent="0.2">
      <c r="A2094">
        <v>2.5787999999999998E-2</v>
      </c>
      <c r="B2094">
        <v>0.31175041734889503</v>
      </c>
      <c r="C2094">
        <v>0.26373977108055102</v>
      </c>
      <c r="D2094">
        <v>0.446364744562458</v>
      </c>
      <c r="E2094">
        <v>0.40830831050956901</v>
      </c>
    </row>
    <row r="2095" spans="1:5" x14ac:dyDescent="0.2">
      <c r="A2095">
        <v>2.5814666666666701E-2</v>
      </c>
      <c r="B2095">
        <v>0.31185625398205202</v>
      </c>
      <c r="C2095">
        <v>0.26384201636552501</v>
      </c>
      <c r="D2095">
        <v>0.44649534332256702</v>
      </c>
      <c r="E2095">
        <v>0.40845805155747</v>
      </c>
    </row>
    <row r="2096" spans="1:5" x14ac:dyDescent="0.2">
      <c r="A2096">
        <v>2.58413333333333E-2</v>
      </c>
      <c r="B2096">
        <v>0.311962103704019</v>
      </c>
      <c r="C2096">
        <v>0.26394427363033102</v>
      </c>
      <c r="D2096">
        <v>0.44662591120182898</v>
      </c>
      <c r="E2096">
        <v>0.408607839750803</v>
      </c>
    </row>
    <row r="2097" spans="1:5" x14ac:dyDescent="0.2">
      <c r="A2097">
        <v>2.5867999999999999E-2</v>
      </c>
      <c r="B2097">
        <v>0.31206796740585102</v>
      </c>
      <c r="C2097">
        <v>0.264046543476261</v>
      </c>
      <c r="D2097">
        <v>0.446756448187417</v>
      </c>
      <c r="E2097">
        <v>0.40875767409869701</v>
      </c>
    </row>
    <row r="2098" spans="1:5" x14ac:dyDescent="0.2">
      <c r="A2098">
        <v>2.5894666666666701E-2</v>
      </c>
      <c r="B2098">
        <v>0.31217384597860398</v>
      </c>
      <c r="C2098">
        <v>0.26414882650460902</v>
      </c>
      <c r="D2098">
        <v>0.44688695426650799</v>
      </c>
      <c r="E2098">
        <v>0.40890755361027997</v>
      </c>
    </row>
    <row r="2099" spans="1:5" x14ac:dyDescent="0.2">
      <c r="A2099">
        <v>2.59213333333333E-2</v>
      </c>
      <c r="B2099">
        <v>0.312279740313334</v>
      </c>
      <c r="C2099">
        <v>0.264251123316668</v>
      </c>
      <c r="D2099">
        <v>0.44701742942627498</v>
      </c>
      <c r="E2099">
        <v>0.409057477294683</v>
      </c>
    </row>
    <row r="2100" spans="1:5" x14ac:dyDescent="0.2">
      <c r="A2100">
        <v>2.5947999999999999E-2</v>
      </c>
      <c r="B2100">
        <v>0.31238565130109702</v>
      </c>
      <c r="C2100">
        <v>0.26435343451373</v>
      </c>
      <c r="D2100">
        <v>0.44714787365389502</v>
      </c>
      <c r="E2100">
        <v>0.409207444161032</v>
      </c>
    </row>
    <row r="2101" spans="1:5" x14ac:dyDescent="0.2">
      <c r="A2101">
        <v>2.5974666666666701E-2</v>
      </c>
      <c r="B2101">
        <v>0.31249157983294701</v>
      </c>
      <c r="C2101">
        <v>0.26445576069708798</v>
      </c>
      <c r="D2101">
        <v>0.44727828693654098</v>
      </c>
      <c r="E2101">
        <v>0.40935745321845801</v>
      </c>
    </row>
    <row r="2102" spans="1:5" x14ac:dyDescent="0.2">
      <c r="A2102">
        <v>2.60013333333333E-2</v>
      </c>
      <c r="B2102">
        <v>0.31259752679990199</v>
      </c>
      <c r="C2102">
        <v>0.264558102467981</v>
      </c>
      <c r="D2102">
        <v>0.447408669261389</v>
      </c>
      <c r="E2102">
        <v>0.40950750347609299</v>
      </c>
    </row>
    <row r="2103" spans="1:5" x14ac:dyDescent="0.2">
      <c r="A2103">
        <v>2.6027999999999999E-2</v>
      </c>
      <c r="B2103">
        <v>0.31270349274098702</v>
      </c>
      <c r="C2103">
        <v>0.26466045992901999</v>
      </c>
      <c r="D2103">
        <v>0.44753902061561401</v>
      </c>
      <c r="E2103">
        <v>0.40965759397407597</v>
      </c>
    </row>
    <row r="2104" spans="1:5" x14ac:dyDescent="0.2">
      <c r="A2104">
        <v>2.6054666666666702E-2</v>
      </c>
      <c r="B2104">
        <v>0.31280947698289202</v>
      </c>
      <c r="C2104">
        <v>0.264762831465432</v>
      </c>
      <c r="D2104">
        <v>0.447669340986391</v>
      </c>
      <c r="E2104">
        <v>0.409807723859338</v>
      </c>
    </row>
    <row r="2105" spans="1:5" x14ac:dyDescent="0.2">
      <c r="A2105">
        <v>2.60813333333333E-2</v>
      </c>
      <c r="B2105">
        <v>0.31291547859149499</v>
      </c>
      <c r="C2105">
        <v>0.26486521509298599</v>
      </c>
      <c r="D2105">
        <v>0.44779963036089399</v>
      </c>
      <c r="E2105">
        <v>0.40995789230178697</v>
      </c>
    </row>
    <row r="2106" spans="1:5" x14ac:dyDescent="0.2">
      <c r="A2106">
        <v>2.6107999999999999E-2</v>
      </c>
      <c r="B2106">
        <v>0.31302149663267698</v>
      </c>
      <c r="C2106">
        <v>0.26496760882745102</v>
      </c>
      <c r="D2106">
        <v>0.44792988872629802</v>
      </c>
      <c r="E2106">
        <v>0.41010809847132801</v>
      </c>
    </row>
    <row r="2107" spans="1:5" x14ac:dyDescent="0.2">
      <c r="A2107">
        <v>2.6134666666666698E-2</v>
      </c>
      <c r="B2107">
        <v>0.31312753017231498</v>
      </c>
      <c r="C2107">
        <v>0.26507001068459501</v>
      </c>
      <c r="D2107">
        <v>0.44806011606978002</v>
      </c>
      <c r="E2107">
        <v>0.410258341537869</v>
      </c>
    </row>
    <row r="2108" spans="1:5" x14ac:dyDescent="0.2">
      <c r="A2108">
        <v>2.61613333333333E-2</v>
      </c>
      <c r="B2108">
        <v>0.313233578276291</v>
      </c>
      <c r="C2108">
        <v>0.26517241868018598</v>
      </c>
      <c r="D2108">
        <v>0.44819031237851198</v>
      </c>
      <c r="E2108">
        <v>0.410408620671317</v>
      </c>
    </row>
    <row r="2109" spans="1:5" x14ac:dyDescent="0.2">
      <c r="A2109">
        <v>2.6187999999999999E-2</v>
      </c>
      <c r="B2109">
        <v>0.31333964001048298</v>
      </c>
      <c r="C2109">
        <v>0.26527483082999298</v>
      </c>
      <c r="D2109">
        <v>0.44832047763967098</v>
      </c>
      <c r="E2109">
        <v>0.41055893504157698</v>
      </c>
    </row>
    <row r="2110" spans="1:5" x14ac:dyDescent="0.2">
      <c r="A2110">
        <v>2.6214666666666699E-2</v>
      </c>
      <c r="B2110">
        <v>0.31344571444077002</v>
      </c>
      <c r="C2110">
        <v>0.265377245149784</v>
      </c>
      <c r="D2110">
        <v>0.448450611840431</v>
      </c>
      <c r="E2110">
        <v>0.41070928381855598</v>
      </c>
    </row>
    <row r="2111" spans="1:5" x14ac:dyDescent="0.2">
      <c r="A2111">
        <v>2.6241333333333301E-2</v>
      </c>
      <c r="B2111">
        <v>0.31355180063303201</v>
      </c>
      <c r="C2111">
        <v>0.26547965965532599</v>
      </c>
      <c r="D2111">
        <v>0.44858071496796698</v>
      </c>
      <c r="E2111">
        <v>0.41085966617216202</v>
      </c>
    </row>
    <row r="2112" spans="1:5" x14ac:dyDescent="0.2">
      <c r="A2112">
        <v>2.6268E-2</v>
      </c>
      <c r="B2112">
        <v>0.313657897653148</v>
      </c>
      <c r="C2112">
        <v>0.26558207236238901</v>
      </c>
      <c r="D2112">
        <v>0.44871078700945399</v>
      </c>
      <c r="E2112">
        <v>0.41101008127229999</v>
      </c>
    </row>
    <row r="2113" spans="1:5" x14ac:dyDescent="0.2">
      <c r="A2113">
        <v>2.6294666666666699E-2</v>
      </c>
      <c r="B2113">
        <v>0.31376400456699699</v>
      </c>
      <c r="C2113">
        <v>0.26568448128673999</v>
      </c>
      <c r="D2113">
        <v>0.44884082795206798</v>
      </c>
      <c r="E2113">
        <v>0.411160528288877</v>
      </c>
    </row>
    <row r="2114" spans="1:5" x14ac:dyDescent="0.2">
      <c r="A2114">
        <v>2.6321333333333301E-2</v>
      </c>
      <c r="B2114">
        <v>0.31387012044045998</v>
      </c>
      <c r="C2114">
        <v>0.265786884444149</v>
      </c>
      <c r="D2114">
        <v>0.44897083778298202</v>
      </c>
      <c r="E2114">
        <v>0.41131100639180002</v>
      </c>
    </row>
    <row r="2115" spans="1:5" x14ac:dyDescent="0.2">
      <c r="A2115">
        <v>2.6348E-2</v>
      </c>
      <c r="B2115">
        <v>0.31397624433941401</v>
      </c>
      <c r="C2115">
        <v>0.26588927985038302</v>
      </c>
      <c r="D2115">
        <v>0.449100816489372</v>
      </c>
      <c r="E2115">
        <v>0.41146151475097598</v>
      </c>
    </row>
    <row r="2116" spans="1:5" x14ac:dyDescent="0.2">
      <c r="A2116">
        <v>2.6374666666666699E-2</v>
      </c>
      <c r="B2116">
        <v>0.31408237532973998</v>
      </c>
      <c r="C2116">
        <v>0.26599166552121101</v>
      </c>
      <c r="D2116">
        <v>0.449230764058413</v>
      </c>
      <c r="E2116">
        <v>0.411612052536311</v>
      </c>
    </row>
    <row r="2117" spans="1:5" x14ac:dyDescent="0.2">
      <c r="A2117">
        <v>2.6401333333333301E-2</v>
      </c>
      <c r="B2117">
        <v>0.31418851247731699</v>
      </c>
      <c r="C2117">
        <v>0.26609403947240001</v>
      </c>
      <c r="D2117">
        <v>0.44936068047728001</v>
      </c>
      <c r="E2117">
        <v>0.41176261891771099</v>
      </c>
    </row>
    <row r="2118" spans="1:5" x14ac:dyDescent="0.2">
      <c r="A2118">
        <v>2.6428E-2</v>
      </c>
      <c r="B2118">
        <v>0.31429465484802399</v>
      </c>
      <c r="C2118">
        <v>0.26619639971971998</v>
      </c>
      <c r="D2118">
        <v>0.449490565733147</v>
      </c>
      <c r="E2118">
        <v>0.41191321306508299</v>
      </c>
    </row>
    <row r="2119" spans="1:5" x14ac:dyDescent="0.2">
      <c r="A2119">
        <v>2.6454666666666699E-2</v>
      </c>
      <c r="B2119">
        <v>0.31440080150774102</v>
      </c>
      <c r="C2119">
        <v>0.26629874427893802</v>
      </c>
      <c r="D2119">
        <v>0.44962041981319101</v>
      </c>
      <c r="E2119">
        <v>0.41206383414833397</v>
      </c>
    </row>
    <row r="2120" spans="1:5" x14ac:dyDescent="0.2">
      <c r="A2120">
        <v>2.6481333333333301E-2</v>
      </c>
      <c r="B2120">
        <v>0.31450695152234598</v>
      </c>
      <c r="C2120">
        <v>0.26640107116582301</v>
      </c>
      <c r="D2120">
        <v>0.44975024270458402</v>
      </c>
      <c r="E2120">
        <v>0.41221448133737099</v>
      </c>
    </row>
    <row r="2121" spans="1:5" x14ac:dyDescent="0.2">
      <c r="A2121">
        <v>2.6508E-2</v>
      </c>
      <c r="B2121">
        <v>0.31461310395772002</v>
      </c>
      <c r="C2121">
        <v>0.26650337839614402</v>
      </c>
      <c r="D2121">
        <v>0.44988003439450303</v>
      </c>
      <c r="E2121">
        <v>0.41236515380209998</v>
      </c>
    </row>
    <row r="2122" spans="1:5" x14ac:dyDescent="0.2">
      <c r="A2122">
        <v>2.6534666666666699E-2</v>
      </c>
      <c r="B2122">
        <v>0.31471925787974098</v>
      </c>
      <c r="C2122">
        <v>0.26660566398566699</v>
      </c>
      <c r="D2122">
        <v>0.45000979487012299</v>
      </c>
      <c r="E2122">
        <v>0.41251585071242702</v>
      </c>
    </row>
    <row r="2123" spans="1:5" x14ac:dyDescent="0.2">
      <c r="A2123">
        <v>2.6561333333333301E-2</v>
      </c>
      <c r="B2123">
        <v>0.31482541235429001</v>
      </c>
      <c r="C2123">
        <v>0.26670792595016302</v>
      </c>
      <c r="D2123">
        <v>0.45013952411861702</v>
      </c>
      <c r="E2123">
        <v>0.41266657123825901</v>
      </c>
    </row>
    <row r="2124" spans="1:5" x14ac:dyDescent="0.2">
      <c r="A2124">
        <v>2.6588000000000001E-2</v>
      </c>
      <c r="B2124">
        <v>0.31493156644724402</v>
      </c>
      <c r="C2124">
        <v>0.266810162305398</v>
      </c>
      <c r="D2124">
        <v>0.45026922212716303</v>
      </c>
      <c r="E2124">
        <v>0.41281731454950399</v>
      </c>
    </row>
    <row r="2125" spans="1:5" x14ac:dyDescent="0.2">
      <c r="A2125">
        <v>2.66146666666667E-2</v>
      </c>
      <c r="B2125">
        <v>0.31503771922448398</v>
      </c>
      <c r="C2125">
        <v>0.266912371067142</v>
      </c>
      <c r="D2125">
        <v>0.450398888882933</v>
      </c>
      <c r="E2125">
        <v>0.41296807981606598</v>
      </c>
    </row>
    <row r="2126" spans="1:5" x14ac:dyDescent="0.2">
      <c r="A2126">
        <v>2.6641333333333302E-2</v>
      </c>
      <c r="B2126">
        <v>0.31514386975188902</v>
      </c>
      <c r="C2126">
        <v>0.267014550251163</v>
      </c>
      <c r="D2126">
        <v>0.45052852437310298</v>
      </c>
      <c r="E2126">
        <v>0.41311886620785399</v>
      </c>
    </row>
    <row r="2127" spans="1:5" x14ac:dyDescent="0.2">
      <c r="A2127">
        <v>2.6668000000000001E-2</v>
      </c>
      <c r="B2127">
        <v>0.31525001709533901</v>
      </c>
      <c r="C2127">
        <v>0.267116697873229</v>
      </c>
      <c r="D2127">
        <v>0.45065812858484899</v>
      </c>
      <c r="E2127">
        <v>0.41326967289477401</v>
      </c>
    </row>
    <row r="2128" spans="1:5" x14ac:dyDescent="0.2">
      <c r="A2128">
        <v>2.66946666666667E-2</v>
      </c>
      <c r="B2128">
        <v>0.31535616032071201</v>
      </c>
      <c r="C2128">
        <v>0.26721881194910801</v>
      </c>
      <c r="D2128">
        <v>0.45078770150534397</v>
      </c>
      <c r="E2128">
        <v>0.413420499046732</v>
      </c>
    </row>
    <row r="2129" spans="1:5" x14ac:dyDescent="0.2">
      <c r="A2129">
        <v>2.6721333333333298E-2</v>
      </c>
      <c r="B2129">
        <v>0.31546229849388702</v>
      </c>
      <c r="C2129">
        <v>0.26732089049456798</v>
      </c>
      <c r="D2129">
        <v>0.45091724312176401</v>
      </c>
      <c r="E2129">
        <v>0.41357134383363398</v>
      </c>
    </row>
    <row r="2130" spans="1:5" x14ac:dyDescent="0.2">
      <c r="A2130">
        <v>2.6748000000000001E-2</v>
      </c>
      <c r="B2130">
        <v>0.31556843068074603</v>
      </c>
      <c r="C2130">
        <v>0.26742293152537899</v>
      </c>
      <c r="D2130">
        <v>0.45104675342128397</v>
      </c>
      <c r="E2130">
        <v>0.41372220642538798</v>
      </c>
    </row>
    <row r="2131" spans="1:5" x14ac:dyDescent="0.2">
      <c r="A2131">
        <v>2.67746666666667E-2</v>
      </c>
      <c r="B2131">
        <v>0.31567455594716598</v>
      </c>
      <c r="C2131">
        <v>0.26752493305730701</v>
      </c>
      <c r="D2131">
        <v>0.45117623239107901</v>
      </c>
      <c r="E2131">
        <v>0.41387308599189998</v>
      </c>
    </row>
    <row r="2132" spans="1:5" x14ac:dyDescent="0.2">
      <c r="A2132">
        <v>2.6801333333333299E-2</v>
      </c>
      <c r="B2132">
        <v>0.31578067335902699</v>
      </c>
      <c r="C2132">
        <v>0.26762689310612198</v>
      </c>
      <c r="D2132">
        <v>0.451305680018324</v>
      </c>
      <c r="E2132">
        <v>0.41402398170307703</v>
      </c>
    </row>
    <row r="2133" spans="1:5" x14ac:dyDescent="0.2">
      <c r="A2133">
        <v>2.6828000000000001E-2</v>
      </c>
      <c r="B2133">
        <v>0.31588678198220799</v>
      </c>
      <c r="C2133">
        <v>0.267728809687592</v>
      </c>
      <c r="D2133">
        <v>0.45143509629019302</v>
      </c>
      <c r="E2133">
        <v>0.41417489272882502</v>
      </c>
    </row>
    <row r="2134" spans="1:5" x14ac:dyDescent="0.2">
      <c r="A2134">
        <v>2.68546666666667E-2</v>
      </c>
      <c r="B2134">
        <v>0.31599288088258898</v>
      </c>
      <c r="C2134">
        <v>0.26783068081748501</v>
      </c>
      <c r="D2134">
        <v>0.451564481193862</v>
      </c>
      <c r="E2134">
        <v>0.41432581823905101</v>
      </c>
    </row>
    <row r="2135" spans="1:5" x14ac:dyDescent="0.2">
      <c r="A2135">
        <v>2.6881333333333299E-2</v>
      </c>
      <c r="B2135">
        <v>0.31609896912604901</v>
      </c>
      <c r="C2135">
        <v>0.26793250451157002</v>
      </c>
      <c r="D2135">
        <v>0.45169383471650498</v>
      </c>
      <c r="E2135">
        <v>0.41447675740366102</v>
      </c>
    </row>
    <row r="2136" spans="1:5" x14ac:dyDescent="0.2">
      <c r="A2136">
        <v>2.6908000000000001E-2</v>
      </c>
      <c r="B2136">
        <v>0.31620504577846698</v>
      </c>
      <c r="C2136">
        <v>0.26803427878561398</v>
      </c>
      <c r="D2136">
        <v>0.451823156845298</v>
      </c>
      <c r="E2136">
        <v>0.41462770939256299</v>
      </c>
    </row>
    <row r="2137" spans="1:5" x14ac:dyDescent="0.2">
      <c r="A2137">
        <v>2.69346666666667E-2</v>
      </c>
      <c r="B2137">
        <v>0.31631110990572398</v>
      </c>
      <c r="C2137">
        <v>0.26813600165538698</v>
      </c>
      <c r="D2137">
        <v>0.45195244756741498</v>
      </c>
      <c r="E2137">
        <v>0.41477867337566199</v>
      </c>
    </row>
    <row r="2138" spans="1:5" x14ac:dyDescent="0.2">
      <c r="A2138">
        <v>2.6961333333333299E-2</v>
      </c>
      <c r="B2138">
        <v>0.31641716057369701</v>
      </c>
      <c r="C2138">
        <v>0.26823767113665498</v>
      </c>
      <c r="D2138">
        <v>0.45208170687003202</v>
      </c>
      <c r="E2138">
        <v>0.41492964852286501</v>
      </c>
    </row>
    <row r="2139" spans="1:5" x14ac:dyDescent="0.2">
      <c r="A2139">
        <v>2.6988000000000002E-2</v>
      </c>
      <c r="B2139">
        <v>0.31652319684826702</v>
      </c>
      <c r="C2139">
        <v>0.26833928524518902</v>
      </c>
      <c r="D2139">
        <v>0.45221093474032198</v>
      </c>
      <c r="E2139">
        <v>0.41508063400407902</v>
      </c>
    </row>
    <row r="2140" spans="1:5" x14ac:dyDescent="0.2">
      <c r="A2140">
        <v>2.7014666666666701E-2</v>
      </c>
      <c r="B2140">
        <v>0.316629217795312</v>
      </c>
      <c r="C2140">
        <v>0.26844084225519299</v>
      </c>
      <c r="D2140">
        <v>0.45234013116546201</v>
      </c>
      <c r="E2140">
        <v>0.41523162898921101</v>
      </c>
    </row>
    <row r="2141" spans="1:5" x14ac:dyDescent="0.2">
      <c r="A2141">
        <v>2.7041333333333299E-2</v>
      </c>
      <c r="B2141">
        <v>0.31673522248071301</v>
      </c>
      <c r="C2141">
        <v>0.26854234519159997</v>
      </c>
      <c r="D2141">
        <v>0.45246929613262599</v>
      </c>
      <c r="E2141">
        <v>0.41538263264816699</v>
      </c>
    </row>
    <row r="2142" spans="1:5" x14ac:dyDescent="0.2">
      <c r="A2142">
        <v>2.7067999999999998E-2</v>
      </c>
      <c r="B2142">
        <v>0.31684120997034798</v>
      </c>
      <c r="C2142">
        <v>0.26864380124872</v>
      </c>
      <c r="D2142">
        <v>0.452598429628989</v>
      </c>
      <c r="E2142">
        <v>0.41553364415085398</v>
      </c>
    </row>
    <row r="2143" spans="1:5" x14ac:dyDescent="0.2">
      <c r="A2143">
        <v>2.7094666666666701E-2</v>
      </c>
      <c r="B2143">
        <v>0.31694717933009697</v>
      </c>
      <c r="C2143">
        <v>0.268745217762415</v>
      </c>
      <c r="D2143">
        <v>0.45272753164172502</v>
      </c>
      <c r="E2143">
        <v>0.41568466266717702</v>
      </c>
    </row>
    <row r="2144" spans="1:5" x14ac:dyDescent="0.2">
      <c r="A2144">
        <v>2.7121333333333299E-2</v>
      </c>
      <c r="B2144">
        <v>0.31705312962583798</v>
      </c>
      <c r="C2144">
        <v>0.26884660206854799</v>
      </c>
      <c r="D2144">
        <v>0.45285660215801099</v>
      </c>
      <c r="E2144">
        <v>0.41583568736704501</v>
      </c>
    </row>
    <row r="2145" spans="1:5" x14ac:dyDescent="0.2">
      <c r="A2145">
        <v>2.7147999999999999E-2</v>
      </c>
      <c r="B2145">
        <v>0.317159059923453</v>
      </c>
      <c r="C2145">
        <v>0.268947961502979</v>
      </c>
      <c r="D2145">
        <v>0.45298564116501999</v>
      </c>
      <c r="E2145">
        <v>0.41598671742036297</v>
      </c>
    </row>
    <row r="2146" spans="1:5" x14ac:dyDescent="0.2">
      <c r="A2146">
        <v>2.7174666666666701E-2</v>
      </c>
      <c r="B2146">
        <v>0.31726496928881898</v>
      </c>
      <c r="C2146">
        <v>0.26904930340157002</v>
      </c>
      <c r="D2146">
        <v>0.45311464864992801</v>
      </c>
      <c r="E2146">
        <v>0.41613775199703901</v>
      </c>
    </row>
    <row r="2147" spans="1:5" x14ac:dyDescent="0.2">
      <c r="A2147">
        <v>2.72013333333333E-2</v>
      </c>
      <c r="B2147">
        <v>0.31737085678781701</v>
      </c>
      <c r="C2147">
        <v>0.269150635100183</v>
      </c>
      <c r="D2147">
        <v>0.45324362459991002</v>
      </c>
      <c r="E2147">
        <v>0.41628879026697801</v>
      </c>
    </row>
    <row r="2148" spans="1:5" x14ac:dyDescent="0.2">
      <c r="A2148">
        <v>2.7227999999999999E-2</v>
      </c>
      <c r="B2148">
        <v>0.317476721486325</v>
      </c>
      <c r="C2148">
        <v>0.26925196393467898</v>
      </c>
      <c r="D2148">
        <v>0.45337256900214101</v>
      </c>
      <c r="E2148">
        <v>0.416439831400087</v>
      </c>
    </row>
    <row r="2149" spans="1:5" x14ac:dyDescent="0.2">
      <c r="A2149">
        <v>2.7254666666666701E-2</v>
      </c>
      <c r="B2149">
        <v>0.31758256245022298</v>
      </c>
      <c r="C2149">
        <v>0.269353297240919</v>
      </c>
      <c r="D2149">
        <v>0.45350148184379402</v>
      </c>
      <c r="E2149">
        <v>0.41659087456627403</v>
      </c>
    </row>
    <row r="2150" spans="1:5" x14ac:dyDescent="0.2">
      <c r="A2150">
        <v>2.72813333333333E-2</v>
      </c>
      <c r="B2150">
        <v>0.31768837874539002</v>
      </c>
      <c r="C2150">
        <v>0.26945464235476502</v>
      </c>
      <c r="D2150">
        <v>0.45363036311204702</v>
      </c>
      <c r="E2150">
        <v>0.41674191893544299</v>
      </c>
    </row>
    <row r="2151" spans="1:5" x14ac:dyDescent="0.2">
      <c r="A2151">
        <v>2.7307999999999999E-2</v>
      </c>
      <c r="B2151">
        <v>0.317794169437705</v>
      </c>
      <c r="C2151">
        <v>0.26955600661207801</v>
      </c>
      <c r="D2151">
        <v>0.453759212794072</v>
      </c>
      <c r="E2151">
        <v>0.416892963677503</v>
      </c>
    </row>
    <row r="2152" spans="1:5" x14ac:dyDescent="0.2">
      <c r="A2152">
        <v>2.7334666666666702E-2</v>
      </c>
      <c r="B2152">
        <v>0.31789993359304902</v>
      </c>
      <c r="C2152">
        <v>0.26965739734872002</v>
      </c>
      <c r="D2152">
        <v>0.45388803087704599</v>
      </c>
      <c r="E2152">
        <v>0.41704400796236002</v>
      </c>
    </row>
    <row r="2153" spans="1:5" x14ac:dyDescent="0.2">
      <c r="A2153">
        <v>2.73613333333333E-2</v>
      </c>
      <c r="B2153">
        <v>0.31800567027729898</v>
      </c>
      <c r="C2153">
        <v>0.269758821900553</v>
      </c>
      <c r="D2153">
        <v>0.45401681734814398</v>
      </c>
      <c r="E2153">
        <v>0.41719505095991999</v>
      </c>
    </row>
    <row r="2154" spans="1:5" x14ac:dyDescent="0.2">
      <c r="A2154">
        <v>2.7387999999999999E-2</v>
      </c>
      <c r="B2154">
        <v>0.31811137855633698</v>
      </c>
      <c r="C2154">
        <v>0.269860287603438</v>
      </c>
      <c r="D2154">
        <v>0.45414557219453899</v>
      </c>
      <c r="E2154">
        <v>0.41734609184009003</v>
      </c>
    </row>
    <row r="2155" spans="1:5" x14ac:dyDescent="0.2">
      <c r="A2155">
        <v>2.7414666666666698E-2</v>
      </c>
      <c r="B2155">
        <v>0.31821705749604001</v>
      </c>
      <c r="C2155">
        <v>0.26996180179323598</v>
      </c>
      <c r="D2155">
        <v>0.45427429540340702</v>
      </c>
      <c r="E2155">
        <v>0.41749712977277598</v>
      </c>
    </row>
    <row r="2156" spans="1:5" x14ac:dyDescent="0.2">
      <c r="A2156">
        <v>2.74413333333333E-2</v>
      </c>
      <c r="B2156">
        <v>0.31832270616228803</v>
      </c>
      <c r="C2156">
        <v>0.27006337180580903</v>
      </c>
      <c r="D2156">
        <v>0.45440298696192399</v>
      </c>
      <c r="E2156">
        <v>0.41764816392788601</v>
      </c>
    </row>
    <row r="2157" spans="1:5" x14ac:dyDescent="0.2">
      <c r="A2157">
        <v>2.7467999999999999E-2</v>
      </c>
      <c r="B2157">
        <v>0.31842832362096202</v>
      </c>
      <c r="C2157">
        <v>0.27016500497701801</v>
      </c>
      <c r="D2157">
        <v>0.45453164685726299</v>
      </c>
      <c r="E2157">
        <v>0.41779919347532501</v>
      </c>
    </row>
    <row r="2158" spans="1:5" x14ac:dyDescent="0.2">
      <c r="A2158">
        <v>2.7494666666666698E-2</v>
      </c>
      <c r="B2158">
        <v>0.31853390893793898</v>
      </c>
      <c r="C2158">
        <v>0.27026670864272501</v>
      </c>
      <c r="D2158">
        <v>0.45466027507660101</v>
      </c>
      <c r="E2158">
        <v>0.417950217585001</v>
      </c>
    </row>
    <row r="2159" spans="1:5" x14ac:dyDescent="0.2">
      <c r="A2159">
        <v>2.75213333333333E-2</v>
      </c>
      <c r="B2159">
        <v>0.31863946117909903</v>
      </c>
      <c r="C2159">
        <v>0.27036849013879199</v>
      </c>
      <c r="D2159">
        <v>0.45478887160711101</v>
      </c>
      <c r="E2159">
        <v>0.41810123542681998</v>
      </c>
    </row>
    <row r="2160" spans="1:5" x14ac:dyDescent="0.2">
      <c r="A2160">
        <v>2.7548E-2</v>
      </c>
      <c r="B2160">
        <v>0.31874497941032198</v>
      </c>
      <c r="C2160">
        <v>0.270470356801079</v>
      </c>
      <c r="D2160">
        <v>0.45491743643596899</v>
      </c>
      <c r="E2160">
        <v>0.41825224617068801</v>
      </c>
    </row>
    <row r="2161" spans="1:5" x14ac:dyDescent="0.2">
      <c r="A2161">
        <v>2.7574666666666699E-2</v>
      </c>
      <c r="B2161">
        <v>0.31885046269748701</v>
      </c>
      <c r="C2161">
        <v>0.27057231596544901</v>
      </c>
      <c r="D2161">
        <v>0.45504596955034898</v>
      </c>
      <c r="E2161">
        <v>0.41840324898651199</v>
      </c>
    </row>
    <row r="2162" spans="1:5" x14ac:dyDescent="0.2">
      <c r="A2162">
        <v>2.7601333333333301E-2</v>
      </c>
      <c r="B2162">
        <v>0.31895591010647401</v>
      </c>
      <c r="C2162">
        <v>0.27067437496776298</v>
      </c>
      <c r="D2162">
        <v>0.45517447093742802</v>
      </c>
      <c r="E2162">
        <v>0.41855424304419903</v>
      </c>
    </row>
    <row r="2163" spans="1:5" x14ac:dyDescent="0.2">
      <c r="A2163">
        <v>2.7628E-2</v>
      </c>
      <c r="B2163">
        <v>0.31906132070316101</v>
      </c>
      <c r="C2163">
        <v>0.270776541143881</v>
      </c>
      <c r="D2163">
        <v>0.45530294058437798</v>
      </c>
      <c r="E2163">
        <v>0.41870522751365602</v>
      </c>
    </row>
    <row r="2164" spans="1:5" x14ac:dyDescent="0.2">
      <c r="A2164">
        <v>2.7654666666666699E-2</v>
      </c>
      <c r="B2164">
        <v>0.31916669355342803</v>
      </c>
      <c r="C2164">
        <v>0.27087882182966699</v>
      </c>
      <c r="D2164">
        <v>0.455431378478377</v>
      </c>
      <c r="E2164">
        <v>0.41885620156478798</v>
      </c>
    </row>
    <row r="2165" spans="1:5" x14ac:dyDescent="0.2">
      <c r="A2165">
        <v>2.7681333333333301E-2</v>
      </c>
      <c r="B2165">
        <v>0.31927202772315399</v>
      </c>
      <c r="C2165">
        <v>0.27098122436098099</v>
      </c>
      <c r="D2165">
        <v>0.45555978460659702</v>
      </c>
      <c r="E2165">
        <v>0.41900716436750302</v>
      </c>
    </row>
    <row r="2166" spans="1:5" x14ac:dyDescent="0.2">
      <c r="A2166">
        <v>2.7708E-2</v>
      </c>
      <c r="B2166">
        <v>0.31937732227821902</v>
      </c>
      <c r="C2166">
        <v>0.27108375607368501</v>
      </c>
      <c r="D2166">
        <v>0.45568815895621501</v>
      </c>
      <c r="E2166">
        <v>0.41915811509170697</v>
      </c>
    </row>
    <row r="2167" spans="1:5" x14ac:dyDescent="0.2">
      <c r="A2167">
        <v>2.7734666666666699E-2</v>
      </c>
      <c r="B2167">
        <v>0.31948257628450299</v>
      </c>
      <c r="C2167">
        <v>0.27118642430363998</v>
      </c>
      <c r="D2167">
        <v>0.455816501514405</v>
      </c>
      <c r="E2167">
        <v>0.41930905290730702</v>
      </c>
    </row>
    <row r="2168" spans="1:5" x14ac:dyDescent="0.2">
      <c r="A2168">
        <v>2.7761333333333301E-2</v>
      </c>
      <c r="B2168">
        <v>0.31958778880788302</v>
      </c>
      <c r="C2168">
        <v>0.27128923638670799</v>
      </c>
      <c r="D2168">
        <v>0.45594481226834199</v>
      </c>
      <c r="E2168">
        <v>0.41945997698421</v>
      </c>
    </row>
    <row r="2169" spans="1:5" x14ac:dyDescent="0.2">
      <c r="A2169">
        <v>2.7788E-2</v>
      </c>
      <c r="B2169">
        <v>0.31969295891424099</v>
      </c>
      <c r="C2169">
        <v>0.271392199658751</v>
      </c>
      <c r="D2169">
        <v>0.45607309120520201</v>
      </c>
      <c r="E2169">
        <v>0.41961088649232098</v>
      </c>
    </row>
    <row r="2170" spans="1:5" x14ac:dyDescent="0.2">
      <c r="A2170">
        <v>2.7814666666666699E-2</v>
      </c>
      <c r="B2170">
        <v>0.319798085669454</v>
      </c>
      <c r="C2170">
        <v>0.27149532145562899</v>
      </c>
      <c r="D2170">
        <v>0.45620133831215798</v>
      </c>
      <c r="E2170">
        <v>0.41976178060154801</v>
      </c>
    </row>
    <row r="2171" spans="1:5" x14ac:dyDescent="0.2">
      <c r="A2171">
        <v>2.7841333333333301E-2</v>
      </c>
      <c r="B2171">
        <v>0.319903168139403</v>
      </c>
      <c r="C2171">
        <v>0.27159860911320399</v>
      </c>
      <c r="D2171">
        <v>0.45632955357638699</v>
      </c>
      <c r="E2171">
        <v>0.41991265848179699</v>
      </c>
    </row>
    <row r="2172" spans="1:5" x14ac:dyDescent="0.2">
      <c r="A2172">
        <v>2.7868E-2</v>
      </c>
      <c r="B2172">
        <v>0.32000820538996699</v>
      </c>
      <c r="C2172">
        <v>0.27170206996733798</v>
      </c>
      <c r="D2172">
        <v>0.45645773698506198</v>
      </c>
      <c r="E2172">
        <v>0.42006351930297497</v>
      </c>
    </row>
    <row r="2173" spans="1:5" x14ac:dyDescent="0.2">
      <c r="A2173">
        <v>2.78946666666667E-2</v>
      </c>
      <c r="B2173">
        <v>0.32011319648702402</v>
      </c>
      <c r="C2173">
        <v>0.27180571135389198</v>
      </c>
      <c r="D2173">
        <v>0.45658588852535997</v>
      </c>
      <c r="E2173">
        <v>0.42021436223498798</v>
      </c>
    </row>
    <row r="2174" spans="1:5" x14ac:dyDescent="0.2">
      <c r="A2174">
        <v>2.7921333333333302E-2</v>
      </c>
      <c r="B2174">
        <v>0.32021814049645603</v>
      </c>
      <c r="C2174">
        <v>0.27190954060872802</v>
      </c>
      <c r="D2174">
        <v>0.45671400818445401</v>
      </c>
      <c r="E2174">
        <v>0.42036518644774301</v>
      </c>
    </row>
    <row r="2175" spans="1:5" x14ac:dyDescent="0.2">
      <c r="A2175">
        <v>2.7948000000000001E-2</v>
      </c>
      <c r="B2175">
        <v>0.32032303648414001</v>
      </c>
      <c r="C2175">
        <v>0.27201356506770802</v>
      </c>
      <c r="D2175">
        <v>0.45684209594951902</v>
      </c>
      <c r="E2175">
        <v>0.42051599111114701</v>
      </c>
    </row>
    <row r="2176" spans="1:5" x14ac:dyDescent="0.2">
      <c r="A2176">
        <v>2.79746666666667E-2</v>
      </c>
      <c r="B2176">
        <v>0.32042788351595602</v>
      </c>
      <c r="C2176">
        <v>0.27211779206669201</v>
      </c>
      <c r="D2176">
        <v>0.45697015180773198</v>
      </c>
      <c r="E2176">
        <v>0.420666775395106</v>
      </c>
    </row>
    <row r="2177" spans="1:5" x14ac:dyDescent="0.2">
      <c r="A2177">
        <v>2.8001333333333302E-2</v>
      </c>
      <c r="B2177">
        <v>0.32053268065797902</v>
      </c>
      <c r="C2177">
        <v>0.272222228941156</v>
      </c>
      <c r="D2177">
        <v>0.45709817574626499</v>
      </c>
      <c r="E2177">
        <v>0.42081753846952702</v>
      </c>
    </row>
    <row r="2178" spans="1:5" x14ac:dyDescent="0.2">
      <c r="A2178">
        <v>2.8028000000000001E-2</v>
      </c>
      <c r="B2178">
        <v>0.320637428786058</v>
      </c>
      <c r="C2178">
        <v>0.27232687945634398</v>
      </c>
      <c r="D2178">
        <v>0.45722616775229602</v>
      </c>
      <c r="E2178">
        <v>0.42096827950431698</v>
      </c>
    </row>
    <row r="2179" spans="1:5" x14ac:dyDescent="0.2">
      <c r="A2179">
        <v>2.80546666666667E-2</v>
      </c>
      <c r="B2179">
        <v>0.32074213500927301</v>
      </c>
      <c r="C2179">
        <v>0.27243173508088397</v>
      </c>
      <c r="D2179">
        <v>0.457354127812998</v>
      </c>
      <c r="E2179">
        <v>0.42111899766938099</v>
      </c>
    </row>
    <row r="2180" spans="1:5" x14ac:dyDescent="0.2">
      <c r="A2180">
        <v>2.8081333333333298E-2</v>
      </c>
      <c r="B2180">
        <v>0.320846807777661</v>
      </c>
      <c r="C2180">
        <v>0.27253678463803099</v>
      </c>
      <c r="D2180">
        <v>0.45748205591554603</v>
      </c>
      <c r="E2180">
        <v>0.42126969213462701</v>
      </c>
    </row>
    <row r="2181" spans="1:5" x14ac:dyDescent="0.2">
      <c r="A2181">
        <v>2.8108000000000001E-2</v>
      </c>
      <c r="B2181">
        <v>0.32095145554125998</v>
      </c>
      <c r="C2181">
        <v>0.27264201695104101</v>
      </c>
      <c r="D2181">
        <v>0.45760995204711502</v>
      </c>
      <c r="E2181">
        <v>0.42142036206996097</v>
      </c>
    </row>
    <row r="2182" spans="1:5" x14ac:dyDescent="0.2">
      <c r="A2182">
        <v>2.81346666666667E-2</v>
      </c>
      <c r="B2182">
        <v>0.321056086750106</v>
      </c>
      <c r="C2182">
        <v>0.272747420843169</v>
      </c>
      <c r="D2182">
        <v>0.45773781619488102</v>
      </c>
      <c r="E2182">
        <v>0.42157100664529001</v>
      </c>
    </row>
    <row r="2183" spans="1:5" x14ac:dyDescent="0.2">
      <c r="A2183">
        <v>2.8161333333333299E-2</v>
      </c>
      <c r="B2183">
        <v>0.321160709854238</v>
      </c>
      <c r="C2183">
        <v>0.27285298513766998</v>
      </c>
      <c r="D2183">
        <v>0.45786564834601701</v>
      </c>
      <c r="E2183">
        <v>0.42172162503052002</v>
      </c>
    </row>
    <row r="2184" spans="1:5" x14ac:dyDescent="0.2">
      <c r="A2184">
        <v>2.8188000000000001E-2</v>
      </c>
      <c r="B2184">
        <v>0.321265333303691</v>
      </c>
      <c r="C2184">
        <v>0.27295869865779798</v>
      </c>
      <c r="D2184">
        <v>0.45799344848770002</v>
      </c>
      <c r="E2184">
        <v>0.421872216395559</v>
      </c>
    </row>
    <row r="2185" spans="1:5" x14ac:dyDescent="0.2">
      <c r="A2185">
        <v>2.82146666666667E-2</v>
      </c>
      <c r="B2185">
        <v>0.321369965548504</v>
      </c>
      <c r="C2185">
        <v>0.27306455022680898</v>
      </c>
      <c r="D2185">
        <v>0.45812121660710398</v>
      </c>
      <c r="E2185">
        <v>0.42202277991031201</v>
      </c>
    </row>
    <row r="2186" spans="1:5" x14ac:dyDescent="0.2">
      <c r="A2186">
        <v>2.8241333333333299E-2</v>
      </c>
      <c r="B2186">
        <v>0.321474615038713</v>
      </c>
      <c r="C2186">
        <v>0.27317052866795799</v>
      </c>
      <c r="D2186">
        <v>0.45824895269140398</v>
      </c>
      <c r="E2186">
        <v>0.422173314744686</v>
      </c>
    </row>
    <row r="2187" spans="1:5" x14ac:dyDescent="0.2">
      <c r="A2187">
        <v>2.8268000000000001E-2</v>
      </c>
      <c r="B2187">
        <v>0.321579290224357</v>
      </c>
      <c r="C2187">
        <v>0.27327662280450099</v>
      </c>
      <c r="D2187">
        <v>0.458376656727774</v>
      </c>
      <c r="E2187">
        <v>0.42232382006858799</v>
      </c>
    </row>
    <row r="2188" spans="1:5" x14ac:dyDescent="0.2">
      <c r="A2188">
        <v>2.8294666666666701E-2</v>
      </c>
      <c r="B2188">
        <v>0.321683999555471</v>
      </c>
      <c r="C2188">
        <v>0.27338282145969101</v>
      </c>
      <c r="D2188">
        <v>0.45850432870339097</v>
      </c>
      <c r="E2188">
        <v>0.42247429505192502</v>
      </c>
    </row>
    <row r="2189" spans="1:5" x14ac:dyDescent="0.2">
      <c r="A2189">
        <v>2.8321333333333299E-2</v>
      </c>
      <c r="B2189">
        <v>0.32178875148209402</v>
      </c>
      <c r="C2189">
        <v>0.273489113456785</v>
      </c>
      <c r="D2189">
        <v>0.45863196860542799</v>
      </c>
      <c r="E2189">
        <v>0.422624738864602</v>
      </c>
    </row>
    <row r="2190" spans="1:5" x14ac:dyDescent="0.2">
      <c r="A2190">
        <v>2.8348000000000002E-2</v>
      </c>
      <c r="B2190">
        <v>0.32189355445426199</v>
      </c>
      <c r="C2190">
        <v>0.27359548761903602</v>
      </c>
      <c r="D2190">
        <v>0.45875957642106002</v>
      </c>
      <c r="E2190">
        <v>0.42277515067652799</v>
      </c>
    </row>
    <row r="2191" spans="1:5" x14ac:dyDescent="0.2">
      <c r="A2191">
        <v>2.8374666666666701E-2</v>
      </c>
      <c r="B2191">
        <v>0.32199841692201397</v>
      </c>
      <c r="C2191">
        <v>0.27370193276970201</v>
      </c>
      <c r="D2191">
        <v>0.45888715213746401</v>
      </c>
      <c r="E2191">
        <v>0.42292552965760699</v>
      </c>
    </row>
    <row r="2192" spans="1:5" x14ac:dyDescent="0.2">
      <c r="A2192">
        <v>2.8401333333333299E-2</v>
      </c>
      <c r="B2192">
        <v>0.32210334733538498</v>
      </c>
      <c r="C2192">
        <v>0.273808437732035</v>
      </c>
      <c r="D2192">
        <v>0.45901469574181297</v>
      </c>
      <c r="E2192">
        <v>0.42307587497774801</v>
      </c>
    </row>
    <row r="2193" spans="1:5" x14ac:dyDescent="0.2">
      <c r="A2193">
        <v>2.8427999999999998E-2</v>
      </c>
      <c r="B2193">
        <v>0.32220835414441301</v>
      </c>
      <c r="C2193">
        <v>0.27391499132929198</v>
      </c>
      <c r="D2193">
        <v>0.45914220722128202</v>
      </c>
      <c r="E2193">
        <v>0.423226185806855</v>
      </c>
    </row>
    <row r="2194" spans="1:5" x14ac:dyDescent="0.2">
      <c r="A2194">
        <v>2.8454666666666701E-2</v>
      </c>
      <c r="B2194">
        <v>0.32231344579913701</v>
      </c>
      <c r="C2194">
        <v>0.27402158238472801</v>
      </c>
      <c r="D2194">
        <v>0.45926968656304701</v>
      </c>
      <c r="E2194">
        <v>0.42337646131483703</v>
      </c>
    </row>
    <row r="2195" spans="1:5" x14ac:dyDescent="0.2">
      <c r="A2195">
        <v>2.84813333333333E-2</v>
      </c>
      <c r="B2195">
        <v>0.32241863074959098</v>
      </c>
      <c r="C2195">
        <v>0.27412819972159702</v>
      </c>
      <c r="D2195">
        <v>0.45939713375428098</v>
      </c>
      <c r="E2195">
        <v>0.42352670067159998</v>
      </c>
    </row>
    <row r="2196" spans="1:5" x14ac:dyDescent="0.2">
      <c r="A2196">
        <v>2.8507999999999999E-2</v>
      </c>
      <c r="B2196">
        <v>0.32252391744581499</v>
      </c>
      <c r="C2196">
        <v>0.27423483216315497</v>
      </c>
      <c r="D2196">
        <v>0.45952454878216198</v>
      </c>
      <c r="E2196">
        <v>0.42367690304705002</v>
      </c>
    </row>
    <row r="2197" spans="1:5" x14ac:dyDescent="0.2">
      <c r="A2197">
        <v>2.8534666666666701E-2</v>
      </c>
      <c r="B2197">
        <v>0.32262931433784497</v>
      </c>
      <c r="C2197">
        <v>0.27434146853265701</v>
      </c>
      <c r="D2197">
        <v>0.45965193163386198</v>
      </c>
      <c r="E2197">
        <v>0.42382706761109301</v>
      </c>
    </row>
    <row r="2198" spans="1:5" x14ac:dyDescent="0.2">
      <c r="A2198">
        <v>2.85613333333333E-2</v>
      </c>
      <c r="B2198">
        <v>0.322734829875719</v>
      </c>
      <c r="C2198">
        <v>0.27444809765335698</v>
      </c>
      <c r="D2198">
        <v>0.45977928229655701</v>
      </c>
      <c r="E2198">
        <v>0.423977193533638</v>
      </c>
    </row>
    <row r="2199" spans="1:5" x14ac:dyDescent="0.2">
      <c r="A2199">
        <v>2.8587999999999999E-2</v>
      </c>
      <c r="B2199">
        <v>0.32284047250947301</v>
      </c>
      <c r="C2199">
        <v>0.27455470834851098</v>
      </c>
      <c r="D2199">
        <v>0.45990660075742301</v>
      </c>
      <c r="E2199">
        <v>0.42412727998458899</v>
      </c>
    </row>
    <row r="2200" spans="1:5" x14ac:dyDescent="0.2">
      <c r="A2200">
        <v>2.8614666666666701E-2</v>
      </c>
      <c r="B2200">
        <v>0.32294625068914601</v>
      </c>
      <c r="C2200">
        <v>0.27466128944137502</v>
      </c>
      <c r="D2200">
        <v>0.46003388700363301</v>
      </c>
      <c r="E2200">
        <v>0.42427732613385399</v>
      </c>
    </row>
    <row r="2201" spans="1:5" x14ac:dyDescent="0.2">
      <c r="A2201">
        <v>2.86413333333333E-2</v>
      </c>
      <c r="B2201">
        <v>0.323052172864773</v>
      </c>
      <c r="C2201">
        <v>0.27476782975520198</v>
      </c>
      <c r="D2201">
        <v>0.460161141022363</v>
      </c>
      <c r="E2201">
        <v>0.42442733115133902</v>
      </c>
    </row>
    <row r="2202" spans="1:5" x14ac:dyDescent="0.2">
      <c r="A2202">
        <v>2.8667999999999999E-2</v>
      </c>
      <c r="B2202">
        <v>0.32315824748639299</v>
      </c>
      <c r="C2202">
        <v>0.27487431811324903</v>
      </c>
      <c r="D2202">
        <v>0.460288362800788</v>
      </c>
      <c r="E2202">
        <v>0.42457729420695101</v>
      </c>
    </row>
    <row r="2203" spans="1:5" x14ac:dyDescent="0.2">
      <c r="A2203">
        <v>2.8694666666666702E-2</v>
      </c>
      <c r="B2203">
        <v>0.32326448300404298</v>
      </c>
      <c r="C2203">
        <v>0.27498074333876998</v>
      </c>
      <c r="D2203">
        <v>0.460415552326083</v>
      </c>
      <c r="E2203">
        <v>0.42472721447059703</v>
      </c>
    </row>
    <row r="2204" spans="1:5" x14ac:dyDescent="0.2">
      <c r="A2204">
        <v>2.87213333333333E-2</v>
      </c>
      <c r="B2204">
        <v>0.32337088786775903</v>
      </c>
      <c r="C2204">
        <v>0.27508709425501998</v>
      </c>
      <c r="D2204">
        <v>0.46054270958542298</v>
      </c>
      <c r="E2204">
        <v>0.42487709111218303</v>
      </c>
    </row>
    <row r="2205" spans="1:5" x14ac:dyDescent="0.2">
      <c r="A2205">
        <v>2.8747999999999999E-2</v>
      </c>
      <c r="B2205">
        <v>0.32347747052758002</v>
      </c>
      <c r="C2205">
        <v>0.27519335968525399</v>
      </c>
      <c r="D2205">
        <v>0.46066983456598198</v>
      </c>
      <c r="E2205">
        <v>0.42502692330161501</v>
      </c>
    </row>
    <row r="2206" spans="1:5" x14ac:dyDescent="0.2">
      <c r="A2206">
        <v>2.8774666666666698E-2</v>
      </c>
      <c r="B2206">
        <v>0.32358423943354198</v>
      </c>
      <c r="C2206">
        <v>0.27529952845272798</v>
      </c>
      <c r="D2206">
        <v>0.46079692725493498</v>
      </c>
      <c r="E2206">
        <v>0.42517671020880099</v>
      </c>
    </row>
    <row r="2207" spans="1:5" x14ac:dyDescent="0.2">
      <c r="A2207">
        <v>2.88013333333333E-2</v>
      </c>
      <c r="B2207">
        <v>0.323691203035683</v>
      </c>
      <c r="C2207">
        <v>0.27540558938069598</v>
      </c>
      <c r="D2207">
        <v>0.46092398763945802</v>
      </c>
      <c r="E2207">
        <v>0.42532645100364602</v>
      </c>
    </row>
    <row r="2208" spans="1:5" x14ac:dyDescent="0.2">
      <c r="A2208">
        <v>2.8827999999999999E-2</v>
      </c>
      <c r="B2208">
        <v>0.32379836978403898</v>
      </c>
      <c r="C2208">
        <v>0.27551153129241401</v>
      </c>
      <c r="D2208">
        <v>0.46105101570672602</v>
      </c>
      <c r="E2208">
        <v>0.425476144856058</v>
      </c>
    </row>
    <row r="2209" spans="1:5" x14ac:dyDescent="0.2">
      <c r="A2209">
        <v>2.8854666666666699E-2</v>
      </c>
      <c r="B2209">
        <v>0.32390574812864897</v>
      </c>
      <c r="C2209">
        <v>0.27561734301113699</v>
      </c>
      <c r="D2209">
        <v>0.46117801144391302</v>
      </c>
      <c r="E2209">
        <v>0.42562579093594399</v>
      </c>
    </row>
    <row r="2210" spans="1:5" x14ac:dyDescent="0.2">
      <c r="A2210">
        <v>2.8881333333333301E-2</v>
      </c>
      <c r="B2210">
        <v>0.32401334651954899</v>
      </c>
      <c r="C2210">
        <v>0.27572301336011901</v>
      </c>
      <c r="D2210">
        <v>0.46130497483819399</v>
      </c>
      <c r="E2210">
        <v>0.425775388413208</v>
      </c>
    </row>
    <row r="2211" spans="1:5" x14ac:dyDescent="0.2">
      <c r="A2211">
        <v>2.8908E-2</v>
      </c>
      <c r="B2211">
        <v>0.32412117340677699</v>
      </c>
      <c r="C2211">
        <v>0.27582853116261602</v>
      </c>
      <c r="D2211">
        <v>0.46143190587674399</v>
      </c>
      <c r="E2211">
        <v>0.42592493645775997</v>
      </c>
    </row>
    <row r="2212" spans="1:5" x14ac:dyDescent="0.2">
      <c r="A2212">
        <v>2.8934666666666699E-2</v>
      </c>
      <c r="B2212">
        <v>0.32422923724036901</v>
      </c>
      <c r="C2212">
        <v>0.275933885241883</v>
      </c>
      <c r="D2212">
        <v>0.46155880454673798</v>
      </c>
      <c r="E2212">
        <v>0.42607443423950397</v>
      </c>
    </row>
    <row r="2213" spans="1:5" x14ac:dyDescent="0.2">
      <c r="A2213">
        <v>2.8961333333333301E-2</v>
      </c>
      <c r="B2213">
        <v>0.324337546470364</v>
      </c>
      <c r="C2213">
        <v>0.27603906442117498</v>
      </c>
      <c r="D2213">
        <v>0.461685670835351</v>
      </c>
      <c r="E2213">
        <v>0.42622388092834801</v>
      </c>
    </row>
    <row r="2214" spans="1:5" x14ac:dyDescent="0.2">
      <c r="A2214">
        <v>2.8988E-2</v>
      </c>
      <c r="B2214">
        <v>0.32444610954679698</v>
      </c>
      <c r="C2214">
        <v>0.27614405752374699</v>
      </c>
      <c r="D2214">
        <v>0.46181250472975899</v>
      </c>
      <c r="E2214">
        <v>0.42637327569419697</v>
      </c>
    </row>
    <row r="2215" spans="1:5" x14ac:dyDescent="0.2">
      <c r="A2215">
        <v>2.9014666666666699E-2</v>
      </c>
      <c r="B2215">
        <v>0.32455493373911798</v>
      </c>
      <c r="C2215">
        <v>0.27624885337285399</v>
      </c>
      <c r="D2215">
        <v>0.46193930621713503</v>
      </c>
      <c r="E2215">
        <v>0.42652261770695998</v>
      </c>
    </row>
    <row r="2216" spans="1:5" x14ac:dyDescent="0.2">
      <c r="A2216">
        <v>2.9041333333333301E-2</v>
      </c>
      <c r="B2216">
        <v>0.32466400461468498</v>
      </c>
      <c r="C2216">
        <v>0.276353440791751</v>
      </c>
      <c r="D2216">
        <v>0.46206607528465499</v>
      </c>
      <c r="E2216">
        <v>0.42667190613654199</v>
      </c>
    </row>
    <row r="2217" spans="1:5" x14ac:dyDescent="0.2">
      <c r="A2217">
        <v>2.9068E-2</v>
      </c>
      <c r="B2217">
        <v>0.32477328869442901</v>
      </c>
      <c r="C2217">
        <v>0.27645780860369301</v>
      </c>
      <c r="D2217">
        <v>0.46219281191949402</v>
      </c>
      <c r="E2217">
        <v>0.42682114015285</v>
      </c>
    </row>
    <row r="2218" spans="1:5" x14ac:dyDescent="0.2">
      <c r="A2218">
        <v>2.9094666666666699E-2</v>
      </c>
      <c r="B2218">
        <v>0.32488275185266202</v>
      </c>
      <c r="C2218">
        <v>0.27656194563193598</v>
      </c>
      <c r="D2218">
        <v>0.46231951610882599</v>
      </c>
      <c r="E2218">
        <v>0.42697031892579002</v>
      </c>
    </row>
    <row r="2219" spans="1:5" x14ac:dyDescent="0.2">
      <c r="A2219">
        <v>2.9121333333333301E-2</v>
      </c>
      <c r="B2219">
        <v>0.32499235996369602</v>
      </c>
      <c r="C2219">
        <v>0.27666584069973399</v>
      </c>
      <c r="D2219">
        <v>0.46244618783982699</v>
      </c>
      <c r="E2219">
        <v>0.42711944162526999</v>
      </c>
    </row>
    <row r="2220" spans="1:5" x14ac:dyDescent="0.2">
      <c r="A2220">
        <v>2.9148E-2</v>
      </c>
      <c r="B2220">
        <v>0.325102078901844</v>
      </c>
      <c r="C2220">
        <v>0.27676948263034201</v>
      </c>
      <c r="D2220">
        <v>0.46257282709967201</v>
      </c>
      <c r="E2220">
        <v>0.42726850742119499</v>
      </c>
    </row>
    <row r="2221" spans="1:5" x14ac:dyDescent="0.2">
      <c r="A2221">
        <v>2.9174666666666699E-2</v>
      </c>
      <c r="B2221">
        <v>0.32521187454141698</v>
      </c>
      <c r="C2221">
        <v>0.27687286024701602</v>
      </c>
      <c r="D2221">
        <v>0.46269943387553503</v>
      </c>
      <c r="E2221">
        <v>0.42741751548347201</v>
      </c>
    </row>
    <row r="2222" spans="1:5" x14ac:dyDescent="0.2">
      <c r="A2222">
        <v>2.9201333333333301E-2</v>
      </c>
      <c r="B2222">
        <v>0.325321712756728</v>
      </c>
      <c r="C2222">
        <v>0.27697596237301098</v>
      </c>
      <c r="D2222">
        <v>0.46282600815459202</v>
      </c>
      <c r="E2222">
        <v>0.42756646498200901</v>
      </c>
    </row>
    <row r="2223" spans="1:5" x14ac:dyDescent="0.2">
      <c r="A2223">
        <v>2.9228000000000001E-2</v>
      </c>
      <c r="B2223">
        <v>0.32543155942208801</v>
      </c>
      <c r="C2223">
        <v>0.27707877783158102</v>
      </c>
      <c r="D2223">
        <v>0.46295254992401702</v>
      </c>
      <c r="E2223">
        <v>0.42771535508671099</v>
      </c>
    </row>
    <row r="2224" spans="1:5" x14ac:dyDescent="0.2">
      <c r="A2224">
        <v>2.92546666666667E-2</v>
      </c>
      <c r="B2224">
        <v>0.32554138041180902</v>
      </c>
      <c r="C2224">
        <v>0.27718129544598202</v>
      </c>
      <c r="D2224">
        <v>0.46307905917098502</v>
      </c>
      <c r="E2224">
        <v>0.42786418496748502</v>
      </c>
    </row>
    <row r="2225" spans="1:5" x14ac:dyDescent="0.2">
      <c r="A2225">
        <v>2.9281333333333302E-2</v>
      </c>
      <c r="B2225">
        <v>0.32565114160020497</v>
      </c>
      <c r="C2225">
        <v>0.277283504039469</v>
      </c>
      <c r="D2225">
        <v>0.46320553588267099</v>
      </c>
      <c r="E2225">
        <v>0.42801295379423798</v>
      </c>
    </row>
    <row r="2226" spans="1:5" x14ac:dyDescent="0.2">
      <c r="A2226">
        <v>2.9308000000000001E-2</v>
      </c>
      <c r="B2226">
        <v>0.32576080886158598</v>
      </c>
      <c r="C2226">
        <v>0.27738539243529697</v>
      </c>
      <c r="D2226">
        <v>0.46333198004625098</v>
      </c>
      <c r="E2226">
        <v>0.428161660736877</v>
      </c>
    </row>
    <row r="2227" spans="1:5" x14ac:dyDescent="0.2">
      <c r="A2227">
        <v>2.93346666666667E-2</v>
      </c>
      <c r="B2227">
        <v>0.32587034807026499</v>
      </c>
      <c r="C2227">
        <v>0.27748694945671998</v>
      </c>
      <c r="D2227">
        <v>0.46345839164889802</v>
      </c>
      <c r="E2227">
        <v>0.42831030496530698</v>
      </c>
    </row>
    <row r="2228" spans="1:5" x14ac:dyDescent="0.2">
      <c r="A2228">
        <v>2.9361333333333298E-2</v>
      </c>
      <c r="B2228">
        <v>0.32597972510055401</v>
      </c>
      <c r="C2228">
        <v>0.27758816392699498</v>
      </c>
      <c r="D2228">
        <v>0.46358477067778903</v>
      </c>
      <c r="E2228">
        <v>0.42845888564943602</v>
      </c>
    </row>
    <row r="2229" spans="1:5" x14ac:dyDescent="0.2">
      <c r="A2229">
        <v>2.9388000000000001E-2</v>
      </c>
      <c r="B2229">
        <v>0.32608890582676597</v>
      </c>
      <c r="C2229">
        <v>0.27768902466937601</v>
      </c>
      <c r="D2229">
        <v>0.46371111712009699</v>
      </c>
      <c r="E2229">
        <v>0.42860740195917002</v>
      </c>
    </row>
    <row r="2230" spans="1:5" x14ac:dyDescent="0.2">
      <c r="A2230">
        <v>2.94146666666667E-2</v>
      </c>
      <c r="B2230">
        <v>0.32619785612321101</v>
      </c>
      <c r="C2230">
        <v>0.27778952050711803</v>
      </c>
      <c r="D2230">
        <v>0.46383743096299901</v>
      </c>
      <c r="E2230">
        <v>0.42875585306441599</v>
      </c>
    </row>
    <row r="2231" spans="1:5" x14ac:dyDescent="0.2">
      <c r="A2231">
        <v>2.9441333333333299E-2</v>
      </c>
      <c r="B2231">
        <v>0.32630654186420299</v>
      </c>
      <c r="C2231">
        <v>0.27788964026347601</v>
      </c>
      <c r="D2231">
        <v>0.463963712193668</v>
      </c>
      <c r="E2231">
        <v>0.42890423813508</v>
      </c>
    </row>
    <row r="2232" spans="1:5" x14ac:dyDescent="0.2">
      <c r="A2232">
        <v>2.9468000000000001E-2</v>
      </c>
      <c r="B2232">
        <v>0.32641492892405299</v>
      </c>
      <c r="C2232">
        <v>0.27798937276170499</v>
      </c>
      <c r="D2232">
        <v>0.46408996079928</v>
      </c>
      <c r="E2232">
        <v>0.42905255634106998</v>
      </c>
    </row>
    <row r="2233" spans="1:5" x14ac:dyDescent="0.2">
      <c r="A2233">
        <v>2.94946666666667E-2</v>
      </c>
      <c r="B2233">
        <v>0.32652298317707401</v>
      </c>
      <c r="C2233">
        <v>0.27808870682506098</v>
      </c>
      <c r="D2233">
        <v>0.46421617676700899</v>
      </c>
      <c r="E2233">
        <v>0.42920080685229001</v>
      </c>
    </row>
    <row r="2234" spans="1:5" x14ac:dyDescent="0.2">
      <c r="A2234">
        <v>2.9521333333333299E-2</v>
      </c>
      <c r="B2234">
        <v>0.32663067049757699</v>
      </c>
      <c r="C2234">
        <v>0.27818763127679902</v>
      </c>
      <c r="D2234">
        <v>0.46434236008403101</v>
      </c>
      <c r="E2234">
        <v>0.42934898883865003</v>
      </c>
    </row>
    <row r="2235" spans="1:5" x14ac:dyDescent="0.2">
      <c r="A2235">
        <v>2.9548000000000001E-2</v>
      </c>
      <c r="B2235">
        <v>0.32673795675987499</v>
      </c>
      <c r="C2235">
        <v>0.27828613494017301</v>
      </c>
      <c r="D2235">
        <v>0.46446851073752099</v>
      </c>
      <c r="E2235">
        <v>0.42949710147005299</v>
      </c>
    </row>
    <row r="2236" spans="1:5" x14ac:dyDescent="0.2">
      <c r="A2236">
        <v>2.95746666666667E-2</v>
      </c>
      <c r="B2236">
        <v>0.32684480783827902</v>
      </c>
      <c r="C2236">
        <v>0.27838420663843799</v>
      </c>
      <c r="D2236">
        <v>0.46459462871465301</v>
      </c>
      <c r="E2236">
        <v>0.42964514391640901</v>
      </c>
    </row>
    <row r="2237" spans="1:5" x14ac:dyDescent="0.2">
      <c r="A2237">
        <v>2.9601333333333299E-2</v>
      </c>
      <c r="B2237">
        <v>0.32695118960710301</v>
      </c>
      <c r="C2237">
        <v>0.27848183519484998</v>
      </c>
      <c r="D2237">
        <v>0.46472071400260201</v>
      </c>
      <c r="E2237">
        <v>0.42979311534762199</v>
      </c>
    </row>
    <row r="2238" spans="1:5" x14ac:dyDescent="0.2">
      <c r="A2238">
        <v>2.9628000000000002E-2</v>
      </c>
      <c r="B2238">
        <v>0.32705706794065698</v>
      </c>
      <c r="C2238">
        <v>0.278579009432664</v>
      </c>
      <c r="D2238">
        <v>0.46484676658854301</v>
      </c>
      <c r="E2238">
        <v>0.42994101493359999</v>
      </c>
    </row>
    <row r="2239" spans="1:5" x14ac:dyDescent="0.2">
      <c r="A2239">
        <v>2.9654666666666701E-2</v>
      </c>
      <c r="B2239">
        <v>0.32716240871325403</v>
      </c>
      <c r="C2239">
        <v>0.27867571817513498</v>
      </c>
      <c r="D2239">
        <v>0.46497278645965201</v>
      </c>
      <c r="E2239">
        <v>0.430088841844249</v>
      </c>
    </row>
    <row r="2240" spans="1:5" x14ac:dyDescent="0.2">
      <c r="A2240">
        <v>2.9681333333333299E-2</v>
      </c>
      <c r="B2240">
        <v>0.327267177799206</v>
      </c>
      <c r="C2240">
        <v>0.27877195024551799</v>
      </c>
      <c r="D2240">
        <v>0.46509877360310298</v>
      </c>
      <c r="E2240">
        <v>0.43023659524947599</v>
      </c>
    </row>
    <row r="2241" spans="1:5" x14ac:dyDescent="0.2">
      <c r="A2241">
        <v>2.9707999999999998E-2</v>
      </c>
      <c r="B2241">
        <v>0.32737134107282601</v>
      </c>
      <c r="C2241">
        <v>0.278867694467067</v>
      </c>
      <c r="D2241">
        <v>0.46522472800607101</v>
      </c>
      <c r="E2241">
        <v>0.43038427431918702</v>
      </c>
    </row>
    <row r="2242" spans="1:5" x14ac:dyDescent="0.2">
      <c r="A2242">
        <v>2.9734666666666701E-2</v>
      </c>
      <c r="B2242">
        <v>0.32747486440842499</v>
      </c>
      <c r="C2242">
        <v>0.27896293966303898</v>
      </c>
      <c r="D2242">
        <v>0.46535064965573097</v>
      </c>
      <c r="E2242">
        <v>0.43053187822328898</v>
      </c>
    </row>
    <row r="2243" spans="1:5" x14ac:dyDescent="0.2">
      <c r="A2243">
        <v>2.9761333333333299E-2</v>
      </c>
      <c r="B2243">
        <v>0.32757771368031502</v>
      </c>
      <c r="C2243">
        <v>0.27905767465668802</v>
      </c>
      <c r="D2243">
        <v>0.46547653853925902</v>
      </c>
      <c r="E2243">
        <v>0.43067940613168898</v>
      </c>
    </row>
    <row r="2244" spans="1:5" x14ac:dyDescent="0.2">
      <c r="A2244">
        <v>2.9787999999999999E-2</v>
      </c>
      <c r="B2244">
        <v>0.32767985476280898</v>
      </c>
      <c r="C2244">
        <v>0.27915188827126902</v>
      </c>
      <c r="D2244">
        <v>0.46560239464382702</v>
      </c>
      <c r="E2244">
        <v>0.43082685721429298</v>
      </c>
    </row>
    <row r="2245" spans="1:5" x14ac:dyDescent="0.2">
      <c r="A2245">
        <v>2.9814666666666701E-2</v>
      </c>
      <c r="B2245">
        <v>0.32778125353021798</v>
      </c>
      <c r="C2245">
        <v>0.27924556933003802</v>
      </c>
      <c r="D2245">
        <v>0.46572821795661301</v>
      </c>
      <c r="E2245">
        <v>0.43097423064100798</v>
      </c>
    </row>
    <row r="2246" spans="1:5" x14ac:dyDescent="0.2">
      <c r="A2246">
        <v>2.98413333333333E-2</v>
      </c>
      <c r="B2246">
        <v>0.32788187585685502</v>
      </c>
      <c r="C2246">
        <v>0.27933870665624799</v>
      </c>
      <c r="D2246">
        <v>0.46585400846479103</v>
      </c>
      <c r="E2246">
        <v>0.43112152558173999</v>
      </c>
    </row>
    <row r="2247" spans="1:5" x14ac:dyDescent="0.2">
      <c r="A2247">
        <v>2.9867999999999999E-2</v>
      </c>
      <c r="B2247">
        <v>0.327981687617032</v>
      </c>
      <c r="C2247">
        <v>0.27943128907315601</v>
      </c>
      <c r="D2247">
        <v>0.46597976615553499</v>
      </c>
      <c r="E2247">
        <v>0.43126874120639702</v>
      </c>
    </row>
    <row r="2248" spans="1:5" x14ac:dyDescent="0.2">
      <c r="A2248">
        <v>2.9894666666666701E-2</v>
      </c>
      <c r="B2248">
        <v>0.32808065468505998</v>
      </c>
      <c r="C2248">
        <v>0.27952330540401699</v>
      </c>
      <c r="D2248">
        <v>0.46610549101602</v>
      </c>
      <c r="E2248">
        <v>0.43141587668488401</v>
      </c>
    </row>
    <row r="2249" spans="1:5" x14ac:dyDescent="0.2">
      <c r="A2249">
        <v>2.99213333333333E-2</v>
      </c>
      <c r="B2249">
        <v>0.32817874293525201</v>
      </c>
      <c r="C2249">
        <v>0.27961474447208501</v>
      </c>
      <c r="D2249">
        <v>0.46623118303342298</v>
      </c>
      <c r="E2249">
        <v>0.43156293118710798</v>
      </c>
    </row>
    <row r="2250" spans="1:5" x14ac:dyDescent="0.2">
      <c r="A2250">
        <v>2.9947999999999999E-2</v>
      </c>
      <c r="B2250">
        <v>0.32827591824192098</v>
      </c>
      <c r="C2250">
        <v>0.27970559510061599</v>
      </c>
      <c r="D2250">
        <v>0.46635684219491602</v>
      </c>
      <c r="E2250">
        <v>0.43170990388297598</v>
      </c>
    </row>
    <row r="2251" spans="1:5" x14ac:dyDescent="0.2">
      <c r="A2251">
        <v>2.9974666666666702E-2</v>
      </c>
      <c r="B2251">
        <v>0.32837214647937701</v>
      </c>
      <c r="C2251">
        <v>0.27979584611286401</v>
      </c>
      <c r="D2251">
        <v>0.46648246848767599</v>
      </c>
      <c r="E2251">
        <v>0.43185679394239501</v>
      </c>
    </row>
    <row r="2252" spans="1:5" x14ac:dyDescent="0.2">
      <c r="A2252">
        <v>3.00013333333333E-2</v>
      </c>
      <c r="B2252">
        <v>0.32846739352335402</v>
      </c>
      <c r="C2252">
        <v>0.27988548633271698</v>
      </c>
      <c r="D2252">
        <v>0.46660806189887799</v>
      </c>
      <c r="E2252">
        <v>0.43200360053527098</v>
      </c>
    </row>
    <row r="2253" spans="1:5" x14ac:dyDescent="0.2">
      <c r="A2253">
        <v>3.0027999999999999E-2</v>
      </c>
      <c r="B2253">
        <v>0.328561638397939</v>
      </c>
      <c r="C2253">
        <v>0.27997451042521998</v>
      </c>
      <c r="D2253">
        <v>0.46673362241569499</v>
      </c>
      <c r="E2253">
        <v>0.43215032283151</v>
      </c>
    </row>
    <row r="2254" spans="1:5" x14ac:dyDescent="0.2">
      <c r="A2254">
        <v>3.0054666666666702E-2</v>
      </c>
      <c r="B2254">
        <v>0.32865490541283798</v>
      </c>
      <c r="C2254">
        <v>0.280062933173575</v>
      </c>
      <c r="D2254">
        <v>0.46685915002530398</v>
      </c>
      <c r="E2254">
        <v>0.43229696000101903</v>
      </c>
    </row>
    <row r="2255" spans="1:5" x14ac:dyDescent="0.2">
      <c r="A2255">
        <v>3.00813333333333E-2</v>
      </c>
      <c r="B2255">
        <v>0.32874722862007</v>
      </c>
      <c r="C2255">
        <v>0.28015077368900598</v>
      </c>
      <c r="D2255">
        <v>0.46698464471487899</v>
      </c>
      <c r="E2255">
        <v>0.432443511213706</v>
      </c>
    </row>
    <row r="2256" spans="1:5" x14ac:dyDescent="0.2">
      <c r="A2256">
        <v>3.0107999999999999E-2</v>
      </c>
      <c r="B2256">
        <v>0.32883864207165298</v>
      </c>
      <c r="C2256">
        <v>0.28023805108273903</v>
      </c>
      <c r="D2256">
        <v>0.46711010647159501</v>
      </c>
      <c r="E2256">
        <v>0.43258997563947599</v>
      </c>
    </row>
    <row r="2257" spans="1:5" x14ac:dyDescent="0.2">
      <c r="A2257">
        <v>3.0134666666666698E-2</v>
      </c>
      <c r="B2257">
        <v>0.32892917981960201</v>
      </c>
      <c r="C2257">
        <v>0.28032478446599901</v>
      </c>
      <c r="D2257">
        <v>0.46723553528262701</v>
      </c>
      <c r="E2257">
        <v>0.43273635244823599</v>
      </c>
    </row>
    <row r="2258" spans="1:5" x14ac:dyDescent="0.2">
      <c r="A2258">
        <v>3.01613333333333E-2</v>
      </c>
      <c r="B2258">
        <v>0.32901887591593698</v>
      </c>
      <c r="C2258">
        <v>0.28041099295001098</v>
      </c>
      <c r="D2258">
        <v>0.46736093113514998</v>
      </c>
      <c r="E2258">
        <v>0.43288264080989203</v>
      </c>
    </row>
    <row r="2259" spans="1:5" x14ac:dyDescent="0.2">
      <c r="A2259">
        <v>3.0188E-2</v>
      </c>
      <c r="B2259">
        <v>0.32910776441267497</v>
      </c>
      <c r="C2259">
        <v>0.28049669564599999</v>
      </c>
      <c r="D2259">
        <v>0.46748629401633801</v>
      </c>
      <c r="E2259">
        <v>0.43302883989435198</v>
      </c>
    </row>
    <row r="2260" spans="1:5" x14ac:dyDescent="0.2">
      <c r="A2260">
        <v>3.0214666666666699E-2</v>
      </c>
      <c r="B2260">
        <v>0.32919587936183298</v>
      </c>
      <c r="C2260">
        <v>0.28058191166519098</v>
      </c>
      <c r="D2260">
        <v>0.46761162391336802</v>
      </c>
      <c r="E2260">
        <v>0.43317494887152203</v>
      </c>
    </row>
    <row r="2261" spans="1:5" x14ac:dyDescent="0.2">
      <c r="A2261">
        <v>3.0241333333333301E-2</v>
      </c>
      <c r="B2261">
        <v>0.32928325481542797</v>
      </c>
      <c r="C2261">
        <v>0.28066666011880897</v>
      </c>
      <c r="D2261">
        <v>0.467736920813413</v>
      </c>
      <c r="E2261">
        <v>0.433320966911308</v>
      </c>
    </row>
    <row r="2262" spans="1:5" x14ac:dyDescent="0.2">
      <c r="A2262">
        <v>3.0268E-2</v>
      </c>
      <c r="B2262">
        <v>0.329369924825478</v>
      </c>
      <c r="C2262">
        <v>0.28075096011807998</v>
      </c>
      <c r="D2262">
        <v>0.46786218470364799</v>
      </c>
      <c r="E2262">
        <v>0.43346689318361697</v>
      </c>
    </row>
    <row r="2263" spans="1:5" x14ac:dyDescent="0.2">
      <c r="A2263">
        <v>3.0294666666666699E-2</v>
      </c>
      <c r="B2263">
        <v>0.32945592344400099</v>
      </c>
      <c r="C2263">
        <v>0.28083483077422799</v>
      </c>
      <c r="D2263">
        <v>0.46798741557125001</v>
      </c>
      <c r="E2263">
        <v>0.433612726858356</v>
      </c>
    </row>
    <row r="2264" spans="1:5" x14ac:dyDescent="0.2">
      <c r="A2264">
        <v>3.0321333333333301E-2</v>
      </c>
      <c r="B2264">
        <v>0.32954128472301503</v>
      </c>
      <c r="C2264">
        <v>0.280918291198479</v>
      </c>
      <c r="D2264">
        <v>0.468112613403391</v>
      </c>
      <c r="E2264">
        <v>0.43375846710543198</v>
      </c>
    </row>
    <row r="2265" spans="1:5" x14ac:dyDescent="0.2">
      <c r="A2265">
        <v>3.0348E-2</v>
      </c>
      <c r="B2265">
        <v>0.32962604271453599</v>
      </c>
      <c r="C2265">
        <v>0.28100136050205698</v>
      </c>
      <c r="D2265">
        <v>0.46823777818724799</v>
      </c>
      <c r="E2265">
        <v>0.43390411309475002</v>
      </c>
    </row>
    <row r="2266" spans="1:5" x14ac:dyDescent="0.2">
      <c r="A2266">
        <v>3.0374666666666699E-2</v>
      </c>
      <c r="B2266">
        <v>0.32971023147058198</v>
      </c>
      <c r="C2266">
        <v>0.281084057796188</v>
      </c>
      <c r="D2266">
        <v>0.46836290990999602</v>
      </c>
      <c r="E2266">
        <v>0.43404966399621803</v>
      </c>
    </row>
    <row r="2267" spans="1:5" x14ac:dyDescent="0.2">
      <c r="A2267">
        <v>3.0401333333333301E-2</v>
      </c>
      <c r="B2267">
        <v>0.32979388504317098</v>
      </c>
      <c r="C2267">
        <v>0.28116640219209699</v>
      </c>
      <c r="D2267">
        <v>0.46848800855880801</v>
      </c>
      <c r="E2267">
        <v>0.434195118979741</v>
      </c>
    </row>
    <row r="2268" spans="1:5" x14ac:dyDescent="0.2">
      <c r="A2268">
        <v>3.0428E-2</v>
      </c>
      <c r="B2268">
        <v>0.32987703748432001</v>
      </c>
      <c r="C2268">
        <v>0.28124841280100998</v>
      </c>
      <c r="D2268">
        <v>0.46861307412086101</v>
      </c>
      <c r="E2268">
        <v>0.434340477215228</v>
      </c>
    </row>
    <row r="2269" spans="1:5" x14ac:dyDescent="0.2">
      <c r="A2269">
        <v>3.0454666666666699E-2</v>
      </c>
      <c r="B2269">
        <v>0.32995972284604702</v>
      </c>
      <c r="C2269">
        <v>0.28133010873414999</v>
      </c>
      <c r="D2269">
        <v>0.46873810658332898</v>
      </c>
      <c r="E2269">
        <v>0.43448573787258399</v>
      </c>
    </row>
    <row r="2270" spans="1:5" x14ac:dyDescent="0.2">
      <c r="A2270">
        <v>3.0481333333333301E-2</v>
      </c>
      <c r="B2270">
        <v>0.33004197518036898</v>
      </c>
      <c r="C2270">
        <v>0.28141150910274298</v>
      </c>
      <c r="D2270">
        <v>0.46886310593338698</v>
      </c>
      <c r="E2270">
        <v>0.43463090012171501</v>
      </c>
    </row>
    <row r="2271" spans="1:5" x14ac:dyDescent="0.2">
      <c r="A2271">
        <v>3.0508E-2</v>
      </c>
      <c r="B2271">
        <v>0.330123828539304</v>
      </c>
      <c r="C2271">
        <v>0.28149263301801503</v>
      </c>
      <c r="D2271">
        <v>0.46898807215820998</v>
      </c>
      <c r="E2271">
        <v>0.43477596313252898</v>
      </c>
    </row>
    <row r="2272" spans="1:5" x14ac:dyDescent="0.2">
      <c r="A2272">
        <v>3.05346666666667E-2</v>
      </c>
      <c r="B2272">
        <v>0.33020531697486899</v>
      </c>
      <c r="C2272">
        <v>0.28157349959119099</v>
      </c>
      <c r="D2272">
        <v>0.46911300524497301</v>
      </c>
      <c r="E2272">
        <v>0.43492092607493299</v>
      </c>
    </row>
    <row r="2273" spans="1:5" x14ac:dyDescent="0.2">
      <c r="A2273">
        <v>3.0561333333333301E-2</v>
      </c>
      <c r="B2273">
        <v>0.330286474539082</v>
      </c>
      <c r="C2273">
        <v>0.28165412793349498</v>
      </c>
      <c r="D2273">
        <v>0.46923790518085101</v>
      </c>
      <c r="E2273">
        <v>0.43506578811883201</v>
      </c>
    </row>
    <row r="2274" spans="1:5" x14ac:dyDescent="0.2">
      <c r="A2274">
        <v>3.0588000000000001E-2</v>
      </c>
      <c r="B2274">
        <v>0.33036733528396101</v>
      </c>
      <c r="C2274">
        <v>0.28173453715615299</v>
      </c>
      <c r="D2274">
        <v>0.46936277195301901</v>
      </c>
      <c r="E2274">
        <v>0.43521054843413298</v>
      </c>
    </row>
    <row r="2275" spans="1:5" x14ac:dyDescent="0.2">
      <c r="A2275">
        <v>3.06146666666667E-2</v>
      </c>
      <c r="B2275">
        <v>0.330447933261522</v>
      </c>
      <c r="C2275">
        <v>0.281814746370389</v>
      </c>
      <c r="D2275">
        <v>0.46948760554865099</v>
      </c>
      <c r="E2275">
        <v>0.43535520619074303</v>
      </c>
    </row>
    <row r="2276" spans="1:5" x14ac:dyDescent="0.2">
      <c r="A2276">
        <v>3.0641333333333302E-2</v>
      </c>
      <c r="B2276">
        <v>0.33052830252378301</v>
      </c>
      <c r="C2276">
        <v>0.28189477468743002</v>
      </c>
      <c r="D2276">
        <v>0.46961240595492298</v>
      </c>
      <c r="E2276">
        <v>0.43549976055856898</v>
      </c>
    </row>
    <row r="2277" spans="1:5" x14ac:dyDescent="0.2">
      <c r="A2277">
        <v>3.0668000000000001E-2</v>
      </c>
      <c r="B2277">
        <v>0.33060847712276298</v>
      </c>
      <c r="C2277">
        <v>0.28197464121849902</v>
      </c>
      <c r="D2277">
        <v>0.46973717315900998</v>
      </c>
      <c r="E2277">
        <v>0.43564421070751702</v>
      </c>
    </row>
    <row r="2278" spans="1:5" x14ac:dyDescent="0.2">
      <c r="A2278">
        <v>3.06946666666667E-2</v>
      </c>
      <c r="B2278">
        <v>0.33068849111047699</v>
      </c>
      <c r="C2278">
        <v>0.28205436507482301</v>
      </c>
      <c r="D2278">
        <v>0.46986190714808601</v>
      </c>
      <c r="E2278">
        <v>0.43578855580749398</v>
      </c>
    </row>
    <row r="2279" spans="1:5" x14ac:dyDescent="0.2">
      <c r="A2279">
        <v>3.0721333333333298E-2</v>
      </c>
      <c r="B2279">
        <v>0.33076837853894497</v>
      </c>
      <c r="C2279">
        <v>0.28213396536762603</v>
      </c>
      <c r="D2279">
        <v>0.469986607909326</v>
      </c>
      <c r="E2279">
        <v>0.43593279502840598</v>
      </c>
    </row>
    <row r="2280" spans="1:5" x14ac:dyDescent="0.2">
      <c r="A2280">
        <v>3.0748000000000001E-2</v>
      </c>
      <c r="B2280">
        <v>0.33084817346018303</v>
      </c>
      <c r="C2280">
        <v>0.28221346120813301</v>
      </c>
      <c r="D2280">
        <v>0.47011127542990599</v>
      </c>
      <c r="E2280">
        <v>0.43607692754015998</v>
      </c>
    </row>
    <row r="2281" spans="1:5" x14ac:dyDescent="0.2">
      <c r="A2281">
        <v>3.07746666666667E-2</v>
      </c>
      <c r="B2281">
        <v>0.33092790992620902</v>
      </c>
      <c r="C2281">
        <v>0.28229287170757</v>
      </c>
      <c r="D2281">
        <v>0.47023590969700002</v>
      </c>
      <c r="E2281">
        <v>0.43622095251266202</v>
      </c>
    </row>
    <row r="2282" spans="1:5" x14ac:dyDescent="0.2">
      <c r="A2282">
        <v>3.0801333333333299E-2</v>
      </c>
      <c r="B2282">
        <v>0.33100762198903999</v>
      </c>
      <c r="C2282">
        <v>0.282372215977162</v>
      </c>
      <c r="D2282">
        <v>0.47036051069778301</v>
      </c>
      <c r="E2282">
        <v>0.43636486911582001</v>
      </c>
    </row>
    <row r="2283" spans="1:5" x14ac:dyDescent="0.2">
      <c r="A2283">
        <v>3.0828000000000001E-2</v>
      </c>
      <c r="B2283">
        <v>0.33108734370069398</v>
      </c>
      <c r="C2283">
        <v>0.28245151312813299</v>
      </c>
      <c r="D2283">
        <v>0.47048507841943099</v>
      </c>
      <c r="E2283">
        <v>0.43650867651953901</v>
      </c>
    </row>
    <row r="2284" spans="1:5" x14ac:dyDescent="0.2">
      <c r="A2284">
        <v>3.08546666666667E-2</v>
      </c>
      <c r="B2284">
        <v>0.33116710911318897</v>
      </c>
      <c r="C2284">
        <v>0.28253078227170902</v>
      </c>
      <c r="D2284">
        <v>0.47060961284911701</v>
      </c>
      <c r="E2284">
        <v>0.43665237389372702</v>
      </c>
    </row>
    <row r="2285" spans="1:5" x14ac:dyDescent="0.2">
      <c r="A2285">
        <v>3.0881333333333299E-2</v>
      </c>
      <c r="B2285">
        <v>0.33124695227854101</v>
      </c>
      <c r="C2285">
        <v>0.28261004251911498</v>
      </c>
      <c r="D2285">
        <v>0.47073411397401799</v>
      </c>
      <c r="E2285">
        <v>0.43679596040829</v>
      </c>
    </row>
    <row r="2286" spans="1:5" x14ac:dyDescent="0.2">
      <c r="A2286">
        <v>3.0908000000000001E-2</v>
      </c>
      <c r="B2286">
        <v>0.33132690724876901</v>
      </c>
      <c r="C2286">
        <v>0.28268931298157601</v>
      </c>
      <c r="D2286">
        <v>0.47085858178130702</v>
      </c>
      <c r="E2286">
        <v>0.436939435233134</v>
      </c>
    </row>
    <row r="2287" spans="1:5" x14ac:dyDescent="0.2">
      <c r="A2287">
        <v>3.0934666666666701E-2</v>
      </c>
      <c r="B2287">
        <v>0.33140700807589002</v>
      </c>
      <c r="C2287">
        <v>0.28276861277031701</v>
      </c>
      <c r="D2287">
        <v>0.47098301625816003</v>
      </c>
      <c r="E2287">
        <v>0.43708279753816598</v>
      </c>
    </row>
    <row r="2288" spans="1:5" x14ac:dyDescent="0.2">
      <c r="A2288">
        <v>3.0961333333333299E-2</v>
      </c>
      <c r="B2288">
        <v>0.33148728881192202</v>
      </c>
      <c r="C2288">
        <v>0.28284796099656301</v>
      </c>
      <c r="D2288">
        <v>0.47110741739175199</v>
      </c>
      <c r="E2288">
        <v>0.437226046493293</v>
      </c>
    </row>
    <row r="2289" spans="1:5" x14ac:dyDescent="0.2">
      <c r="A2289">
        <v>3.0988000000000002E-2</v>
      </c>
      <c r="B2289">
        <v>0.331567783508881</v>
      </c>
      <c r="C2289">
        <v>0.28292737677154001</v>
      </c>
      <c r="D2289">
        <v>0.47123178516925801</v>
      </c>
      <c r="E2289">
        <v>0.437369181268422</v>
      </c>
    </row>
    <row r="2290" spans="1:5" x14ac:dyDescent="0.2">
      <c r="A2290">
        <v>3.1014666666666701E-2</v>
      </c>
      <c r="B2290">
        <v>0.331648525050454</v>
      </c>
      <c r="C2290">
        <v>0.28300687864149698</v>
      </c>
      <c r="D2290">
        <v>0.47135611957785301</v>
      </c>
      <c r="E2290">
        <v>0.437512201033459</v>
      </c>
    </row>
    <row r="2291" spans="1:5" x14ac:dyDescent="0.2">
      <c r="A2291">
        <v>3.1041333333333299E-2</v>
      </c>
      <c r="B2291">
        <v>0.33172952484354701</v>
      </c>
      <c r="C2291">
        <v>0.283086474767067</v>
      </c>
      <c r="D2291">
        <v>0.47148042060471101</v>
      </c>
      <c r="E2291">
        <v>0.43765510495831</v>
      </c>
    </row>
    <row r="2292" spans="1:5" x14ac:dyDescent="0.2">
      <c r="A2292">
        <v>3.1067999999999998E-2</v>
      </c>
      <c r="B2292">
        <v>0.33181077544638199</v>
      </c>
      <c r="C2292">
        <v>0.28316616419414298</v>
      </c>
      <c r="D2292">
        <v>0.47160468823700702</v>
      </c>
      <c r="E2292">
        <v>0.43779789221288201</v>
      </c>
    </row>
    <row r="2293" spans="1:5" x14ac:dyDescent="0.2">
      <c r="A2293">
        <v>3.1094666666666701E-2</v>
      </c>
      <c r="B2293">
        <v>0.33189226877727201</v>
      </c>
      <c r="C2293">
        <v>0.28324594565917599</v>
      </c>
      <c r="D2293">
        <v>0.471728922461917</v>
      </c>
      <c r="E2293">
        <v>0.43794056196708198</v>
      </c>
    </row>
    <row r="2294" spans="1:5" x14ac:dyDescent="0.2">
      <c r="A2294">
        <v>3.1121333333333299E-2</v>
      </c>
      <c r="B2294">
        <v>0.33197399675453398</v>
      </c>
      <c r="C2294">
        <v>0.28332581789861799</v>
      </c>
      <c r="D2294">
        <v>0.47185312326661599</v>
      </c>
      <c r="E2294">
        <v>0.43808311339081601</v>
      </c>
    </row>
    <row r="2295" spans="1:5" x14ac:dyDescent="0.2">
      <c r="A2295">
        <v>3.1147999999999999E-2</v>
      </c>
      <c r="B2295">
        <v>0.33205595129648002</v>
      </c>
      <c r="C2295">
        <v>0.28340577964892</v>
      </c>
      <c r="D2295">
        <v>0.47197729063827798</v>
      </c>
      <c r="E2295">
        <v>0.43822554565399202</v>
      </c>
    </row>
    <row r="2296" spans="1:5" x14ac:dyDescent="0.2">
      <c r="A2296">
        <v>3.1174666666666701E-2</v>
      </c>
      <c r="B2296">
        <v>0.33213812432142797</v>
      </c>
      <c r="C2296">
        <v>0.28348582964653302</v>
      </c>
      <c r="D2296">
        <v>0.472101424564078</v>
      </c>
      <c r="E2296">
        <v>0.438367857926515</v>
      </c>
    </row>
    <row r="2297" spans="1:5" x14ac:dyDescent="0.2">
      <c r="A2297">
        <v>3.12013333333333E-2</v>
      </c>
      <c r="B2297">
        <v>0.33222050774769002</v>
      </c>
      <c r="C2297">
        <v>0.28356596662790801</v>
      </c>
      <c r="D2297">
        <v>0.47222552503119097</v>
      </c>
      <c r="E2297">
        <v>0.43851004937829202</v>
      </c>
    </row>
    <row r="2298" spans="1:5" x14ac:dyDescent="0.2">
      <c r="A2298">
        <v>3.1227999999999999E-2</v>
      </c>
      <c r="B2298">
        <v>0.332303093493581</v>
      </c>
      <c r="C2298">
        <v>0.28364618932949698</v>
      </c>
      <c r="D2298">
        <v>0.472349592026792</v>
      </c>
      <c r="E2298">
        <v>0.43865211917923003</v>
      </c>
    </row>
    <row r="2299" spans="1:5" x14ac:dyDescent="0.2">
      <c r="A2299">
        <v>3.1254666666666701E-2</v>
      </c>
      <c r="B2299">
        <v>0.33238587347741799</v>
      </c>
      <c r="C2299">
        <v>0.28372649648775</v>
      </c>
      <c r="D2299">
        <v>0.472473625538056</v>
      </c>
      <c r="E2299">
        <v>0.43879406649923502</v>
      </c>
    </row>
    <row r="2300" spans="1:5" x14ac:dyDescent="0.2">
      <c r="A2300">
        <v>3.12813333333333E-2</v>
      </c>
      <c r="B2300">
        <v>0.332468839617513</v>
      </c>
      <c r="C2300">
        <v>0.28380688683911898</v>
      </c>
      <c r="D2300">
        <v>0.47259762555215901</v>
      </c>
      <c r="E2300">
        <v>0.43893589050821502</v>
      </c>
    </row>
    <row r="2301" spans="1:5" x14ac:dyDescent="0.2">
      <c r="A2301">
        <v>3.1308000000000002E-2</v>
      </c>
      <c r="B2301">
        <v>0.33255198383218298</v>
      </c>
      <c r="C2301">
        <v>0.28388735912005397</v>
      </c>
      <c r="D2301">
        <v>0.47272159205627401</v>
      </c>
      <c r="E2301">
        <v>0.43907759037607502</v>
      </c>
    </row>
    <row r="2302" spans="1:5" x14ac:dyDescent="0.2">
      <c r="A2302">
        <v>3.1334666666666698E-2</v>
      </c>
      <c r="B2302">
        <v>0.33263529803974101</v>
      </c>
      <c r="C2302">
        <v>0.283967912067009</v>
      </c>
      <c r="D2302">
        <v>0.47284552503757699</v>
      </c>
      <c r="E2302">
        <v>0.43921916527272198</v>
      </c>
    </row>
    <row r="2303" spans="1:5" x14ac:dyDescent="0.2">
      <c r="A2303">
        <v>3.1361333333333297E-2</v>
      </c>
      <c r="B2303">
        <v>0.33271877415850298</v>
      </c>
      <c r="C2303">
        <v>0.28404854441643201</v>
      </c>
      <c r="D2303">
        <v>0.47296942448324197</v>
      </c>
      <c r="E2303">
        <v>0.43936061436806301</v>
      </c>
    </row>
    <row r="2304" spans="1:5" x14ac:dyDescent="0.2">
      <c r="A2304">
        <v>3.1387999999999999E-2</v>
      </c>
      <c r="B2304">
        <v>0.33280240410678302</v>
      </c>
      <c r="C2304">
        <v>0.28412925490477697</v>
      </c>
      <c r="D2304">
        <v>0.47309329038044601</v>
      </c>
      <c r="E2304">
        <v>0.439501936832005</v>
      </c>
    </row>
    <row r="2305" spans="1:5" x14ac:dyDescent="0.2">
      <c r="A2305">
        <v>3.1414666666666702E-2</v>
      </c>
      <c r="B2305">
        <v>0.33288617980289598</v>
      </c>
      <c r="C2305">
        <v>0.284210042268493</v>
      </c>
      <c r="D2305">
        <v>0.47321712271636202</v>
      </c>
      <c r="E2305">
        <v>0.43964313183445303</v>
      </c>
    </row>
    <row r="2306" spans="1:5" x14ac:dyDescent="0.2">
      <c r="A2306">
        <v>3.14413333333333E-2</v>
      </c>
      <c r="B2306">
        <v>0.33297009316515602</v>
      </c>
      <c r="C2306">
        <v>0.284290905244032</v>
      </c>
      <c r="D2306">
        <v>0.47334092147816498</v>
      </c>
      <c r="E2306">
        <v>0.43978419854531497</v>
      </c>
    </row>
    <row r="2307" spans="1:5" x14ac:dyDescent="0.2">
      <c r="A2307">
        <v>3.1468000000000003E-2</v>
      </c>
      <c r="B2307">
        <v>0.33305413611188001</v>
      </c>
      <c r="C2307">
        <v>0.28437184256784498</v>
      </c>
      <c r="D2307">
        <v>0.47346468665303099</v>
      </c>
      <c r="E2307">
        <v>0.43992513613449802</v>
      </c>
    </row>
    <row r="2308" spans="1:5" x14ac:dyDescent="0.2">
      <c r="A2308">
        <v>3.1494666666666699E-2</v>
      </c>
      <c r="B2308">
        <v>0.33313830056138</v>
      </c>
      <c r="C2308">
        <v>0.28445285297638401</v>
      </c>
      <c r="D2308">
        <v>0.47358841822813502</v>
      </c>
      <c r="E2308">
        <v>0.440065943771907</v>
      </c>
    </row>
    <row r="2309" spans="1:5" x14ac:dyDescent="0.2">
      <c r="A2309">
        <v>3.1521333333333297E-2</v>
      </c>
      <c r="B2309">
        <v>0.33322257843197201</v>
      </c>
      <c r="C2309">
        <v>0.28453393520609999</v>
      </c>
      <c r="D2309">
        <v>0.47371211619065001</v>
      </c>
      <c r="E2309">
        <v>0.44020662062744897</v>
      </c>
    </row>
    <row r="2310" spans="1:5" x14ac:dyDescent="0.2">
      <c r="A2310">
        <v>3.1548E-2</v>
      </c>
      <c r="B2310">
        <v>0.33330696164197099</v>
      </c>
      <c r="C2310">
        <v>0.28461508799344298</v>
      </c>
      <c r="D2310">
        <v>0.47383578052775299</v>
      </c>
      <c r="E2310">
        <v>0.44034716587103201</v>
      </c>
    </row>
    <row r="2311" spans="1:5" x14ac:dyDescent="0.2">
      <c r="A2311">
        <v>3.1574666666666702E-2</v>
      </c>
      <c r="B2311">
        <v>0.33339144210969202</v>
      </c>
      <c r="C2311">
        <v>0.28469631007486601</v>
      </c>
      <c r="D2311">
        <v>0.473959411226618</v>
      </c>
      <c r="E2311">
        <v>0.440487578672561</v>
      </c>
    </row>
    <row r="2312" spans="1:5" x14ac:dyDescent="0.2">
      <c r="A2312">
        <v>3.1601333333333301E-2</v>
      </c>
      <c r="B2312">
        <v>0.33347601175344899</v>
      </c>
      <c r="C2312">
        <v>0.28477760018681902</v>
      </c>
      <c r="D2312">
        <v>0.47408300827442101</v>
      </c>
      <c r="E2312">
        <v>0.440627858201944</v>
      </c>
    </row>
    <row r="2313" spans="1:5" x14ac:dyDescent="0.2">
      <c r="A2313">
        <v>3.1628000000000003E-2</v>
      </c>
      <c r="B2313">
        <v>0.33356066249155603</v>
      </c>
      <c r="C2313">
        <v>0.28485895706575398</v>
      </c>
      <c r="D2313">
        <v>0.47420657165833502</v>
      </c>
      <c r="E2313">
        <v>0.44076800362908602</v>
      </c>
    </row>
    <row r="2314" spans="1:5" x14ac:dyDescent="0.2">
      <c r="A2314">
        <v>3.1654666666666699E-2</v>
      </c>
      <c r="B2314">
        <v>0.33364538624232998</v>
      </c>
      <c r="C2314">
        <v>0.28494037944812101</v>
      </c>
      <c r="D2314">
        <v>0.47433010136553599</v>
      </c>
      <c r="E2314">
        <v>0.44090801412389502</v>
      </c>
    </row>
    <row r="2315" spans="1:5" x14ac:dyDescent="0.2">
      <c r="A2315">
        <v>3.1681333333333297E-2</v>
      </c>
      <c r="B2315">
        <v>0.33373017492408302</v>
      </c>
      <c r="C2315">
        <v>0.285021866070372</v>
      </c>
      <c r="D2315">
        <v>0.47445359738319898</v>
      </c>
      <c r="E2315">
        <v>0.44104788885627699</v>
      </c>
    </row>
    <row r="2316" spans="1:5" x14ac:dyDescent="0.2">
      <c r="A2316">
        <v>3.1708E-2</v>
      </c>
      <c r="B2316">
        <v>0.33381502045513201</v>
      </c>
      <c r="C2316">
        <v>0.28510341566895803</v>
      </c>
      <c r="D2316">
        <v>0.4745770596985</v>
      </c>
      <c r="E2316">
        <v>0.441187626996138</v>
      </c>
    </row>
    <row r="2317" spans="1:5" x14ac:dyDescent="0.2">
      <c r="A2317">
        <v>3.1734666666666703E-2</v>
      </c>
      <c r="B2317">
        <v>0.33389991475379099</v>
      </c>
      <c r="C2317">
        <v>0.28518502698033099</v>
      </c>
      <c r="D2317">
        <v>0.474700488298611</v>
      </c>
      <c r="E2317">
        <v>0.44132722771338601</v>
      </c>
    </row>
    <row r="2318" spans="1:5" x14ac:dyDescent="0.2">
      <c r="A2318">
        <v>3.1761333333333301E-2</v>
      </c>
      <c r="B2318">
        <v>0.333984849738375</v>
      </c>
      <c r="C2318">
        <v>0.28526669874094102</v>
      </c>
      <c r="D2318">
        <v>0.47482388317071</v>
      </c>
      <c r="E2318">
        <v>0.441466690177927</v>
      </c>
    </row>
    <row r="2319" spans="1:5" x14ac:dyDescent="0.2">
      <c r="A2319">
        <v>3.1787999999999997E-2</v>
      </c>
      <c r="B2319">
        <v>0.33406981732719798</v>
      </c>
      <c r="C2319">
        <v>0.28534842968724</v>
      </c>
      <c r="D2319">
        <v>0.47494724430197</v>
      </c>
      <c r="E2319">
        <v>0.441606013559667</v>
      </c>
    </row>
    <row r="2320" spans="1:5" x14ac:dyDescent="0.2">
      <c r="A2320">
        <v>3.1814666666666699E-2</v>
      </c>
      <c r="B2320">
        <v>0.33415480943857601</v>
      </c>
      <c r="C2320">
        <v>0.28543021855567902</v>
      </c>
      <c r="D2320">
        <v>0.47507057167956701</v>
      </c>
      <c r="E2320">
        <v>0.441745197028513</v>
      </c>
    </row>
    <row r="2321" spans="1:5" x14ac:dyDescent="0.2">
      <c r="A2321">
        <v>3.1841333333333298E-2</v>
      </c>
      <c r="B2321">
        <v>0.33423981799082197</v>
      </c>
      <c r="C2321">
        <v>0.28551206408270902</v>
      </c>
      <c r="D2321">
        <v>0.47519386529067498</v>
      </c>
      <c r="E2321">
        <v>0.44188423975437202</v>
      </c>
    </row>
    <row r="2322" spans="1:5" x14ac:dyDescent="0.2">
      <c r="A2322">
        <v>3.1868E-2</v>
      </c>
      <c r="B2322">
        <v>0.33432483490225201</v>
      </c>
      <c r="C2322">
        <v>0.28559396500478101</v>
      </c>
      <c r="D2322">
        <v>0.47531712512246999</v>
      </c>
      <c r="E2322">
        <v>0.44202314090715</v>
      </c>
    </row>
    <row r="2323" spans="1:5" x14ac:dyDescent="0.2">
      <c r="A2323">
        <v>3.1894666666666703E-2</v>
      </c>
      <c r="B2323">
        <v>0.33440985209118002</v>
      </c>
      <c r="C2323">
        <v>0.28567592005834702</v>
      </c>
      <c r="D2323">
        <v>0.47544035116212602</v>
      </c>
      <c r="E2323">
        <v>0.44216189965675401</v>
      </c>
    </row>
    <row r="2324" spans="1:5" x14ac:dyDescent="0.2">
      <c r="A2324">
        <v>3.1921333333333302E-2</v>
      </c>
      <c r="B2324">
        <v>0.334494861475922</v>
      </c>
      <c r="C2324">
        <v>0.285757927979858</v>
      </c>
      <c r="D2324">
        <v>0.475563543396818</v>
      </c>
      <c r="E2324">
        <v>0.44230051517309099</v>
      </c>
    </row>
    <row r="2325" spans="1:5" x14ac:dyDescent="0.2">
      <c r="A2325">
        <v>3.1947999999999997E-2</v>
      </c>
      <c r="B2325">
        <v>0.33457985497479098</v>
      </c>
      <c r="C2325">
        <v>0.285839987505765</v>
      </c>
      <c r="D2325">
        <v>0.47568670181372102</v>
      </c>
      <c r="E2325">
        <v>0.44243898662606601</v>
      </c>
    </row>
    <row r="2326" spans="1:5" x14ac:dyDescent="0.2">
      <c r="A2326">
        <v>3.19746666666667E-2</v>
      </c>
      <c r="B2326">
        <v>0.33466482450610302</v>
      </c>
      <c r="C2326">
        <v>0.285922097372519</v>
      </c>
      <c r="D2326">
        <v>0.47580982640001102</v>
      </c>
      <c r="E2326">
        <v>0.44257731318558802</v>
      </c>
    </row>
    <row r="2327" spans="1:5" x14ac:dyDescent="0.2">
      <c r="A2327">
        <v>3.2001333333333298E-2</v>
      </c>
      <c r="B2327">
        <v>0.33474976198834899</v>
      </c>
      <c r="C2327">
        <v>0.286004256316571</v>
      </c>
      <c r="D2327">
        <v>0.47593291714286201</v>
      </c>
      <c r="E2327">
        <v>0.44271549402156102</v>
      </c>
    </row>
    <row r="2328" spans="1:5" x14ac:dyDescent="0.2">
      <c r="A2328">
        <v>3.2028000000000001E-2</v>
      </c>
      <c r="B2328">
        <v>0.33483466096686498</v>
      </c>
      <c r="C2328">
        <v>0.28608646307437302</v>
      </c>
      <c r="D2328">
        <v>0.47605597402944799</v>
      </c>
      <c r="E2328">
        <v>0.44285352830389402</v>
      </c>
    </row>
    <row r="2329" spans="1:5" x14ac:dyDescent="0.2">
      <c r="A2329">
        <v>3.2054666666666697E-2</v>
      </c>
      <c r="B2329">
        <v>0.33491952059018298</v>
      </c>
      <c r="C2329">
        <v>0.28616871638237601</v>
      </c>
      <c r="D2329">
        <v>0.476178997046946</v>
      </c>
      <c r="E2329">
        <v>0.44299141520249202</v>
      </c>
    </row>
    <row r="2330" spans="1:5" x14ac:dyDescent="0.2">
      <c r="A2330">
        <v>3.2081333333333302E-2</v>
      </c>
      <c r="B2330">
        <v>0.33500434121225298</v>
      </c>
      <c r="C2330">
        <v>0.28625101497703098</v>
      </c>
      <c r="D2330">
        <v>0.476301986182529</v>
      </c>
      <c r="E2330">
        <v>0.44312915388726198</v>
      </c>
    </row>
    <row r="2331" spans="1:5" x14ac:dyDescent="0.2">
      <c r="A2331">
        <v>3.2107999999999998E-2</v>
      </c>
      <c r="B2331">
        <v>0.335089123187022</v>
      </c>
      <c r="C2331">
        <v>0.28633335759478901</v>
      </c>
      <c r="D2331">
        <v>0.47642494142337399</v>
      </c>
      <c r="E2331">
        <v>0.44326674352811002</v>
      </c>
    </row>
    <row r="2332" spans="1:5" x14ac:dyDescent="0.2">
      <c r="A2332">
        <v>3.21346666666667E-2</v>
      </c>
      <c r="B2332">
        <v>0.33517386686843897</v>
      </c>
      <c r="C2332">
        <v>0.28641574297210098</v>
      </c>
      <c r="D2332">
        <v>0.47654786275665401</v>
      </c>
      <c r="E2332">
        <v>0.44340418329494402</v>
      </c>
    </row>
    <row r="2333" spans="1:5" x14ac:dyDescent="0.2">
      <c r="A2333">
        <v>3.2161333333333299E-2</v>
      </c>
      <c r="B2333">
        <v>0.335258572610452</v>
      </c>
      <c r="C2333">
        <v>0.28649816984541998</v>
      </c>
      <c r="D2333">
        <v>0.47667075016954402</v>
      </c>
      <c r="E2333">
        <v>0.44354147235767</v>
      </c>
    </row>
    <row r="2334" spans="1:5" x14ac:dyDescent="0.2">
      <c r="A2334">
        <v>3.2188000000000001E-2</v>
      </c>
      <c r="B2334">
        <v>0.335343240767011</v>
      </c>
      <c r="C2334">
        <v>0.28658063695119501</v>
      </c>
      <c r="D2334">
        <v>0.47679360364922102</v>
      </c>
      <c r="E2334">
        <v>0.44367860988619501</v>
      </c>
    </row>
    <row r="2335" spans="1:5" x14ac:dyDescent="0.2">
      <c r="A2335">
        <v>3.2214666666666697E-2</v>
      </c>
      <c r="B2335">
        <v>0.33542787169206301</v>
      </c>
      <c r="C2335">
        <v>0.28666314302587798</v>
      </c>
      <c r="D2335">
        <v>0.47691642318285699</v>
      </c>
      <c r="E2335">
        <v>0.443815595050425</v>
      </c>
    </row>
    <row r="2336" spans="1:5" x14ac:dyDescent="0.2">
      <c r="A2336">
        <v>3.2241333333333302E-2</v>
      </c>
      <c r="B2336">
        <v>0.33551246573955801</v>
      </c>
      <c r="C2336">
        <v>0.28674568680592</v>
      </c>
      <c r="D2336">
        <v>0.47703920875762901</v>
      </c>
      <c r="E2336">
        <v>0.44395242702026599</v>
      </c>
    </row>
    <row r="2337" spans="1:5" x14ac:dyDescent="0.2">
      <c r="A2337">
        <v>3.2267999999999998E-2</v>
      </c>
      <c r="B2337">
        <v>0.33559702326344298</v>
      </c>
      <c r="C2337">
        <v>0.28682826702777298</v>
      </c>
      <c r="D2337">
        <v>0.47716196036071201</v>
      </c>
      <c r="E2337">
        <v>0.44408910496562598</v>
      </c>
    </row>
    <row r="2338" spans="1:5" x14ac:dyDescent="0.2">
      <c r="A2338">
        <v>3.2294666666666701E-2</v>
      </c>
      <c r="B2338">
        <v>0.33568154461766803</v>
      </c>
      <c r="C2338">
        <v>0.28691088242788798</v>
      </c>
      <c r="D2338">
        <v>0.47728467797927998</v>
      </c>
      <c r="E2338">
        <v>0.44422562805641003</v>
      </c>
    </row>
    <row r="2339" spans="1:5" x14ac:dyDescent="0.2">
      <c r="A2339">
        <v>3.2321333333333299E-2</v>
      </c>
      <c r="B2339">
        <v>0.33576603015618001</v>
      </c>
      <c r="C2339">
        <v>0.28699353174271502</v>
      </c>
      <c r="D2339">
        <v>0.47740736160050801</v>
      </c>
      <c r="E2339">
        <v>0.44436199546252603</v>
      </c>
    </row>
    <row r="2340" spans="1:5" x14ac:dyDescent="0.2">
      <c r="A2340">
        <v>3.2348000000000002E-2</v>
      </c>
      <c r="B2340">
        <v>0.33585048023292802</v>
      </c>
      <c r="C2340">
        <v>0.28707621370870701</v>
      </c>
      <c r="D2340">
        <v>0.47753001121157101</v>
      </c>
      <c r="E2340">
        <v>0.44449820635387999</v>
      </c>
    </row>
    <row r="2341" spans="1:5" x14ac:dyDescent="0.2">
      <c r="A2341">
        <v>3.2374666666666697E-2</v>
      </c>
      <c r="B2341">
        <v>0.33593489520186198</v>
      </c>
      <c r="C2341">
        <v>0.287158927062314</v>
      </c>
      <c r="D2341">
        <v>0.47765262679964499</v>
      </c>
      <c r="E2341">
        <v>0.44463425990037903</v>
      </c>
    </row>
    <row r="2342" spans="1:5" x14ac:dyDescent="0.2">
      <c r="A2342">
        <v>3.2401333333333303E-2</v>
      </c>
      <c r="B2342">
        <v>0.336019275416929</v>
      </c>
      <c r="C2342">
        <v>0.287241670539987</v>
      </c>
      <c r="D2342">
        <v>0.47777520835190301</v>
      </c>
      <c r="E2342">
        <v>0.44477015527192998</v>
      </c>
    </row>
    <row r="2343" spans="1:5" x14ac:dyDescent="0.2">
      <c r="A2343">
        <v>3.2427999999999998E-2</v>
      </c>
      <c r="B2343">
        <v>0.33610362123207699</v>
      </c>
      <c r="C2343">
        <v>0.28732444287817799</v>
      </c>
      <c r="D2343">
        <v>0.47789775585552102</v>
      </c>
      <c r="E2343">
        <v>0.44490589163843802</v>
      </c>
    </row>
    <row r="2344" spans="1:5" x14ac:dyDescent="0.2">
      <c r="A2344">
        <v>3.2454666666666701E-2</v>
      </c>
      <c r="B2344">
        <v>0.33618793300125599</v>
      </c>
      <c r="C2344">
        <v>0.28740724281333802</v>
      </c>
      <c r="D2344">
        <v>0.47802026929767399</v>
      </c>
      <c r="E2344">
        <v>0.44504146816981099</v>
      </c>
    </row>
    <row r="2345" spans="1:5" x14ac:dyDescent="0.2">
      <c r="A2345">
        <v>3.24813333333333E-2</v>
      </c>
      <c r="B2345">
        <v>0.33627221107841498</v>
      </c>
      <c r="C2345">
        <v>0.28749006908191799</v>
      </c>
      <c r="D2345">
        <v>0.47814274866553702</v>
      </c>
      <c r="E2345">
        <v>0.44517688403595501</v>
      </c>
    </row>
    <row r="2346" spans="1:5" x14ac:dyDescent="0.2">
      <c r="A2346">
        <v>3.2508000000000002E-2</v>
      </c>
      <c r="B2346">
        <v>0.33635645581750101</v>
      </c>
      <c r="C2346">
        <v>0.28757292042037003</v>
      </c>
      <c r="D2346">
        <v>0.47826519394628503</v>
      </c>
      <c r="E2346">
        <v>0.44531213840677702</v>
      </c>
    </row>
    <row r="2347" spans="1:5" x14ac:dyDescent="0.2">
      <c r="A2347">
        <v>3.2534666666666698E-2</v>
      </c>
      <c r="B2347">
        <v>0.33644066757246199</v>
      </c>
      <c r="C2347">
        <v>0.28765579556514398</v>
      </c>
      <c r="D2347">
        <v>0.478387605127093</v>
      </c>
      <c r="E2347">
        <v>0.44544723045218299</v>
      </c>
    </row>
    <row r="2348" spans="1:5" x14ac:dyDescent="0.2">
      <c r="A2348">
        <v>3.2561333333333303E-2</v>
      </c>
      <c r="B2348">
        <v>0.33652484669724902</v>
      </c>
      <c r="C2348">
        <v>0.28773869325269202</v>
      </c>
      <c r="D2348">
        <v>0.47850998219513502</v>
      </c>
      <c r="E2348">
        <v>0.44558215934208001</v>
      </c>
    </row>
    <row r="2349" spans="1:5" x14ac:dyDescent="0.2">
      <c r="A2349">
        <v>3.2587999999999999E-2</v>
      </c>
      <c r="B2349">
        <v>0.33660899354580898</v>
      </c>
      <c r="C2349">
        <v>0.28782161221946501</v>
      </c>
      <c r="D2349">
        <v>0.47863232513758602</v>
      </c>
      <c r="E2349">
        <v>0.44571692424637399</v>
      </c>
    </row>
    <row r="2350" spans="1:5" x14ac:dyDescent="0.2">
      <c r="A2350">
        <v>3.2614666666666701E-2</v>
      </c>
      <c r="B2350">
        <v>0.33669310847209</v>
      </c>
      <c r="C2350">
        <v>0.28790455120191299</v>
      </c>
      <c r="D2350">
        <v>0.47875463394162199</v>
      </c>
      <c r="E2350">
        <v>0.44585152433497299</v>
      </c>
    </row>
    <row r="2351" spans="1:5" x14ac:dyDescent="0.2">
      <c r="A2351">
        <v>3.26413333333333E-2</v>
      </c>
      <c r="B2351">
        <v>0.33677719183004201</v>
      </c>
      <c r="C2351">
        <v>0.28798750893649</v>
      </c>
      <c r="D2351">
        <v>0.478876908594418</v>
      </c>
      <c r="E2351">
        <v>0.44598595877778302</v>
      </c>
    </row>
    <row r="2352" spans="1:5" x14ac:dyDescent="0.2">
      <c r="A2352">
        <v>3.2668000000000003E-2</v>
      </c>
      <c r="B2352">
        <v>0.336861243973612</v>
      </c>
      <c r="C2352">
        <v>0.28807048415964498</v>
      </c>
      <c r="D2352">
        <v>0.478999149083147</v>
      </c>
      <c r="E2352">
        <v>0.44612022674471002</v>
      </c>
    </row>
    <row r="2353" spans="1:5" x14ac:dyDescent="0.2">
      <c r="A2353">
        <v>3.2694666666666698E-2</v>
      </c>
      <c r="B2353">
        <v>0.33694526525675</v>
      </c>
      <c r="C2353">
        <v>0.288153475607829</v>
      </c>
      <c r="D2353">
        <v>0.47912135539498601</v>
      </c>
      <c r="E2353">
        <v>0.44625432740566001</v>
      </c>
    </row>
    <row r="2354" spans="1:5" x14ac:dyDescent="0.2">
      <c r="A2354">
        <v>3.2721333333333297E-2</v>
      </c>
      <c r="B2354">
        <v>0.337029256033404</v>
      </c>
      <c r="C2354">
        <v>0.28823648201749502</v>
      </c>
      <c r="D2354">
        <v>0.47924352751711002</v>
      </c>
      <c r="E2354">
        <v>0.44638825993054199</v>
      </c>
    </row>
    <row r="2355" spans="1:5" x14ac:dyDescent="0.2">
      <c r="A2355">
        <v>3.2747999999999999E-2</v>
      </c>
      <c r="B2355">
        <v>0.33711321665752197</v>
      </c>
      <c r="C2355">
        <v>0.288319502125093</v>
      </c>
      <c r="D2355">
        <v>0.47936566543669201</v>
      </c>
      <c r="E2355">
        <v>0.44652202348926101</v>
      </c>
    </row>
    <row r="2356" spans="1:5" x14ac:dyDescent="0.2">
      <c r="A2356">
        <v>3.2774666666666702E-2</v>
      </c>
      <c r="B2356">
        <v>0.33719714748305302</v>
      </c>
      <c r="C2356">
        <v>0.288402534667074</v>
      </c>
      <c r="D2356">
        <v>0.47948776914090802</v>
      </c>
      <c r="E2356">
        <v>0.44665561725172298</v>
      </c>
    </row>
    <row r="2357" spans="1:5" x14ac:dyDescent="0.2">
      <c r="A2357">
        <v>3.28013333333333E-2</v>
      </c>
      <c r="B2357">
        <v>0.337281048863945</v>
      </c>
      <c r="C2357">
        <v>0.28848557837988997</v>
      </c>
      <c r="D2357">
        <v>0.47960983861693401</v>
      </c>
      <c r="E2357">
        <v>0.44678904038783601</v>
      </c>
    </row>
    <row r="2358" spans="1:5" x14ac:dyDescent="0.2">
      <c r="A2358">
        <v>3.2828000000000003E-2</v>
      </c>
      <c r="B2358">
        <v>0.33736492115414801</v>
      </c>
      <c r="C2358">
        <v>0.288568631999992</v>
      </c>
      <c r="D2358">
        <v>0.47973187385194299</v>
      </c>
      <c r="E2358">
        <v>0.446922292067506</v>
      </c>
    </row>
    <row r="2359" spans="1:5" x14ac:dyDescent="0.2">
      <c r="A2359">
        <v>3.2854666666666699E-2</v>
      </c>
      <c r="B2359">
        <v>0.33744876470760898</v>
      </c>
      <c r="C2359">
        <v>0.28865169426383103</v>
      </c>
      <c r="D2359">
        <v>0.47985387483311098</v>
      </c>
      <c r="E2359">
        <v>0.44705537146063901</v>
      </c>
    </row>
    <row r="2360" spans="1:5" x14ac:dyDescent="0.2">
      <c r="A2360">
        <v>3.2881333333333297E-2</v>
      </c>
      <c r="B2360">
        <v>0.33753257987827701</v>
      </c>
      <c r="C2360">
        <v>0.28873476390785802</v>
      </c>
      <c r="D2360">
        <v>0.47997584154761302</v>
      </c>
      <c r="E2360">
        <v>0.44718827773714298</v>
      </c>
    </row>
    <row r="2361" spans="1:5" x14ac:dyDescent="0.2">
      <c r="A2361">
        <v>3.2908E-2</v>
      </c>
      <c r="B2361">
        <v>0.33761636702010001</v>
      </c>
      <c r="C2361">
        <v>0.28881783966852398</v>
      </c>
      <c r="D2361">
        <v>0.48009777398262299</v>
      </c>
      <c r="E2361">
        <v>0.44732101006692299</v>
      </c>
    </row>
    <row r="2362" spans="1:5" x14ac:dyDescent="0.2">
      <c r="A2362">
        <v>3.2934666666666702E-2</v>
      </c>
      <c r="B2362">
        <v>0.33770012648702802</v>
      </c>
      <c r="C2362">
        <v>0.28890092028228098</v>
      </c>
      <c r="D2362">
        <v>0.48021967212531702</v>
      </c>
      <c r="E2362">
        <v>0.44745356761988703</v>
      </c>
    </row>
    <row r="2363" spans="1:5" x14ac:dyDescent="0.2">
      <c r="A2363">
        <v>3.2961333333333301E-2</v>
      </c>
      <c r="B2363">
        <v>0.33778385863300903</v>
      </c>
      <c r="C2363">
        <v>0.28898400448557998</v>
      </c>
      <c r="D2363">
        <v>0.48034153596286999</v>
      </c>
      <c r="E2363">
        <v>0.447585949565941</v>
      </c>
    </row>
    <row r="2364" spans="1:5" x14ac:dyDescent="0.2">
      <c r="A2364">
        <v>3.2988000000000003E-2</v>
      </c>
      <c r="B2364">
        <v>0.33786756381199101</v>
      </c>
      <c r="C2364">
        <v>0.28906709101487199</v>
      </c>
      <c r="D2364">
        <v>0.480463365482456</v>
      </c>
      <c r="E2364">
        <v>0.44771815507499102</v>
      </c>
    </row>
    <row r="2365" spans="1:5" x14ac:dyDescent="0.2">
      <c r="A2365">
        <v>3.3014666666666699E-2</v>
      </c>
      <c r="B2365">
        <v>0.33795124237792201</v>
      </c>
      <c r="C2365">
        <v>0.28915017860660802</v>
      </c>
      <c r="D2365">
        <v>0.48058516067125101</v>
      </c>
      <c r="E2365">
        <v>0.44785018331694498</v>
      </c>
    </row>
    <row r="2366" spans="1:5" x14ac:dyDescent="0.2">
      <c r="A2366">
        <v>3.3041333333333298E-2</v>
      </c>
      <c r="B2366">
        <v>0.33803489468475201</v>
      </c>
      <c r="C2366">
        <v>0.28923326599723997</v>
      </c>
      <c r="D2366">
        <v>0.48070692151642902</v>
      </c>
      <c r="E2366">
        <v>0.44798203346170801</v>
      </c>
    </row>
    <row r="2367" spans="1:5" x14ac:dyDescent="0.2">
      <c r="A2367">
        <v>3.3068E-2</v>
      </c>
      <c r="B2367">
        <v>0.33811852108642898</v>
      </c>
      <c r="C2367">
        <v>0.28931635192321897</v>
      </c>
      <c r="D2367">
        <v>0.480828648005165</v>
      </c>
      <c r="E2367">
        <v>0.44811370467918799</v>
      </c>
    </row>
    <row r="2368" spans="1:5" x14ac:dyDescent="0.2">
      <c r="A2368">
        <v>3.3094666666666703E-2</v>
      </c>
      <c r="B2368">
        <v>0.33820212193690102</v>
      </c>
      <c r="C2368">
        <v>0.28939943512099497</v>
      </c>
      <c r="D2368">
        <v>0.480950340124634</v>
      </c>
      <c r="E2368">
        <v>0.44824519613929098</v>
      </c>
    </row>
    <row r="2369" spans="1:5" x14ac:dyDescent="0.2">
      <c r="A2369">
        <v>3.3121333333333301E-2</v>
      </c>
      <c r="B2369">
        <v>0.33828569759011701</v>
      </c>
      <c r="C2369">
        <v>0.28948251432701999</v>
      </c>
      <c r="D2369">
        <v>0.48107199786201199</v>
      </c>
      <c r="E2369">
        <v>0.448376507011924</v>
      </c>
    </row>
    <row r="2370" spans="1:5" x14ac:dyDescent="0.2">
      <c r="A2370">
        <v>3.3147999999999997E-2</v>
      </c>
      <c r="B2370">
        <v>0.33836924840002602</v>
      </c>
      <c r="C2370">
        <v>0.28956558827774598</v>
      </c>
      <c r="D2370">
        <v>0.48119362120447301</v>
      </c>
      <c r="E2370">
        <v>0.44850763646699199</v>
      </c>
    </row>
    <row r="2371" spans="1:5" x14ac:dyDescent="0.2">
      <c r="A2371">
        <v>3.3174666666666699E-2</v>
      </c>
      <c r="B2371">
        <v>0.338452774720576</v>
      </c>
      <c r="C2371">
        <v>0.289648655709623</v>
      </c>
      <c r="D2371">
        <v>0.48131521013919099</v>
      </c>
      <c r="E2371">
        <v>0.44863858367440401</v>
      </c>
    </row>
    <row r="2372" spans="1:5" x14ac:dyDescent="0.2">
      <c r="A2372">
        <v>3.3201333333333298E-2</v>
      </c>
      <c r="B2372">
        <v>0.33853627690571497</v>
      </c>
      <c r="C2372">
        <v>0.28973171535910303</v>
      </c>
      <c r="D2372">
        <v>0.48143676465334301</v>
      </c>
      <c r="E2372">
        <v>0.44876934780406502</v>
      </c>
    </row>
    <row r="2373" spans="1:5" x14ac:dyDescent="0.2">
      <c r="A2373">
        <v>3.3228000000000001E-2</v>
      </c>
      <c r="B2373">
        <v>0.33861975530939198</v>
      </c>
      <c r="C2373">
        <v>0.289814765962637</v>
      </c>
      <c r="D2373">
        <v>0.481558284734102</v>
      </c>
      <c r="E2373">
        <v>0.44889992802588202</v>
      </c>
    </row>
    <row r="2374" spans="1:5" x14ac:dyDescent="0.2">
      <c r="A2374">
        <v>3.3254666666666703E-2</v>
      </c>
      <c r="B2374">
        <v>0.338703210285556</v>
      </c>
      <c r="C2374">
        <v>0.28989780625667599</v>
      </c>
      <c r="D2374">
        <v>0.48167977036864401</v>
      </c>
      <c r="E2374">
        <v>0.44903032350976202</v>
      </c>
    </row>
    <row r="2375" spans="1:5" x14ac:dyDescent="0.2">
      <c r="A2375">
        <v>3.3281333333333302E-2</v>
      </c>
      <c r="B2375">
        <v>0.33878664218815502</v>
      </c>
      <c r="C2375">
        <v>0.28998083497767202</v>
      </c>
      <c r="D2375">
        <v>0.48180122154414401</v>
      </c>
      <c r="E2375">
        <v>0.44916053342561102</v>
      </c>
    </row>
    <row r="2376" spans="1:5" x14ac:dyDescent="0.2">
      <c r="A2376">
        <v>3.3307999999999997E-2</v>
      </c>
      <c r="B2376">
        <v>0.33887005137113801</v>
      </c>
      <c r="C2376">
        <v>0.29006385086207498</v>
      </c>
      <c r="D2376">
        <v>0.48192263824777698</v>
      </c>
      <c r="E2376">
        <v>0.44929055694333597</v>
      </c>
    </row>
    <row r="2377" spans="1:5" x14ac:dyDescent="0.2">
      <c r="A2377">
        <v>3.33346666666667E-2</v>
      </c>
      <c r="B2377">
        <v>0.33895343818845303</v>
      </c>
      <c r="C2377">
        <v>0.290146852646336</v>
      </c>
      <c r="D2377">
        <v>0.48204402046671702</v>
      </c>
      <c r="E2377">
        <v>0.449420393232843</v>
      </c>
    </row>
    <row r="2378" spans="1:5" x14ac:dyDescent="0.2">
      <c r="A2378">
        <v>3.3361333333333298E-2</v>
      </c>
      <c r="B2378">
        <v>0.33903680299404798</v>
      </c>
      <c r="C2378">
        <v>0.29022983906690802</v>
      </c>
      <c r="D2378">
        <v>0.48216536818813899</v>
      </c>
      <c r="E2378">
        <v>0.44955004146403899</v>
      </c>
    </row>
    <row r="2379" spans="1:5" x14ac:dyDescent="0.2">
      <c r="A2379">
        <v>3.3388000000000001E-2</v>
      </c>
      <c r="B2379">
        <v>0.33912014614187302</v>
      </c>
      <c r="C2379">
        <v>0.29031280886024102</v>
      </c>
      <c r="D2379">
        <v>0.48228668139921899</v>
      </c>
      <c r="E2379">
        <v>0.449679500806831</v>
      </c>
    </row>
    <row r="2380" spans="1:5" x14ac:dyDescent="0.2">
      <c r="A2380">
        <v>3.3414666666666697E-2</v>
      </c>
      <c r="B2380">
        <v>0.33920346798587597</v>
      </c>
      <c r="C2380">
        <v>0.290395760762786</v>
      </c>
      <c r="D2380">
        <v>0.48240796008713199</v>
      </c>
      <c r="E2380">
        <v>0.44980877043112599</v>
      </c>
    </row>
    <row r="2381" spans="1:5" x14ac:dyDescent="0.2">
      <c r="A2381">
        <v>3.3441333333333302E-2</v>
      </c>
      <c r="B2381">
        <v>0.33928676888000597</v>
      </c>
      <c r="C2381">
        <v>0.29047869351099398</v>
      </c>
      <c r="D2381">
        <v>0.48252920423905199</v>
      </c>
      <c r="E2381">
        <v>0.44993784950682902</v>
      </c>
    </row>
    <row r="2382" spans="1:5" x14ac:dyDescent="0.2">
      <c r="A2382">
        <v>3.3467999999999998E-2</v>
      </c>
      <c r="B2382">
        <v>0.33937004917821001</v>
      </c>
      <c r="C2382">
        <v>0.29056160584131802</v>
      </c>
      <c r="D2382">
        <v>0.48265041384215401</v>
      </c>
      <c r="E2382">
        <v>0.45006673720384699</v>
      </c>
    </row>
    <row r="2383" spans="1:5" x14ac:dyDescent="0.2">
      <c r="A2383">
        <v>3.34946666666667E-2</v>
      </c>
      <c r="B2383">
        <v>0.33945330923443801</v>
      </c>
      <c r="C2383">
        <v>0.29064449649020802</v>
      </c>
      <c r="D2383">
        <v>0.48277158888361299</v>
      </c>
      <c r="E2383">
        <v>0.450195432692088</v>
      </c>
    </row>
    <row r="2384" spans="1:5" x14ac:dyDescent="0.2">
      <c r="A2384">
        <v>3.3521333333333299E-2</v>
      </c>
      <c r="B2384">
        <v>0.339536549402637</v>
      </c>
      <c r="C2384">
        <v>0.29072736419411399</v>
      </c>
      <c r="D2384">
        <v>0.48289272935060401</v>
      </c>
      <c r="E2384">
        <v>0.45032393514145702</v>
      </c>
    </row>
    <row r="2385" spans="1:5" x14ac:dyDescent="0.2">
      <c r="A2385">
        <v>3.3548000000000001E-2</v>
      </c>
      <c r="B2385">
        <v>0.33961977003675797</v>
      </c>
      <c r="C2385">
        <v>0.29081020768948901</v>
      </c>
      <c r="D2385">
        <v>0.483013835230302</v>
      </c>
      <c r="E2385">
        <v>0.45045224372186199</v>
      </c>
    </row>
    <row r="2386" spans="1:5" x14ac:dyDescent="0.2">
      <c r="A2386">
        <v>3.3574666666666697E-2</v>
      </c>
      <c r="B2386">
        <v>0.33970297149074702</v>
      </c>
      <c r="C2386">
        <v>0.29089302571278403</v>
      </c>
      <c r="D2386">
        <v>0.483134906509882</v>
      </c>
      <c r="E2386">
        <v>0.45058035760320803</v>
      </c>
    </row>
    <row r="2387" spans="1:5" x14ac:dyDescent="0.2">
      <c r="A2387">
        <v>3.3601333333333303E-2</v>
      </c>
      <c r="B2387">
        <v>0.33978615411855401</v>
      </c>
      <c r="C2387">
        <v>0.29097581700045</v>
      </c>
      <c r="D2387">
        <v>0.48325594317651899</v>
      </c>
      <c r="E2387">
        <v>0.45070827595540303</v>
      </c>
    </row>
    <row r="2388" spans="1:5" x14ac:dyDescent="0.2">
      <c r="A2388">
        <v>3.3627999999999998E-2</v>
      </c>
      <c r="B2388">
        <v>0.33986931827412697</v>
      </c>
      <c r="C2388">
        <v>0.291058580288937</v>
      </c>
      <c r="D2388">
        <v>0.483376945217388</v>
      </c>
      <c r="E2388">
        <v>0.45083599794835399</v>
      </c>
    </row>
    <row r="2389" spans="1:5" x14ac:dyDescent="0.2">
      <c r="A2389">
        <v>3.3654666666666701E-2</v>
      </c>
      <c r="B2389">
        <v>0.33995246431141501</v>
      </c>
      <c r="C2389">
        <v>0.29114131431469797</v>
      </c>
      <c r="D2389">
        <v>0.48349791261966402</v>
      </c>
      <c r="E2389">
        <v>0.450963522751965</v>
      </c>
    </row>
    <row r="2390" spans="1:5" x14ac:dyDescent="0.2">
      <c r="A2390">
        <v>3.3681333333333299E-2</v>
      </c>
      <c r="B2390">
        <v>0.340035592584366</v>
      </c>
      <c r="C2390">
        <v>0.291224017814183</v>
      </c>
      <c r="D2390">
        <v>0.48361884537052102</v>
      </c>
      <c r="E2390">
        <v>0.45109084953614498</v>
      </c>
    </row>
    <row r="2391" spans="1:5" x14ac:dyDescent="0.2">
      <c r="A2391">
        <v>3.3708000000000002E-2</v>
      </c>
      <c r="B2391">
        <v>0.34011870344692902</v>
      </c>
      <c r="C2391">
        <v>0.29130668952384398</v>
      </c>
      <c r="D2391">
        <v>0.483739743457135</v>
      </c>
      <c r="E2391">
        <v>0.4512179774708</v>
      </c>
    </row>
    <row r="2392" spans="1:5" x14ac:dyDescent="0.2">
      <c r="A2392">
        <v>3.3734666666666697E-2</v>
      </c>
      <c r="B2392">
        <v>0.340201797253052</v>
      </c>
      <c r="C2392">
        <v>0.29138932818013202</v>
      </c>
      <c r="D2392">
        <v>0.48386060686667998</v>
      </c>
      <c r="E2392">
        <v>0.45134490572583702</v>
      </c>
    </row>
    <row r="2393" spans="1:5" x14ac:dyDescent="0.2">
      <c r="A2393">
        <v>3.3761333333333303E-2</v>
      </c>
      <c r="B2393">
        <v>0.34028487435668398</v>
      </c>
      <c r="C2393">
        <v>0.29147193251949799</v>
      </c>
      <c r="D2393">
        <v>0.483981435586332</v>
      </c>
      <c r="E2393">
        <v>0.45147163347116098</v>
      </c>
    </row>
    <row r="2394" spans="1:5" x14ac:dyDescent="0.2">
      <c r="A2394">
        <v>3.3787999999999999E-2</v>
      </c>
      <c r="B2394">
        <v>0.34036793511177299</v>
      </c>
      <c r="C2394">
        <v>0.291554501278393</v>
      </c>
      <c r="D2394">
        <v>0.48410222960326499</v>
      </c>
      <c r="E2394">
        <v>0.451598159876681</v>
      </c>
    </row>
    <row r="2395" spans="1:5" x14ac:dyDescent="0.2">
      <c r="A2395">
        <v>3.3814666666666701E-2</v>
      </c>
      <c r="B2395">
        <v>0.34045097987226902</v>
      </c>
      <c r="C2395">
        <v>0.291637033193269</v>
      </c>
      <c r="D2395">
        <v>0.48422298890465498</v>
      </c>
      <c r="E2395">
        <v>0.45172448411230098</v>
      </c>
    </row>
    <row r="2396" spans="1:5" x14ac:dyDescent="0.2">
      <c r="A2396">
        <v>3.38413333333333E-2</v>
      </c>
      <c r="B2396">
        <v>0.340534008992119</v>
      </c>
      <c r="C2396">
        <v>0.29171952700057602</v>
      </c>
      <c r="D2396">
        <v>0.48434371347767602</v>
      </c>
      <c r="E2396">
        <v>0.45185060534792998</v>
      </c>
    </row>
    <row r="2397" spans="1:5" x14ac:dyDescent="0.2">
      <c r="A2397">
        <v>3.3868000000000002E-2</v>
      </c>
      <c r="B2397">
        <v>0.34061702282527101</v>
      </c>
      <c r="C2397">
        <v>0.291801981436766</v>
      </c>
      <c r="D2397">
        <v>0.48446440330950202</v>
      </c>
      <c r="E2397">
        <v>0.451976522753473</v>
      </c>
    </row>
    <row r="2398" spans="1:5" x14ac:dyDescent="0.2">
      <c r="A2398">
        <v>3.3894666666666698E-2</v>
      </c>
      <c r="B2398">
        <v>0.34070002172567598</v>
      </c>
      <c r="C2398">
        <v>0.29188439523829002</v>
      </c>
      <c r="D2398">
        <v>0.48458505838731097</v>
      </c>
      <c r="E2398">
        <v>0.45210223549883699</v>
      </c>
    </row>
    <row r="2399" spans="1:5" x14ac:dyDescent="0.2">
      <c r="A2399">
        <v>3.3921333333333303E-2</v>
      </c>
      <c r="B2399">
        <v>0.34078300604728001</v>
      </c>
      <c r="C2399">
        <v>0.29196676714160003</v>
      </c>
      <c r="D2399">
        <v>0.48470567869827502</v>
      </c>
      <c r="E2399">
        <v>0.45222774275392902</v>
      </c>
    </row>
    <row r="2400" spans="1:5" x14ac:dyDescent="0.2">
      <c r="A2400">
        <v>3.3947999999999999E-2</v>
      </c>
      <c r="B2400">
        <v>0.34086597614403302</v>
      </c>
      <c r="C2400">
        <v>0.29204909588314598</v>
      </c>
      <c r="D2400">
        <v>0.48482626422956998</v>
      </c>
      <c r="E2400">
        <v>0.45235304368865498</v>
      </c>
    </row>
    <row r="2401" spans="1:5" x14ac:dyDescent="0.2">
      <c r="A2401">
        <v>3.3974666666666702E-2</v>
      </c>
      <c r="B2401">
        <v>0.340948932369883</v>
      </c>
      <c r="C2401">
        <v>0.29213138019937901</v>
      </c>
      <c r="D2401">
        <v>0.484946814968371</v>
      </c>
      <c r="E2401">
        <v>0.45247813747292198</v>
      </c>
    </row>
    <row r="2402" spans="1:5" x14ac:dyDescent="0.2">
      <c r="A2402">
        <v>3.40013333333333E-2</v>
      </c>
      <c r="B2402">
        <v>0.34103187507877902</v>
      </c>
      <c r="C2402">
        <v>0.29221361882685398</v>
      </c>
      <c r="D2402">
        <v>0.485067330901853</v>
      </c>
      <c r="E2402">
        <v>0.45260302327663698</v>
      </c>
    </row>
    <row r="2403" spans="1:5" x14ac:dyDescent="0.2">
      <c r="A2403">
        <v>3.4028000000000003E-2</v>
      </c>
      <c r="B2403">
        <v>0.34111480462466898</v>
      </c>
      <c r="C2403">
        <v>0.29229581144636102</v>
      </c>
      <c r="D2403">
        <v>0.48518781201719002</v>
      </c>
      <c r="E2403">
        <v>0.45272770026970599</v>
      </c>
    </row>
    <row r="2404" spans="1:5" x14ac:dyDescent="0.2">
      <c r="A2404">
        <v>3.4054666666666698E-2</v>
      </c>
      <c r="B2404">
        <v>0.341197721361502</v>
      </c>
      <c r="C2404">
        <v>0.29237796099084201</v>
      </c>
      <c r="D2404">
        <v>0.48530825830155799</v>
      </c>
      <c r="E2404">
        <v>0.45285216762203501</v>
      </c>
    </row>
    <row r="2405" spans="1:5" x14ac:dyDescent="0.2">
      <c r="A2405">
        <v>3.4081333333333297E-2</v>
      </c>
      <c r="B2405">
        <v>0.34128062564322598</v>
      </c>
      <c r="C2405">
        <v>0.29246007109287397</v>
      </c>
      <c r="D2405">
        <v>0.485428669742132</v>
      </c>
      <c r="E2405">
        <v>0.45297642450353198</v>
      </c>
    </row>
    <row r="2406" spans="1:5" x14ac:dyDescent="0.2">
      <c r="A2406">
        <v>3.4107999999999999E-2</v>
      </c>
      <c r="B2406">
        <v>0.34136351782379099</v>
      </c>
      <c r="C2406">
        <v>0.29254214538503398</v>
      </c>
      <c r="D2406">
        <v>0.48554904632608697</v>
      </c>
      <c r="E2406">
        <v>0.45310047008410298</v>
      </c>
    </row>
    <row r="2407" spans="1:5" x14ac:dyDescent="0.2">
      <c r="A2407">
        <v>3.4134666666666702E-2</v>
      </c>
      <c r="B2407">
        <v>0.34144639825714301</v>
      </c>
      <c r="C2407">
        <v>0.29262418749989999</v>
      </c>
      <c r="D2407">
        <v>0.48566938804059701</v>
      </c>
      <c r="E2407">
        <v>0.453224303533654</v>
      </c>
    </row>
    <row r="2408" spans="1:5" x14ac:dyDescent="0.2">
      <c r="A2408">
        <v>3.4161333333333301E-2</v>
      </c>
      <c r="B2408">
        <v>0.34152926729723199</v>
      </c>
      <c r="C2408">
        <v>0.29270620107005002</v>
      </c>
      <c r="D2408">
        <v>0.48578969487283702</v>
      </c>
      <c r="E2408">
        <v>0.45334792402209301</v>
      </c>
    </row>
    <row r="2409" spans="1:5" x14ac:dyDescent="0.2">
      <c r="A2409">
        <v>3.4188000000000003E-2</v>
      </c>
      <c r="B2409">
        <v>0.341612125298007</v>
      </c>
      <c r="C2409">
        <v>0.29278818972805898</v>
      </c>
      <c r="D2409">
        <v>0.485909966809982</v>
      </c>
      <c r="E2409">
        <v>0.45347133071932499</v>
      </c>
    </row>
    <row r="2410" spans="1:5" x14ac:dyDescent="0.2">
      <c r="A2410">
        <v>3.4214666666666699E-2</v>
      </c>
      <c r="B2410">
        <v>0.34169497261341603</v>
      </c>
      <c r="C2410">
        <v>0.29287015710650599</v>
      </c>
      <c r="D2410">
        <v>0.48603020383920797</v>
      </c>
      <c r="E2410">
        <v>0.45359452279525803</v>
      </c>
    </row>
    <row r="2411" spans="1:5" x14ac:dyDescent="0.2">
      <c r="A2411">
        <v>3.4241333333333297E-2</v>
      </c>
      <c r="B2411">
        <v>0.341777809597407</v>
      </c>
      <c r="C2411">
        <v>0.29295210683796802</v>
      </c>
      <c r="D2411">
        <v>0.48615040594768899</v>
      </c>
      <c r="E2411">
        <v>0.453717499419797</v>
      </c>
    </row>
    <row r="2412" spans="1:5" x14ac:dyDescent="0.2">
      <c r="A2412">
        <v>3.4268E-2</v>
      </c>
      <c r="B2412">
        <v>0.34186063660393001</v>
      </c>
      <c r="C2412">
        <v>0.29303404255502202</v>
      </c>
      <c r="D2412">
        <v>0.48627057312260102</v>
      </c>
      <c r="E2412">
        <v>0.45384025976285097</v>
      </c>
    </row>
    <row r="2413" spans="1:5" x14ac:dyDescent="0.2">
      <c r="A2413">
        <v>3.4294666666666702E-2</v>
      </c>
      <c r="B2413">
        <v>0.34194345398693199</v>
      </c>
      <c r="C2413">
        <v>0.29311596789024602</v>
      </c>
      <c r="D2413">
        <v>0.486390705351117</v>
      </c>
      <c r="E2413">
        <v>0.45396280299432401</v>
      </c>
    </row>
    <row r="2414" spans="1:5" x14ac:dyDescent="0.2">
      <c r="A2414">
        <v>3.4321333333333301E-2</v>
      </c>
      <c r="B2414">
        <v>0.34202626210036202</v>
      </c>
      <c r="C2414">
        <v>0.29319788647621597</v>
      </c>
      <c r="D2414">
        <v>0.48651080262041302</v>
      </c>
      <c r="E2414">
        <v>0.45408512828412401</v>
      </c>
    </row>
    <row r="2415" spans="1:5" x14ac:dyDescent="0.2">
      <c r="A2415">
        <v>3.4347999999999997E-2</v>
      </c>
      <c r="B2415">
        <v>0.34210906129816898</v>
      </c>
      <c r="C2415">
        <v>0.29327980194551101</v>
      </c>
      <c r="D2415">
        <v>0.486630864917665</v>
      </c>
      <c r="E2415">
        <v>0.45420723480215802</v>
      </c>
    </row>
    <row r="2416" spans="1:5" x14ac:dyDescent="0.2">
      <c r="A2416">
        <v>3.4374666666666699E-2</v>
      </c>
      <c r="B2416">
        <v>0.34219185193430102</v>
      </c>
      <c r="C2416">
        <v>0.29336171793070698</v>
      </c>
      <c r="D2416">
        <v>0.48675089223004597</v>
      </c>
      <c r="E2416">
        <v>0.45432912171833101</v>
      </c>
    </row>
    <row r="2417" spans="1:5" x14ac:dyDescent="0.2">
      <c r="A2417">
        <v>3.4401333333333298E-2</v>
      </c>
      <c r="B2417">
        <v>0.342274634362707</v>
      </c>
      <c r="C2417">
        <v>0.29344363806438201</v>
      </c>
      <c r="D2417">
        <v>0.48687088454473099</v>
      </c>
      <c r="E2417">
        <v>0.45445078820255103</v>
      </c>
    </row>
    <row r="2418" spans="1:5" x14ac:dyDescent="0.2">
      <c r="A2418">
        <v>3.4428E-2</v>
      </c>
      <c r="B2418">
        <v>0.34235740893733502</v>
      </c>
      <c r="C2418">
        <v>0.293525565979114</v>
      </c>
      <c r="D2418">
        <v>0.48699084184889702</v>
      </c>
      <c r="E2418">
        <v>0.45457223342472403</v>
      </c>
    </row>
    <row r="2419" spans="1:5" x14ac:dyDescent="0.2">
      <c r="A2419">
        <v>3.4454666666666703E-2</v>
      </c>
      <c r="B2419">
        <v>0.342440176012134</v>
      </c>
      <c r="C2419">
        <v>0.29360750530747798</v>
      </c>
      <c r="D2419">
        <v>0.48711076412971699</v>
      </c>
      <c r="E2419">
        <v>0.45469345655475701</v>
      </c>
    </row>
    <row r="2420" spans="1:5" x14ac:dyDescent="0.2">
      <c r="A2420">
        <v>3.4481333333333301E-2</v>
      </c>
      <c r="B2420">
        <v>0.34252293594105299</v>
      </c>
      <c r="C2420">
        <v>0.29368945968205401</v>
      </c>
      <c r="D2420">
        <v>0.487230651374367</v>
      </c>
      <c r="E2420">
        <v>0.454814456762557</v>
      </c>
    </row>
    <row r="2421" spans="1:5" x14ac:dyDescent="0.2">
      <c r="A2421">
        <v>3.4507999999999997E-2</v>
      </c>
      <c r="B2421">
        <v>0.34260568907803901</v>
      </c>
      <c r="C2421">
        <v>0.293771432735418</v>
      </c>
      <c r="D2421">
        <v>0.48735050357002102</v>
      </c>
      <c r="E2421">
        <v>0.45493523321802898</v>
      </c>
    </row>
    <row r="2422" spans="1:5" x14ac:dyDescent="0.2">
      <c r="A2422">
        <v>3.45346666666667E-2</v>
      </c>
      <c r="B2422">
        <v>0.342688435777042</v>
      </c>
      <c r="C2422">
        <v>0.29385342810014597</v>
      </c>
      <c r="D2422">
        <v>0.48747032070385499</v>
      </c>
      <c r="E2422">
        <v>0.45505578509108102</v>
      </c>
    </row>
    <row r="2423" spans="1:5" x14ac:dyDescent="0.2">
      <c r="A2423">
        <v>3.4561333333333298E-2</v>
      </c>
      <c r="B2423">
        <v>0.34277117639200999</v>
      </c>
      <c r="C2423">
        <v>0.29393544940881799</v>
      </c>
      <c r="D2423">
        <v>0.48759010276304299</v>
      </c>
      <c r="E2423">
        <v>0.45517611155162002</v>
      </c>
    </row>
    <row r="2424" spans="1:5" x14ac:dyDescent="0.2">
      <c r="A2424">
        <v>3.4588000000000001E-2</v>
      </c>
      <c r="B2424">
        <v>0.34285391127689102</v>
      </c>
      <c r="C2424">
        <v>0.29401750029401003</v>
      </c>
      <c r="D2424">
        <v>0.48770984973476</v>
      </c>
      <c r="E2424">
        <v>0.45529621176955098</v>
      </c>
    </row>
    <row r="2425" spans="1:5" x14ac:dyDescent="0.2">
      <c r="A2425">
        <v>3.4614666666666703E-2</v>
      </c>
      <c r="B2425">
        <v>0.34293664078563402</v>
      </c>
      <c r="C2425">
        <v>0.29409958438829897</v>
      </c>
      <c r="D2425">
        <v>0.48782956160618202</v>
      </c>
      <c r="E2425">
        <v>0.45541608491478103</v>
      </c>
    </row>
    <row r="2426" spans="1:5" x14ac:dyDescent="0.2">
      <c r="A2426">
        <v>3.4641333333333302E-2</v>
      </c>
      <c r="B2426">
        <v>0.34301936527218801</v>
      </c>
      <c r="C2426">
        <v>0.29418170532426202</v>
      </c>
      <c r="D2426">
        <v>0.48794923836448301</v>
      </c>
      <c r="E2426">
        <v>0.45553573015721699</v>
      </c>
    </row>
    <row r="2427" spans="1:5" x14ac:dyDescent="0.2">
      <c r="A2427">
        <v>3.4667999999999997E-2</v>
      </c>
      <c r="B2427">
        <v>0.343102085090501</v>
      </c>
      <c r="C2427">
        <v>0.29426386673447802</v>
      </c>
      <c r="D2427">
        <v>0.48806887999683701</v>
      </c>
      <c r="E2427">
        <v>0.45565514666676699</v>
      </c>
    </row>
    <row r="2428" spans="1:5" x14ac:dyDescent="0.2">
      <c r="A2428">
        <v>3.46946666666667E-2</v>
      </c>
      <c r="B2428">
        <v>0.343184800594522</v>
      </c>
      <c r="C2428">
        <v>0.29434607225152298</v>
      </c>
      <c r="D2428">
        <v>0.48818848649042101</v>
      </c>
      <c r="E2428">
        <v>0.45577433361333503</v>
      </c>
    </row>
    <row r="2429" spans="1:5" x14ac:dyDescent="0.2">
      <c r="A2429">
        <v>3.4721333333333299E-2</v>
      </c>
      <c r="B2429">
        <v>0.343267512138199</v>
      </c>
      <c r="C2429">
        <v>0.29442832550797399</v>
      </c>
      <c r="D2429">
        <v>0.48830805783240899</v>
      </c>
      <c r="E2429">
        <v>0.455893290166829</v>
      </c>
    </row>
    <row r="2430" spans="1:5" x14ac:dyDescent="0.2">
      <c r="A2430">
        <v>3.4748000000000001E-2</v>
      </c>
      <c r="B2430">
        <v>0.34335022007548099</v>
      </c>
      <c r="C2430">
        <v>0.29451063013640899</v>
      </c>
      <c r="D2430">
        <v>0.48842759400997598</v>
      </c>
      <c r="E2430">
        <v>0.45601201549715598</v>
      </c>
    </row>
    <row r="2431" spans="1:5" x14ac:dyDescent="0.2">
      <c r="A2431">
        <v>3.4774666666666697E-2</v>
      </c>
      <c r="B2431">
        <v>0.34343292476031601</v>
      </c>
      <c r="C2431">
        <v>0.29459298976940601</v>
      </c>
      <c r="D2431">
        <v>0.48854709501029597</v>
      </c>
      <c r="E2431">
        <v>0.45613050877422101</v>
      </c>
    </row>
    <row r="2432" spans="1:5" x14ac:dyDescent="0.2">
      <c r="A2432">
        <v>3.4801333333333302E-2</v>
      </c>
      <c r="B2432">
        <v>0.34351562654665302</v>
      </c>
      <c r="C2432">
        <v>0.29467540803954101</v>
      </c>
      <c r="D2432">
        <v>0.48866656082054499</v>
      </c>
      <c r="E2432">
        <v>0.456248769167932</v>
      </c>
    </row>
    <row r="2433" spans="1:5" x14ac:dyDescent="0.2">
      <c r="A2433">
        <v>3.4827999999999998E-2</v>
      </c>
      <c r="B2433">
        <v>0.34359832578844102</v>
      </c>
      <c r="C2433">
        <v>0.294757888579392</v>
      </c>
      <c r="D2433">
        <v>0.48878599142789803</v>
      </c>
      <c r="E2433">
        <v>0.45636679584819601</v>
      </c>
    </row>
    <row r="2434" spans="1:5" x14ac:dyDescent="0.2">
      <c r="A2434">
        <v>3.48546666666667E-2</v>
      </c>
      <c r="B2434">
        <v>0.34368102283962698</v>
      </c>
      <c r="C2434">
        <v>0.29484043502153601</v>
      </c>
      <c r="D2434">
        <v>0.488905386819529</v>
      </c>
      <c r="E2434">
        <v>0.45648458798491798</v>
      </c>
    </row>
    <row r="2435" spans="1:5" x14ac:dyDescent="0.2">
      <c r="A2435">
        <v>3.4881333333333299E-2</v>
      </c>
      <c r="B2435">
        <v>0.343763718054161</v>
      </c>
      <c r="C2435">
        <v>0.29492305099854998</v>
      </c>
      <c r="D2435">
        <v>0.489024746982614</v>
      </c>
      <c r="E2435">
        <v>0.45660214474800598</v>
      </c>
    </row>
    <row r="2436" spans="1:5" x14ac:dyDescent="0.2">
      <c r="A2436">
        <v>3.4908000000000002E-2</v>
      </c>
      <c r="B2436">
        <v>0.34384641178599101</v>
      </c>
      <c r="C2436">
        <v>0.29500574014301301</v>
      </c>
      <c r="D2436">
        <v>0.48914407190432801</v>
      </c>
      <c r="E2436">
        <v>0.45671946530736501</v>
      </c>
    </row>
    <row r="2437" spans="1:5" x14ac:dyDescent="0.2">
      <c r="A2437">
        <v>3.4934666666666697E-2</v>
      </c>
      <c r="B2437">
        <v>0.34392910438906499</v>
      </c>
      <c r="C2437">
        <v>0.29508850608749998</v>
      </c>
      <c r="D2437">
        <v>0.48926336157184402</v>
      </c>
      <c r="E2437">
        <v>0.45683654883290398</v>
      </c>
    </row>
    <row r="2438" spans="1:5" x14ac:dyDescent="0.2">
      <c r="A2438">
        <v>3.4961333333333303E-2</v>
      </c>
      <c r="B2438">
        <v>0.34401179621733202</v>
      </c>
      <c r="C2438">
        <v>0.29517135246458998</v>
      </c>
      <c r="D2438">
        <v>0.48938261597234001</v>
      </c>
      <c r="E2438">
        <v>0.45695339449452699</v>
      </c>
    </row>
    <row r="2439" spans="1:5" x14ac:dyDescent="0.2">
      <c r="A2439">
        <v>3.4987999999999998E-2</v>
      </c>
      <c r="B2439">
        <v>0.34409448762474099</v>
      </c>
      <c r="C2439">
        <v>0.29525428290685901</v>
      </c>
      <c r="D2439">
        <v>0.489501835092988</v>
      </c>
      <c r="E2439">
        <v>0.45707000146214299</v>
      </c>
    </row>
    <row r="2440" spans="1:5" x14ac:dyDescent="0.2">
      <c r="A2440">
        <v>3.5014666666666701E-2</v>
      </c>
      <c r="B2440">
        <v>0.34417717896524003</v>
      </c>
      <c r="C2440">
        <v>0.295337300902626</v>
      </c>
      <c r="D2440">
        <v>0.48962101892096399</v>
      </c>
      <c r="E2440">
        <v>0.457186368905657</v>
      </c>
    </row>
    <row r="2441" spans="1:5" x14ac:dyDescent="0.2">
      <c r="A2441">
        <v>3.5041333333333299E-2</v>
      </c>
      <c r="B2441">
        <v>0.34425987059277802</v>
      </c>
      <c r="C2441">
        <v>0.295420407288364</v>
      </c>
      <c r="D2441">
        <v>0.48974016744344401</v>
      </c>
      <c r="E2441">
        <v>0.45730249599497602</v>
      </c>
    </row>
    <row r="2442" spans="1:5" x14ac:dyDescent="0.2">
      <c r="A2442">
        <v>3.5068000000000002E-2</v>
      </c>
      <c r="B2442">
        <v>0.34434256286130299</v>
      </c>
      <c r="C2442">
        <v>0.29550360057320701</v>
      </c>
      <c r="D2442">
        <v>0.48985928064760198</v>
      </c>
      <c r="E2442">
        <v>0.457418381900007</v>
      </c>
    </row>
    <row r="2443" spans="1:5" x14ac:dyDescent="0.2">
      <c r="A2443">
        <v>3.5094666666666698E-2</v>
      </c>
      <c r="B2443">
        <v>0.34442525612476399</v>
      </c>
      <c r="C2443">
        <v>0.295586879187278</v>
      </c>
      <c r="D2443">
        <v>0.489978358520612</v>
      </c>
      <c r="E2443">
        <v>0.457534025790656</v>
      </c>
    </row>
    <row r="2444" spans="1:5" x14ac:dyDescent="0.2">
      <c r="A2444">
        <v>3.5121333333333303E-2</v>
      </c>
      <c r="B2444">
        <v>0.34450795073710899</v>
      </c>
      <c r="C2444">
        <v>0.29567024156069599</v>
      </c>
      <c r="D2444">
        <v>0.49009740104965099</v>
      </c>
      <c r="E2444">
        <v>0.45764942683682902</v>
      </c>
    </row>
    <row r="2445" spans="1:5" x14ac:dyDescent="0.2">
      <c r="A2445">
        <v>3.5147999999999999E-2</v>
      </c>
      <c r="B2445">
        <v>0.34459064705228698</v>
      </c>
      <c r="C2445">
        <v>0.29575368612358499</v>
      </c>
      <c r="D2445">
        <v>0.490216408221892</v>
      </c>
      <c r="E2445">
        <v>0.45776458420843502</v>
      </c>
    </row>
    <row r="2446" spans="1:5" x14ac:dyDescent="0.2">
      <c r="A2446">
        <v>3.5174666666666701E-2</v>
      </c>
      <c r="B2446">
        <v>0.34467334542424599</v>
      </c>
      <c r="C2446">
        <v>0.29583721130606599</v>
      </c>
      <c r="D2446">
        <v>0.49033538002451099</v>
      </c>
      <c r="E2446">
        <v>0.45787949707537801</v>
      </c>
    </row>
    <row r="2447" spans="1:5" x14ac:dyDescent="0.2">
      <c r="A2447">
        <v>3.52013333333333E-2</v>
      </c>
      <c r="B2447">
        <v>0.34475604620693501</v>
      </c>
      <c r="C2447">
        <v>0.29592081553826</v>
      </c>
      <c r="D2447">
        <v>0.49045431644468301</v>
      </c>
      <c r="E2447">
        <v>0.45799416460756598</v>
      </c>
    </row>
    <row r="2448" spans="1:5" x14ac:dyDescent="0.2">
      <c r="A2448">
        <v>3.5228000000000002E-2</v>
      </c>
      <c r="B2448">
        <v>0.34483874975430301</v>
      </c>
      <c r="C2448">
        <v>0.29600449725028899</v>
      </c>
      <c r="D2448">
        <v>0.49057321746958199</v>
      </c>
      <c r="E2448">
        <v>0.458108585974906</v>
      </c>
    </row>
    <row r="2449" spans="1:5" x14ac:dyDescent="0.2">
      <c r="A2449">
        <v>3.5254666666666698E-2</v>
      </c>
      <c r="B2449">
        <v>0.34492145642029698</v>
      </c>
      <c r="C2449">
        <v>0.29608825487227403</v>
      </c>
      <c r="D2449">
        <v>0.49069208308638401</v>
      </c>
      <c r="E2449">
        <v>0.45822276034730303</v>
      </c>
    </row>
    <row r="2450" spans="1:5" x14ac:dyDescent="0.2">
      <c r="A2450">
        <v>3.5281333333333303E-2</v>
      </c>
      <c r="B2450">
        <v>0.34500416655886801</v>
      </c>
      <c r="C2450">
        <v>0.29617208683433699</v>
      </c>
      <c r="D2450">
        <v>0.49081091328226301</v>
      </c>
      <c r="E2450">
        <v>0.458336686894664</v>
      </c>
    </row>
    <row r="2451" spans="1:5" x14ac:dyDescent="0.2">
      <c r="A2451">
        <v>3.5307999999999999E-2</v>
      </c>
      <c r="B2451">
        <v>0.34508688052396203</v>
      </c>
      <c r="C2451">
        <v>0.29625599156659999</v>
      </c>
      <c r="D2451">
        <v>0.49092970804439501</v>
      </c>
      <c r="E2451">
        <v>0.45845036478689699</v>
      </c>
    </row>
    <row r="2452" spans="1:5" x14ac:dyDescent="0.2">
      <c r="A2452">
        <v>3.5334666666666702E-2</v>
      </c>
      <c r="B2452">
        <v>0.34516959866952901</v>
      </c>
      <c r="C2452">
        <v>0.29633996749918501</v>
      </c>
      <c r="D2452">
        <v>0.491048467359954</v>
      </c>
      <c r="E2452">
        <v>0.458563793193908</v>
      </c>
    </row>
    <row r="2453" spans="1:5" x14ac:dyDescent="0.2">
      <c r="A2453">
        <v>3.53613333333333E-2</v>
      </c>
      <c r="B2453">
        <v>0.345252321349517</v>
      </c>
      <c r="C2453">
        <v>0.296424013062212</v>
      </c>
      <c r="D2453">
        <v>0.49116719121611602</v>
      </c>
      <c r="E2453">
        <v>0.45867697128560297</v>
      </c>
    </row>
    <row r="2454" spans="1:5" x14ac:dyDescent="0.2">
      <c r="A2454">
        <v>3.5388000000000003E-2</v>
      </c>
      <c r="B2454">
        <v>0.34533504891787398</v>
      </c>
      <c r="C2454">
        <v>0.29650812668580401</v>
      </c>
      <c r="D2454">
        <v>0.49128587960005399</v>
      </c>
      <c r="E2454">
        <v>0.45878989823188798</v>
      </c>
    </row>
    <row r="2455" spans="1:5" x14ac:dyDescent="0.2">
      <c r="A2455">
        <v>3.5414666666666698E-2</v>
      </c>
      <c r="B2455">
        <v>0.34541778172854998</v>
      </c>
      <c r="C2455">
        <v>0.29659230680008097</v>
      </c>
      <c r="D2455">
        <v>0.491404532498945</v>
      </c>
      <c r="E2455">
        <v>0.45890257320267103</v>
      </c>
    </row>
    <row r="2456" spans="1:5" x14ac:dyDescent="0.2">
      <c r="A2456">
        <v>3.5441333333333297E-2</v>
      </c>
      <c r="B2456">
        <v>0.34550052013549298</v>
      </c>
      <c r="C2456">
        <v>0.296676551835167</v>
      </c>
      <c r="D2456">
        <v>0.49152314989996299</v>
      </c>
      <c r="E2456">
        <v>0.459014995367859</v>
      </c>
    </row>
    <row r="2457" spans="1:5" x14ac:dyDescent="0.2">
      <c r="A2457">
        <v>3.5468E-2</v>
      </c>
      <c r="B2457">
        <v>0.34558326449265098</v>
      </c>
      <c r="C2457">
        <v>0.29676086022118198</v>
      </c>
      <c r="D2457">
        <v>0.49164173179028198</v>
      </c>
      <c r="E2457">
        <v>0.45912716389735703</v>
      </c>
    </row>
    <row r="2458" spans="1:5" x14ac:dyDescent="0.2">
      <c r="A2458">
        <v>3.5494666666666702E-2</v>
      </c>
      <c r="B2458">
        <v>0.34566601515397199</v>
      </c>
      <c r="C2458">
        <v>0.296845230388248</v>
      </c>
      <c r="D2458">
        <v>0.49176027815707901</v>
      </c>
      <c r="E2458">
        <v>0.459239077961072</v>
      </c>
    </row>
    <row r="2459" spans="1:5" x14ac:dyDescent="0.2">
      <c r="A2459">
        <v>3.5521333333333301E-2</v>
      </c>
      <c r="B2459">
        <v>0.34574877247340702</v>
      </c>
      <c r="C2459">
        <v>0.29692966076648603</v>
      </c>
      <c r="D2459">
        <v>0.49187878898752702</v>
      </c>
      <c r="E2459">
        <v>0.45935073672891102</v>
      </c>
    </row>
    <row r="2460" spans="1:5" x14ac:dyDescent="0.2">
      <c r="A2460">
        <v>3.5548000000000003E-2</v>
      </c>
      <c r="B2460">
        <v>0.34583153680490197</v>
      </c>
      <c r="C2460">
        <v>0.29701414978601798</v>
      </c>
      <c r="D2460">
        <v>0.49199726426880303</v>
      </c>
      <c r="E2460">
        <v>0.45946213937078101</v>
      </c>
    </row>
    <row r="2461" spans="1:5" x14ac:dyDescent="0.2">
      <c r="A2461">
        <v>3.5574666666666699E-2</v>
      </c>
      <c r="B2461">
        <v>0.34591430850240601</v>
      </c>
      <c r="C2461">
        <v>0.29709869587696602</v>
      </c>
      <c r="D2461">
        <v>0.49211570398808002</v>
      </c>
      <c r="E2461">
        <v>0.45957328505658801</v>
      </c>
    </row>
    <row r="2462" spans="1:5" x14ac:dyDescent="0.2">
      <c r="A2462">
        <v>3.5601333333333297E-2</v>
      </c>
      <c r="B2462">
        <v>0.345997087919869</v>
      </c>
      <c r="C2462">
        <v>0.29718329746945099</v>
      </c>
      <c r="D2462">
        <v>0.49223410813253299</v>
      </c>
      <c r="E2462">
        <v>0.45968417295623898</v>
      </c>
    </row>
    <row r="2463" spans="1:5" x14ac:dyDescent="0.2">
      <c r="A2463">
        <v>3.5628E-2</v>
      </c>
      <c r="B2463">
        <v>0.34607987541123802</v>
      </c>
      <c r="C2463">
        <v>0.29726795299359599</v>
      </c>
      <c r="D2463">
        <v>0.49235247668933801</v>
      </c>
      <c r="E2463">
        <v>0.45979480223963998</v>
      </c>
    </row>
    <row r="2464" spans="1:5" x14ac:dyDescent="0.2">
      <c r="A2464">
        <v>3.5654666666666703E-2</v>
      </c>
      <c r="B2464">
        <v>0.34616267133046202</v>
      </c>
      <c r="C2464">
        <v>0.29735266087952</v>
      </c>
      <c r="D2464">
        <v>0.49247080964567003</v>
      </c>
      <c r="E2464">
        <v>0.45990517207669801</v>
      </c>
    </row>
    <row r="2465" spans="1:5" x14ac:dyDescent="0.2">
      <c r="A2465">
        <v>3.5681333333333301E-2</v>
      </c>
      <c r="B2465">
        <v>0.34624547603148897</v>
      </c>
      <c r="C2465">
        <v>0.29743741955734698</v>
      </c>
      <c r="D2465">
        <v>0.49258910698870301</v>
      </c>
      <c r="E2465">
        <v>0.46001528163731897</v>
      </c>
    </row>
    <row r="2466" spans="1:5" x14ac:dyDescent="0.2">
      <c r="A2466">
        <v>3.5707999999999997E-2</v>
      </c>
      <c r="B2466">
        <v>0.34632828986826902</v>
      </c>
      <c r="C2466">
        <v>0.29752222745719797</v>
      </c>
      <c r="D2466">
        <v>0.49270736870561299</v>
      </c>
      <c r="E2466">
        <v>0.46012513009141098</v>
      </c>
    </row>
    <row r="2467" spans="1:5" x14ac:dyDescent="0.2">
      <c r="A2467">
        <v>3.5734666666666699E-2</v>
      </c>
      <c r="B2467">
        <v>0.34641111319474999</v>
      </c>
      <c r="C2467">
        <v>0.29760708300919297</v>
      </c>
      <c r="D2467">
        <v>0.49282559478357302</v>
      </c>
      <c r="E2467">
        <v>0.46023471660887899</v>
      </c>
    </row>
    <row r="2468" spans="1:5" x14ac:dyDescent="0.2">
      <c r="A2468">
        <v>3.5761333333333298E-2</v>
      </c>
      <c r="B2468">
        <v>0.34649394636487901</v>
      </c>
      <c r="C2468">
        <v>0.29769198464345598</v>
      </c>
      <c r="D2468">
        <v>0.49294378520976001</v>
      </c>
      <c r="E2468">
        <v>0.460344040359631</v>
      </c>
    </row>
    <row r="2469" spans="1:5" x14ac:dyDescent="0.2">
      <c r="A2469">
        <v>3.5788E-2</v>
      </c>
      <c r="B2469">
        <v>0.34657678973260703</v>
      </c>
      <c r="C2469">
        <v>0.29777693079010698</v>
      </c>
      <c r="D2469">
        <v>0.49306193997134801</v>
      </c>
      <c r="E2469">
        <v>0.46045310051357202</v>
      </c>
    </row>
    <row r="2470" spans="1:5" x14ac:dyDescent="0.2">
      <c r="A2470">
        <v>3.5814666666666703E-2</v>
      </c>
      <c r="B2470">
        <v>0.34665964365188101</v>
      </c>
      <c r="C2470">
        <v>0.29786191987926802</v>
      </c>
      <c r="D2470">
        <v>0.49318005905551199</v>
      </c>
      <c r="E2470">
        <v>0.46056189624061</v>
      </c>
    </row>
    <row r="2471" spans="1:5" x14ac:dyDescent="0.2">
      <c r="A2471">
        <v>3.5841333333333301E-2</v>
      </c>
      <c r="B2471">
        <v>0.346742508476649</v>
      </c>
      <c r="C2471">
        <v>0.297946950341061</v>
      </c>
      <c r="D2471">
        <v>0.49329814244942799</v>
      </c>
      <c r="E2471">
        <v>0.460670426710652</v>
      </c>
    </row>
    <row r="2472" spans="1:5" x14ac:dyDescent="0.2">
      <c r="A2472">
        <v>3.5867999999999997E-2</v>
      </c>
      <c r="B2472">
        <v>0.34682538456086098</v>
      </c>
      <c r="C2472">
        <v>0.29803202060560802</v>
      </c>
      <c r="D2472">
        <v>0.493416190140269</v>
      </c>
      <c r="E2472">
        <v>0.46077869109360298</v>
      </c>
    </row>
    <row r="2473" spans="1:5" x14ac:dyDescent="0.2">
      <c r="A2473">
        <v>3.58946666666667E-2</v>
      </c>
      <c r="B2473">
        <v>0.34690827225846499</v>
      </c>
      <c r="C2473">
        <v>0.29811712910302901</v>
      </c>
      <c r="D2473">
        <v>0.49353420211521098</v>
      </c>
      <c r="E2473">
        <v>0.46088668855936998</v>
      </c>
    </row>
    <row r="2474" spans="1:5" x14ac:dyDescent="0.2">
      <c r="A2474">
        <v>3.5921333333333298E-2</v>
      </c>
      <c r="B2474">
        <v>0.346991171923409</v>
      </c>
      <c r="C2474">
        <v>0.29820227426344598</v>
      </c>
      <c r="D2474">
        <v>0.493652178361428</v>
      </c>
      <c r="E2474">
        <v>0.46099441827786097</v>
      </c>
    </row>
    <row r="2475" spans="1:5" x14ac:dyDescent="0.2">
      <c r="A2475">
        <v>3.5948000000000001E-2</v>
      </c>
      <c r="B2475">
        <v>0.34707408390964201</v>
      </c>
      <c r="C2475">
        <v>0.29828745451698202</v>
      </c>
      <c r="D2475">
        <v>0.49377011886609701</v>
      </c>
      <c r="E2475">
        <v>0.46110187941898101</v>
      </c>
    </row>
    <row r="2476" spans="1:5" x14ac:dyDescent="0.2">
      <c r="A2476">
        <v>3.5974666666666703E-2</v>
      </c>
      <c r="B2476">
        <v>0.34715700857111298</v>
      </c>
      <c r="C2476">
        <v>0.29837266829375803</v>
      </c>
      <c r="D2476">
        <v>0.493888023616391</v>
      </c>
      <c r="E2476">
        <v>0.46120907115263698</v>
      </c>
    </row>
    <row r="2477" spans="1:5" x14ac:dyDescent="0.2">
      <c r="A2477">
        <v>3.6001333333333302E-2</v>
      </c>
      <c r="B2477">
        <v>0.34723994626177002</v>
      </c>
      <c r="C2477">
        <v>0.29845791402389399</v>
      </c>
      <c r="D2477">
        <v>0.49400589259948402</v>
      </c>
      <c r="E2477">
        <v>0.46131599264873602</v>
      </c>
    </row>
    <row r="2478" spans="1:5" x14ac:dyDescent="0.2">
      <c r="A2478">
        <v>3.6027999999999998E-2</v>
      </c>
      <c r="B2478">
        <v>0.34732289733556199</v>
      </c>
      <c r="C2478">
        <v>0.29854319013751401</v>
      </c>
      <c r="D2478">
        <v>0.49412372578791203</v>
      </c>
      <c r="E2478">
        <v>0.461422643077184</v>
      </c>
    </row>
    <row r="2479" spans="1:5" x14ac:dyDescent="0.2">
      <c r="A2479">
        <v>3.60546666666667E-2</v>
      </c>
      <c r="B2479">
        <v>0.34740586214643598</v>
      </c>
      <c r="C2479">
        <v>0.29862849506473799</v>
      </c>
      <c r="D2479">
        <v>0.49424152310379599</v>
      </c>
      <c r="E2479">
        <v>0.461529021607888</v>
      </c>
    </row>
    <row r="2480" spans="1:5" x14ac:dyDescent="0.2">
      <c r="A2480">
        <v>3.6081333333333299E-2</v>
      </c>
      <c r="B2480">
        <v>0.34748884104834199</v>
      </c>
      <c r="C2480">
        <v>0.29871382723568801</v>
      </c>
      <c r="D2480">
        <v>0.49435928445841298</v>
      </c>
      <c r="E2480">
        <v>0.46163512741075502</v>
      </c>
    </row>
    <row r="2481" spans="1:5" x14ac:dyDescent="0.2">
      <c r="A2481">
        <v>3.6108000000000001E-2</v>
      </c>
      <c r="B2481">
        <v>0.34757183439522898</v>
      </c>
      <c r="C2481">
        <v>0.29879918508048597</v>
      </c>
      <c r="D2481">
        <v>0.49447700976303599</v>
      </c>
      <c r="E2481">
        <v>0.46174095965569101</v>
      </c>
    </row>
    <row r="2482" spans="1:5" x14ac:dyDescent="0.2">
      <c r="A2482">
        <v>3.6134666666666697E-2</v>
      </c>
      <c r="B2482">
        <v>0.34765484254104401</v>
      </c>
      <c r="C2482">
        <v>0.29888456702925298</v>
      </c>
      <c r="D2482">
        <v>0.49459469892894298</v>
      </c>
      <c r="E2482">
        <v>0.46184651751260303</v>
      </c>
    </row>
    <row r="2483" spans="1:5" x14ac:dyDescent="0.2">
      <c r="A2483">
        <v>3.6161333333333302E-2</v>
      </c>
      <c r="B2483">
        <v>0.34773786583973698</v>
      </c>
      <c r="C2483">
        <v>0.29896997151211102</v>
      </c>
      <c r="D2483">
        <v>0.49471235186740897</v>
      </c>
      <c r="E2483">
        <v>0.46195180015139797</v>
      </c>
    </row>
    <row r="2484" spans="1:5" x14ac:dyDescent="0.2">
      <c r="A2484">
        <v>3.6187999999999998E-2</v>
      </c>
      <c r="B2484">
        <v>0.347820904645255</v>
      </c>
      <c r="C2484">
        <v>0.29905539695918198</v>
      </c>
      <c r="D2484">
        <v>0.49482996848971</v>
      </c>
      <c r="E2484">
        <v>0.46205680674198102</v>
      </c>
    </row>
    <row r="2485" spans="1:5" x14ac:dyDescent="0.2">
      <c r="A2485">
        <v>3.6214666666666701E-2</v>
      </c>
      <c r="B2485">
        <v>0.34790395931154799</v>
      </c>
      <c r="C2485">
        <v>0.29914084180058598</v>
      </c>
      <c r="D2485">
        <v>0.49494754870712099</v>
      </c>
      <c r="E2485">
        <v>0.46216153645426</v>
      </c>
    </row>
    <row r="2486" spans="1:5" x14ac:dyDescent="0.2">
      <c r="A2486">
        <v>3.6241333333333299E-2</v>
      </c>
      <c r="B2486">
        <v>0.347987030192563</v>
      </c>
      <c r="C2486">
        <v>0.29922630446644699</v>
      </c>
      <c r="D2486">
        <v>0.49506509243091801</v>
      </c>
      <c r="E2486">
        <v>0.46226598845814099</v>
      </c>
    </row>
    <row r="2487" spans="1:5" x14ac:dyDescent="0.2">
      <c r="A2487">
        <v>3.6268000000000002E-2</v>
      </c>
      <c r="B2487">
        <v>0.34807011764224999</v>
      </c>
      <c r="C2487">
        <v>0.29931178338688402</v>
      </c>
      <c r="D2487">
        <v>0.49518259957237598</v>
      </c>
      <c r="E2487">
        <v>0.46237016192353098</v>
      </c>
    </row>
    <row r="2488" spans="1:5" x14ac:dyDescent="0.2">
      <c r="A2488">
        <v>3.6294666666666697E-2</v>
      </c>
      <c r="B2488">
        <v>0.34815322201455701</v>
      </c>
      <c r="C2488">
        <v>0.29939727699202101</v>
      </c>
      <c r="D2488">
        <v>0.49530007004277199</v>
      </c>
      <c r="E2488">
        <v>0.46247405602033598</v>
      </c>
    </row>
    <row r="2489" spans="1:5" x14ac:dyDescent="0.2">
      <c r="A2489">
        <v>3.6321333333333303E-2</v>
      </c>
      <c r="B2489">
        <v>0.34823634366343298</v>
      </c>
      <c r="C2489">
        <v>0.29948278371197801</v>
      </c>
      <c r="D2489">
        <v>0.49541750375338101</v>
      </c>
      <c r="E2489">
        <v>0.462577669918463</v>
      </c>
    </row>
    <row r="2490" spans="1:5" x14ac:dyDescent="0.2">
      <c r="A2490">
        <v>3.6347999999999998E-2</v>
      </c>
      <c r="B2490">
        <v>0.348319482942826</v>
      </c>
      <c r="C2490">
        <v>0.29956830197687701</v>
      </c>
      <c r="D2490">
        <v>0.495534900615479</v>
      </c>
      <c r="E2490">
        <v>0.46268100278781898</v>
      </c>
    </row>
    <row r="2491" spans="1:5" x14ac:dyDescent="0.2">
      <c r="A2491">
        <v>3.6374666666666701E-2</v>
      </c>
      <c r="B2491">
        <v>0.34840264020668399</v>
      </c>
      <c r="C2491">
        <v>0.29965383021684</v>
      </c>
      <c r="D2491">
        <v>0.49565226054034101</v>
      </c>
      <c r="E2491">
        <v>0.46278405379831</v>
      </c>
    </row>
    <row r="2492" spans="1:5" x14ac:dyDescent="0.2">
      <c r="A2492">
        <v>3.6401333333333299E-2</v>
      </c>
      <c r="B2492">
        <v>0.34848581580895599</v>
      </c>
      <c r="C2492">
        <v>0.29973936686198799</v>
      </c>
      <c r="D2492">
        <v>0.49576958343924299</v>
      </c>
      <c r="E2492">
        <v>0.462886822119843</v>
      </c>
    </row>
    <row r="2493" spans="1:5" x14ac:dyDescent="0.2">
      <c r="A2493">
        <v>3.6428000000000002E-2</v>
      </c>
      <c r="B2493">
        <v>0.34856901010359098</v>
      </c>
      <c r="C2493">
        <v>0.29982491034244302</v>
      </c>
      <c r="D2493">
        <v>0.49588686922346098</v>
      </c>
      <c r="E2493">
        <v>0.46298930692232498</v>
      </c>
    </row>
    <row r="2494" spans="1:5" x14ac:dyDescent="0.2">
      <c r="A2494">
        <v>3.6454666666666698E-2</v>
      </c>
      <c r="B2494">
        <v>0.348652223444537</v>
      </c>
      <c r="C2494">
        <v>0.29991045908832598</v>
      </c>
      <c r="D2494">
        <v>0.49600411780427101</v>
      </c>
      <c r="E2494">
        <v>0.46309150737566102</v>
      </c>
    </row>
    <row r="2495" spans="1:5" x14ac:dyDescent="0.2">
      <c r="A2495">
        <v>3.6481333333333303E-2</v>
      </c>
      <c r="B2495">
        <v>0.34873545618574298</v>
      </c>
      <c r="C2495">
        <v>0.29999601152976002</v>
      </c>
      <c r="D2495">
        <v>0.49612132909294698</v>
      </c>
      <c r="E2495">
        <v>0.46319342264975899</v>
      </c>
    </row>
    <row r="2496" spans="1:5" x14ac:dyDescent="0.2">
      <c r="A2496">
        <v>3.6507999999999999E-2</v>
      </c>
      <c r="B2496">
        <v>0.348818708681158</v>
      </c>
      <c r="C2496">
        <v>0.30008156609686498</v>
      </c>
      <c r="D2496">
        <v>0.496238503000766</v>
      </c>
      <c r="E2496">
        <v>0.46329505191452502</v>
      </c>
    </row>
    <row r="2497" spans="1:5" x14ac:dyDescent="0.2">
      <c r="A2497">
        <v>3.6534666666666701E-2</v>
      </c>
      <c r="B2497">
        <v>0.34890198128472899</v>
      </c>
      <c r="C2497">
        <v>0.30016712121976302</v>
      </c>
      <c r="D2497">
        <v>0.49635563943900401</v>
      </c>
      <c r="E2497">
        <v>0.46339639433986701</v>
      </c>
    </row>
    <row r="2498" spans="1:5" x14ac:dyDescent="0.2">
      <c r="A2498">
        <v>3.65613333333333E-2</v>
      </c>
      <c r="B2498">
        <v>0.34898527435040499</v>
      </c>
      <c r="C2498">
        <v>0.30025267532857702</v>
      </c>
      <c r="D2498">
        <v>0.49647273831893601</v>
      </c>
      <c r="E2498">
        <v>0.46349744909568902</v>
      </c>
    </row>
    <row r="2499" spans="1:5" x14ac:dyDescent="0.2">
      <c r="A2499">
        <v>3.6588000000000002E-2</v>
      </c>
      <c r="B2499">
        <v>0.34906858823213499</v>
      </c>
      <c r="C2499">
        <v>0.30033822685342698</v>
      </c>
      <c r="D2499">
        <v>0.49658979955183802</v>
      </c>
      <c r="E2499">
        <v>0.46359821535189999</v>
      </c>
    </row>
    <row r="2500" spans="1:5" x14ac:dyDescent="0.2">
      <c r="A2500">
        <v>3.6614666666666698E-2</v>
      </c>
      <c r="B2500">
        <v>0.34915192328386802</v>
      </c>
      <c r="C2500">
        <v>0.300423774224435</v>
      </c>
      <c r="D2500">
        <v>0.496706823048985</v>
      </c>
      <c r="E2500">
        <v>0.46369869227840499</v>
      </c>
    </row>
    <row r="2501" spans="1:5" x14ac:dyDescent="0.2">
      <c r="A2501">
        <v>3.6641333333333297E-2</v>
      </c>
      <c r="B2501">
        <v>0.34923527985955199</v>
      </c>
      <c r="C2501">
        <v>0.30050931587172203</v>
      </c>
      <c r="D2501">
        <v>0.49682380872165299</v>
      </c>
      <c r="E2501">
        <v>0.46379887904511202</v>
      </c>
    </row>
    <row r="2502" spans="1:5" x14ac:dyDescent="0.2">
      <c r="A2502">
        <v>3.6667999999999999E-2</v>
      </c>
      <c r="B2502">
        <v>0.34931865831313502</v>
      </c>
      <c r="C2502">
        <v>0.30059485022541099</v>
      </c>
      <c r="D2502">
        <v>0.49694075648111902</v>
      </c>
      <c r="E2502">
        <v>0.46389877482192599</v>
      </c>
    </row>
    <row r="2503" spans="1:5" x14ac:dyDescent="0.2">
      <c r="A2503">
        <v>3.6694666666666702E-2</v>
      </c>
      <c r="B2503">
        <v>0.34940205899856702</v>
      </c>
      <c r="C2503">
        <v>0.30068037571562301</v>
      </c>
      <c r="D2503">
        <v>0.49705766623865599</v>
      </c>
      <c r="E2503">
        <v>0.46399837877875499</v>
      </c>
    </row>
    <row r="2504" spans="1:5" x14ac:dyDescent="0.2">
      <c r="A2504">
        <v>3.67213333333333E-2</v>
      </c>
      <c r="B2504">
        <v>0.34948548226979398</v>
      </c>
      <c r="C2504">
        <v>0.30076589077248</v>
      </c>
      <c r="D2504">
        <v>0.497174537905543</v>
      </c>
      <c r="E2504">
        <v>0.464097690085505</v>
      </c>
    </row>
    <row r="2505" spans="1:5" x14ac:dyDescent="0.2">
      <c r="A2505">
        <v>3.6748000000000003E-2</v>
      </c>
      <c r="B2505">
        <v>0.34956892848076698</v>
      </c>
      <c r="C2505">
        <v>0.30085139382610199</v>
      </c>
      <c r="D2505">
        <v>0.49729137139305302</v>
      </c>
      <c r="E2505">
        <v>0.46419670791208301</v>
      </c>
    </row>
    <row r="2506" spans="1:5" x14ac:dyDescent="0.2">
      <c r="A2506">
        <v>3.6774666666666699E-2</v>
      </c>
      <c r="B2506">
        <v>0.34965239798543402</v>
      </c>
      <c r="C2506">
        <v>0.300936883306612</v>
      </c>
      <c r="D2506">
        <v>0.49740816661246201</v>
      </c>
      <c r="E2506">
        <v>0.46429543142839402</v>
      </c>
    </row>
    <row r="2507" spans="1:5" x14ac:dyDescent="0.2">
      <c r="A2507">
        <v>3.6801333333333297E-2</v>
      </c>
      <c r="B2507">
        <v>0.349735891137743</v>
      </c>
      <c r="C2507">
        <v>0.30102235764413099</v>
      </c>
      <c r="D2507">
        <v>0.49752492347504701</v>
      </c>
      <c r="E2507">
        <v>0.464393859804347</v>
      </c>
    </row>
    <row r="2508" spans="1:5" x14ac:dyDescent="0.2">
      <c r="A2508">
        <v>3.6828E-2</v>
      </c>
      <c r="B2508">
        <v>0.34981940829164299</v>
      </c>
      <c r="C2508">
        <v>0.301107815268782</v>
      </c>
      <c r="D2508">
        <v>0.49764164189208299</v>
      </c>
      <c r="E2508">
        <v>0.46449199220984699</v>
      </c>
    </row>
    <row r="2509" spans="1:5" x14ac:dyDescent="0.2">
      <c r="A2509">
        <v>3.6854666666666702E-2</v>
      </c>
      <c r="B2509">
        <v>0.349902949801082</v>
      </c>
      <c r="C2509">
        <v>0.30119325461068502</v>
      </c>
      <c r="D2509">
        <v>0.49775832177484503</v>
      </c>
      <c r="E2509">
        <v>0.46458982781480201</v>
      </c>
    </row>
    <row r="2510" spans="1:5" x14ac:dyDescent="0.2">
      <c r="A2510">
        <v>3.6881333333333301E-2</v>
      </c>
      <c r="B2510">
        <v>0.34998651602000802</v>
      </c>
      <c r="C2510">
        <v>0.30127867409996101</v>
      </c>
      <c r="D2510">
        <v>0.49787496303460999</v>
      </c>
      <c r="E2510">
        <v>0.46468736578911701</v>
      </c>
    </row>
    <row r="2511" spans="1:5" x14ac:dyDescent="0.2">
      <c r="A2511">
        <v>3.6908000000000003E-2</v>
      </c>
      <c r="B2511">
        <v>0.35007010730237198</v>
      </c>
      <c r="C2511">
        <v>0.301364072166734</v>
      </c>
      <c r="D2511">
        <v>0.49799156558265301</v>
      </c>
      <c r="E2511">
        <v>0.46478460530269899</v>
      </c>
    </row>
    <row r="2512" spans="1:5" x14ac:dyDescent="0.2">
      <c r="A2512">
        <v>3.6934666666666699E-2</v>
      </c>
      <c r="B2512">
        <v>0.35015372400212003</v>
      </c>
      <c r="C2512">
        <v>0.30144944724112399</v>
      </c>
      <c r="D2512">
        <v>0.49810812933024901</v>
      </c>
      <c r="E2512">
        <v>0.46488154552545502</v>
      </c>
    </row>
    <row r="2513" spans="1:5" x14ac:dyDescent="0.2">
      <c r="A2513">
        <v>3.6961333333333297E-2</v>
      </c>
      <c r="B2513">
        <v>0.35023736647320097</v>
      </c>
      <c r="C2513">
        <v>0.30153479775325198</v>
      </c>
      <c r="D2513">
        <v>0.49822465418867501</v>
      </c>
      <c r="E2513">
        <v>0.46497818562729198</v>
      </c>
    </row>
    <row r="2514" spans="1:5" x14ac:dyDescent="0.2">
      <c r="A2514">
        <v>3.6988E-2</v>
      </c>
      <c r="B2514">
        <v>0.35032103506956402</v>
      </c>
      <c r="C2514">
        <v>0.30162012213324202</v>
      </c>
      <c r="D2514">
        <v>0.49834114006920599</v>
      </c>
      <c r="E2514">
        <v>0.46507452477811501</v>
      </c>
    </row>
    <row r="2515" spans="1:5" x14ac:dyDescent="0.2">
      <c r="A2515">
        <v>3.7014666666666703E-2</v>
      </c>
      <c r="B2515">
        <v>0.35040473014515799</v>
      </c>
      <c r="C2515">
        <v>0.30170541881121299</v>
      </c>
      <c r="D2515">
        <v>0.49845758688311798</v>
      </c>
      <c r="E2515">
        <v>0.46517056214783298</v>
      </c>
    </row>
    <row r="2516" spans="1:5" x14ac:dyDescent="0.2">
      <c r="A2516">
        <v>3.7041333333333301E-2</v>
      </c>
      <c r="B2516">
        <v>0.35048845205393098</v>
      </c>
      <c r="C2516">
        <v>0.301790686217288</v>
      </c>
      <c r="D2516">
        <v>0.49857399454168599</v>
      </c>
      <c r="E2516">
        <v>0.46526629690635102</v>
      </c>
    </row>
    <row r="2517" spans="1:5" x14ac:dyDescent="0.2">
      <c r="A2517">
        <v>3.7067999999999997E-2</v>
      </c>
      <c r="B2517">
        <v>0.35057220114983201</v>
      </c>
      <c r="C2517">
        <v>0.30187592278158798</v>
      </c>
      <c r="D2517">
        <v>0.49869036295618602</v>
      </c>
      <c r="E2517">
        <v>0.46536172822357502</v>
      </c>
    </row>
    <row r="2518" spans="1:5" x14ac:dyDescent="0.2">
      <c r="A2518">
        <v>3.7094666666666699E-2</v>
      </c>
      <c r="B2518">
        <v>0.35065597778680901</v>
      </c>
      <c r="C2518">
        <v>0.30196112693423499</v>
      </c>
      <c r="D2518">
        <v>0.49880669203789302</v>
      </c>
      <c r="E2518">
        <v>0.46545685526941299</v>
      </c>
    </row>
    <row r="2519" spans="1:5" x14ac:dyDescent="0.2">
      <c r="A2519">
        <v>3.7121333333333298E-2</v>
      </c>
      <c r="B2519">
        <v>0.35073978231880998</v>
      </c>
      <c r="C2519">
        <v>0.30204629710535102</v>
      </c>
      <c r="D2519">
        <v>0.49892298169808502</v>
      </c>
      <c r="E2519">
        <v>0.465551677213772</v>
      </c>
    </row>
    <row r="2520" spans="1:5" x14ac:dyDescent="0.2">
      <c r="A2520">
        <v>3.7148E-2</v>
      </c>
      <c r="B2520">
        <v>0.35082361509978399</v>
      </c>
      <c r="C2520">
        <v>0.30213143172505702</v>
      </c>
      <c r="D2520">
        <v>0.499039231848035</v>
      </c>
      <c r="E2520">
        <v>0.46564619322655698</v>
      </c>
    </row>
    <row r="2521" spans="1:5" x14ac:dyDescent="0.2">
      <c r="A2521">
        <v>3.7174666666666703E-2</v>
      </c>
      <c r="B2521">
        <v>0.35090747648368098</v>
      </c>
      <c r="C2521">
        <v>0.30221652922347397</v>
      </c>
      <c r="D2521">
        <v>0.49915544239901999</v>
      </c>
      <c r="E2521">
        <v>0.46574040247767501</v>
      </c>
    </row>
    <row r="2522" spans="1:5" x14ac:dyDescent="0.2">
      <c r="A2522">
        <v>3.7201333333333302E-2</v>
      </c>
      <c r="B2522">
        <v>0.35099136682444698</v>
      </c>
      <c r="C2522">
        <v>0.30230158803072499</v>
      </c>
      <c r="D2522">
        <v>0.49927161326231601</v>
      </c>
      <c r="E2522">
        <v>0.46583430413703297</v>
      </c>
    </row>
    <row r="2523" spans="1:5" x14ac:dyDescent="0.2">
      <c r="A2523">
        <v>3.7227999999999997E-2</v>
      </c>
      <c r="B2523">
        <v>0.35107528647603298</v>
      </c>
      <c r="C2523">
        <v>0.30238660657693101</v>
      </c>
      <c r="D2523">
        <v>0.49938774434919703</v>
      </c>
      <c r="E2523">
        <v>0.46592789737453799</v>
      </c>
    </row>
    <row r="2524" spans="1:5" x14ac:dyDescent="0.2">
      <c r="A2524">
        <v>3.72546666666667E-2</v>
      </c>
      <c r="B2524">
        <v>0.351159235792386</v>
      </c>
      <c r="C2524">
        <v>0.30247158329221302</v>
      </c>
      <c r="D2524">
        <v>0.49950383557094102</v>
      </c>
      <c r="E2524">
        <v>0.46602118136009602</v>
      </c>
    </row>
    <row r="2525" spans="1:5" x14ac:dyDescent="0.2">
      <c r="A2525">
        <v>3.7281333333333298E-2</v>
      </c>
      <c r="B2525">
        <v>0.35124321512745399</v>
      </c>
      <c r="C2525">
        <v>0.30255651660669303</v>
      </c>
      <c r="D2525">
        <v>0.49961988683882202</v>
      </c>
      <c r="E2525">
        <v>0.46611415526361399</v>
      </c>
    </row>
    <row r="2526" spans="1:5" x14ac:dyDescent="0.2">
      <c r="A2526">
        <v>3.7308000000000001E-2</v>
      </c>
      <c r="B2526">
        <v>0.35132722483518702</v>
      </c>
      <c r="C2526">
        <v>0.30264140495049302</v>
      </c>
      <c r="D2526">
        <v>0.499735898064116</v>
      </c>
      <c r="E2526">
        <v>0.46620681825499699</v>
      </c>
    </row>
    <row r="2527" spans="1:5" x14ac:dyDescent="0.2">
      <c r="A2527">
        <v>3.7334666666666697E-2</v>
      </c>
      <c r="B2527">
        <v>0.35141126526953298</v>
      </c>
      <c r="C2527">
        <v>0.302726246753734</v>
      </c>
      <c r="D2527">
        <v>0.49985186915809998</v>
      </c>
      <c r="E2527">
        <v>0.46629916950415401</v>
      </c>
    </row>
    <row r="2528" spans="1:5" x14ac:dyDescent="0.2">
      <c r="A2528">
        <v>3.7361333333333302E-2</v>
      </c>
      <c r="B2528">
        <v>0.351495336784441</v>
      </c>
      <c r="C2528">
        <v>0.302811040446538</v>
      </c>
      <c r="D2528">
        <v>0.49996780003204699</v>
      </c>
      <c r="E2528">
        <v>0.466391208180991</v>
      </c>
    </row>
    <row r="2529" spans="1:5" x14ac:dyDescent="0.2">
      <c r="A2529">
        <v>3.7387999999999998E-2</v>
      </c>
      <c r="B2529">
        <v>0.35157943973385802</v>
      </c>
      <c r="C2529">
        <v>0.30289578445902599</v>
      </c>
      <c r="D2529">
        <v>0.50008369059723501</v>
      </c>
      <c r="E2529">
        <v>0.46648293345541297</v>
      </c>
    </row>
    <row r="2530" spans="1:5" x14ac:dyDescent="0.2">
      <c r="A2530">
        <v>3.74146666666667E-2</v>
      </c>
      <c r="B2530">
        <v>0.35166357447173502</v>
      </c>
      <c r="C2530">
        <v>0.30298047722132099</v>
      </c>
      <c r="D2530">
        <v>0.500199540764939</v>
      </c>
      <c r="E2530">
        <v>0.46657434449732899</v>
      </c>
    </row>
    <row r="2531" spans="1:5" x14ac:dyDescent="0.2">
      <c r="A2531">
        <v>3.7441333333333299E-2</v>
      </c>
      <c r="B2531">
        <v>0.35174774135201797</v>
      </c>
      <c r="C2531">
        <v>0.30306511716354301</v>
      </c>
      <c r="D2531">
        <v>0.50031535044643505</v>
      </c>
      <c r="E2531">
        <v>0.46666544047664299</v>
      </c>
    </row>
    <row r="2532" spans="1:5" x14ac:dyDescent="0.2">
      <c r="A2532">
        <v>3.7468000000000001E-2</v>
      </c>
      <c r="B2532">
        <v>0.35183194072865698</v>
      </c>
      <c r="C2532">
        <v>0.30314970271581498</v>
      </c>
      <c r="D2532">
        <v>0.50043111955299702</v>
      </c>
      <c r="E2532">
        <v>0.46675622056326399</v>
      </c>
    </row>
    <row r="2533" spans="1:5" x14ac:dyDescent="0.2">
      <c r="A2533">
        <v>3.7494666666666697E-2</v>
      </c>
      <c r="B2533">
        <v>0.35191617295560002</v>
      </c>
      <c r="C2533">
        <v>0.30323423230825702</v>
      </c>
      <c r="D2533">
        <v>0.50054684799590299</v>
      </c>
      <c r="E2533">
        <v>0.46684668392709699</v>
      </c>
    </row>
    <row r="2534" spans="1:5" x14ac:dyDescent="0.2">
      <c r="A2534">
        <v>3.7521333333333302E-2</v>
      </c>
      <c r="B2534">
        <v>0.35200043838679601</v>
      </c>
      <c r="C2534">
        <v>0.30331870437099201</v>
      </c>
      <c r="D2534">
        <v>0.50066253568642805</v>
      </c>
      <c r="E2534">
        <v>0.46693682973805001</v>
      </c>
    </row>
    <row r="2535" spans="1:5" x14ac:dyDescent="0.2">
      <c r="A2535">
        <v>3.7547999999999998E-2</v>
      </c>
      <c r="B2535">
        <v>0.352084737376193</v>
      </c>
      <c r="C2535">
        <v>0.30340311733414099</v>
      </c>
      <c r="D2535">
        <v>0.50077818253584605</v>
      </c>
      <c r="E2535">
        <v>0.46702665716602798</v>
      </c>
    </row>
    <row r="2536" spans="1:5" x14ac:dyDescent="0.2">
      <c r="A2536">
        <v>3.7574666666666701E-2</v>
      </c>
      <c r="B2536">
        <v>0.35216907027774003</v>
      </c>
      <c r="C2536">
        <v>0.30348746962782602</v>
      </c>
      <c r="D2536">
        <v>0.50089378845543497</v>
      </c>
      <c r="E2536">
        <v>0.46711616538093798</v>
      </c>
    </row>
    <row r="2537" spans="1:5" x14ac:dyDescent="0.2">
      <c r="A2537">
        <v>3.7601333333333299E-2</v>
      </c>
      <c r="B2537">
        <v>0.35225343744538501</v>
      </c>
      <c r="C2537">
        <v>0.30357175968216799</v>
      </c>
      <c r="D2537">
        <v>0.50100935335646901</v>
      </c>
      <c r="E2537">
        <v>0.467205353552688</v>
      </c>
    </row>
    <row r="2538" spans="1:5" x14ac:dyDescent="0.2">
      <c r="A2538">
        <v>3.7628000000000002E-2</v>
      </c>
      <c r="B2538">
        <v>0.35233783923307799</v>
      </c>
      <c r="C2538">
        <v>0.30365598592728898</v>
      </c>
      <c r="D2538">
        <v>0.50112487715022502</v>
      </c>
      <c r="E2538">
        <v>0.467294220851183</v>
      </c>
    </row>
    <row r="2539" spans="1:5" x14ac:dyDescent="0.2">
      <c r="A2539">
        <v>3.7654666666666697E-2</v>
      </c>
      <c r="B2539">
        <v>0.352422275994765</v>
      </c>
      <c r="C2539">
        <v>0.30374014679331002</v>
      </c>
      <c r="D2539">
        <v>0.50124035974797798</v>
      </c>
      <c r="E2539">
        <v>0.46738276644632998</v>
      </c>
    </row>
    <row r="2540" spans="1:5" x14ac:dyDescent="0.2">
      <c r="A2540">
        <v>3.7681333333333303E-2</v>
      </c>
      <c r="B2540">
        <v>0.35250674808439703</v>
      </c>
      <c r="C2540">
        <v>0.30382424071035402</v>
      </c>
      <c r="D2540">
        <v>0.50135580106100297</v>
      </c>
      <c r="E2540">
        <v>0.46747098950803601</v>
      </c>
    </row>
    <row r="2541" spans="1:5" x14ac:dyDescent="0.2">
      <c r="A2541">
        <v>3.7707999999999998E-2</v>
      </c>
      <c r="B2541">
        <v>0.35259125585592099</v>
      </c>
      <c r="C2541">
        <v>0.30390826610854099</v>
      </c>
      <c r="D2541">
        <v>0.50147120100057696</v>
      </c>
      <c r="E2541">
        <v>0.46755888920620697</v>
      </c>
    </row>
    <row r="2542" spans="1:5" x14ac:dyDescent="0.2">
      <c r="A2542">
        <v>3.7734666666666701E-2</v>
      </c>
      <c r="B2542">
        <v>0.35267579966328599</v>
      </c>
      <c r="C2542">
        <v>0.30399222141799298</v>
      </c>
      <c r="D2542">
        <v>0.50158655947797504</v>
      </c>
      <c r="E2542">
        <v>0.46764646471075</v>
      </c>
    </row>
    <row r="2543" spans="1:5" x14ac:dyDescent="0.2">
      <c r="A2543">
        <v>3.77613333333333E-2</v>
      </c>
      <c r="B2543">
        <v>0.35276037986044101</v>
      </c>
      <c r="C2543">
        <v>0.30407610506883198</v>
      </c>
      <c r="D2543">
        <v>0.50170187640447295</v>
      </c>
      <c r="E2543">
        <v>0.46773371519157197</v>
      </c>
    </row>
    <row r="2544" spans="1:5" x14ac:dyDescent="0.2">
      <c r="A2544">
        <v>3.7788000000000002E-2</v>
      </c>
      <c r="B2544">
        <v>0.35284499680133402</v>
      </c>
      <c r="C2544">
        <v>0.30415991549117999</v>
      </c>
      <c r="D2544">
        <v>0.501817151691346</v>
      </c>
      <c r="E2544">
        <v>0.46782063981858002</v>
      </c>
    </row>
    <row r="2545" spans="1:5" x14ac:dyDescent="0.2">
      <c r="A2545">
        <v>3.7814666666666698E-2</v>
      </c>
      <c r="B2545">
        <v>0.35292965083991301</v>
      </c>
      <c r="C2545">
        <v>0.304243651115158</v>
      </c>
      <c r="D2545">
        <v>0.50193238524987005</v>
      </c>
      <c r="E2545">
        <v>0.46790723776167797</v>
      </c>
    </row>
    <row r="2546" spans="1:5" x14ac:dyDescent="0.2">
      <c r="A2546">
        <v>3.7841333333333303E-2</v>
      </c>
      <c r="B2546">
        <v>0.35301434233012802</v>
      </c>
      <c r="C2546">
        <v>0.304327310370888</v>
      </c>
      <c r="D2546">
        <v>0.50204757699132097</v>
      </c>
      <c r="E2546">
        <v>0.46799350819077601</v>
      </c>
    </row>
    <row r="2547" spans="1:5" x14ac:dyDescent="0.2">
      <c r="A2547">
        <v>3.7867999999999999E-2</v>
      </c>
      <c r="B2547">
        <v>0.35309907162592702</v>
      </c>
      <c r="C2547">
        <v>0.30441089168849</v>
      </c>
      <c r="D2547">
        <v>0.50216272682697405</v>
      </c>
      <c r="E2547">
        <v>0.46807945027577802</v>
      </c>
    </row>
    <row r="2548" spans="1:5" x14ac:dyDescent="0.2">
      <c r="A2548">
        <v>3.7894666666666701E-2</v>
      </c>
      <c r="B2548">
        <v>0.353183839081257</v>
      </c>
      <c r="C2548">
        <v>0.30449439349808799</v>
      </c>
      <c r="D2548">
        <v>0.50227783466810605</v>
      </c>
      <c r="E2548">
        <v>0.46816506318659201</v>
      </c>
    </row>
    <row r="2549" spans="1:5" x14ac:dyDescent="0.2">
      <c r="A2549">
        <v>3.79213333333333E-2</v>
      </c>
      <c r="B2549">
        <v>0.353268645050069</v>
      </c>
      <c r="C2549">
        <v>0.30457781422980201</v>
      </c>
      <c r="D2549">
        <v>0.50239290042599105</v>
      </c>
      <c r="E2549">
        <v>0.46825034609312399</v>
      </c>
    </row>
    <row r="2550" spans="1:5" x14ac:dyDescent="0.2">
      <c r="A2550">
        <v>3.7948000000000003E-2</v>
      </c>
      <c r="B2550">
        <v>0.35335348988630999</v>
      </c>
      <c r="C2550">
        <v>0.30466115231375501</v>
      </c>
      <c r="D2550">
        <v>0.50250792401190603</v>
      </c>
      <c r="E2550">
        <v>0.46833529816528102</v>
      </c>
    </row>
    <row r="2551" spans="1:5" x14ac:dyDescent="0.2">
      <c r="A2551">
        <v>3.7974666666666698E-2</v>
      </c>
      <c r="B2551">
        <v>0.35343837394392902</v>
      </c>
      <c r="C2551">
        <v>0.30474440618006599</v>
      </c>
      <c r="D2551">
        <v>0.50262290533712695</v>
      </c>
      <c r="E2551">
        <v>0.46841991857297</v>
      </c>
    </row>
    <row r="2552" spans="1:5" x14ac:dyDescent="0.2">
      <c r="A2552">
        <v>3.8001333333333297E-2</v>
      </c>
      <c r="B2552">
        <v>0.35352329757687401</v>
      </c>
      <c r="C2552">
        <v>0.30482757425885998</v>
      </c>
      <c r="D2552">
        <v>0.50273784431292801</v>
      </c>
      <c r="E2552">
        <v>0.46850420648630098</v>
      </c>
    </row>
    <row r="2553" spans="1:5" x14ac:dyDescent="0.2">
      <c r="A2553">
        <v>3.8027999999999999E-2</v>
      </c>
      <c r="B2553">
        <v>0.35360826113909399</v>
      </c>
      <c r="C2553">
        <v>0.30491065498025599</v>
      </c>
      <c r="D2553">
        <v>0.50285274085058496</v>
      </c>
      <c r="E2553">
        <v>0.468588162972502</v>
      </c>
    </row>
    <row r="2554" spans="1:5" x14ac:dyDescent="0.2">
      <c r="A2554">
        <v>3.8054666666666702E-2</v>
      </c>
      <c r="B2554">
        <v>0.35369326498453801</v>
      </c>
      <c r="C2554">
        <v>0.30499364677437601</v>
      </c>
      <c r="D2554">
        <v>0.50296759486137499</v>
      </c>
      <c r="E2554">
        <v>0.46867179563285399</v>
      </c>
    </row>
    <row r="2555" spans="1:5" x14ac:dyDescent="0.2">
      <c r="A2555">
        <v>3.80813333333333E-2</v>
      </c>
      <c r="B2555">
        <v>0.353778309467153</v>
      </c>
      <c r="C2555">
        <v>0.30507654807134299</v>
      </c>
      <c r="D2555">
        <v>0.50308240625657297</v>
      </c>
      <c r="E2555">
        <v>0.46875511347430998</v>
      </c>
    </row>
    <row r="2556" spans="1:5" x14ac:dyDescent="0.2">
      <c r="A2556">
        <v>3.8108000000000003E-2</v>
      </c>
      <c r="B2556">
        <v>0.35386339494088898</v>
      </c>
      <c r="C2556">
        <v>0.30515935730127802</v>
      </c>
      <c r="D2556">
        <v>0.50319717494745497</v>
      </c>
      <c r="E2556">
        <v>0.46883812550382298</v>
      </c>
    </row>
    <row r="2557" spans="1:5" x14ac:dyDescent="0.2">
      <c r="A2557">
        <v>3.8134666666666699E-2</v>
      </c>
      <c r="B2557">
        <v>0.35394852175969499</v>
      </c>
      <c r="C2557">
        <v>0.305242072894301</v>
      </c>
      <c r="D2557">
        <v>0.50331190084529498</v>
      </c>
      <c r="E2557">
        <v>0.468920840728348</v>
      </c>
    </row>
    <row r="2558" spans="1:5" x14ac:dyDescent="0.2">
      <c r="A2558">
        <v>3.8161333333333297E-2</v>
      </c>
      <c r="B2558">
        <v>0.35403369027751802</v>
      </c>
      <c r="C2558">
        <v>0.30532469328053602</v>
      </c>
      <c r="D2558">
        <v>0.50342658386137096</v>
      </c>
      <c r="E2558">
        <v>0.46900326815483701</v>
      </c>
    </row>
    <row r="2559" spans="1:5" x14ac:dyDescent="0.2">
      <c r="A2559">
        <v>3.8188E-2</v>
      </c>
      <c r="B2559">
        <v>0.35411890084830699</v>
      </c>
      <c r="C2559">
        <v>0.30540721689010297</v>
      </c>
      <c r="D2559">
        <v>0.50354122390695699</v>
      </c>
      <c r="E2559">
        <v>0.46908541679024401</v>
      </c>
    </row>
    <row r="2560" spans="1:5" x14ac:dyDescent="0.2">
      <c r="A2560">
        <v>3.8214666666666702E-2</v>
      </c>
      <c r="B2560">
        <v>0.354204153826011</v>
      </c>
      <c r="C2560">
        <v>0.30548964215312402</v>
      </c>
      <c r="D2560">
        <v>0.50365582089333005</v>
      </c>
      <c r="E2560">
        <v>0.46916729564152299</v>
      </c>
    </row>
    <row r="2561" spans="1:5" x14ac:dyDescent="0.2">
      <c r="A2561">
        <v>3.8241333333333301E-2</v>
      </c>
      <c r="B2561">
        <v>0.35428944956457797</v>
      </c>
      <c r="C2561">
        <v>0.30557196749972099</v>
      </c>
      <c r="D2561">
        <v>0.503770374731764</v>
      </c>
      <c r="E2561">
        <v>0.46924891371562699</v>
      </c>
    </row>
    <row r="2562" spans="1:5" x14ac:dyDescent="0.2">
      <c r="A2562">
        <v>3.8268000000000003E-2</v>
      </c>
      <c r="B2562">
        <v>0.354374788417957</v>
      </c>
      <c r="C2562">
        <v>0.30565419136001498</v>
      </c>
      <c r="D2562">
        <v>0.50388488533353604</v>
      </c>
      <c r="E2562">
        <v>0.46933028001950999</v>
      </c>
    </row>
    <row r="2563" spans="1:5" x14ac:dyDescent="0.2">
      <c r="A2563">
        <v>3.8294666666666699E-2</v>
      </c>
      <c r="B2563">
        <v>0.354460170740097</v>
      </c>
      <c r="C2563">
        <v>0.305736312164128</v>
      </c>
      <c r="D2563">
        <v>0.50399935260992201</v>
      </c>
      <c r="E2563">
        <v>0.46941140356012501</v>
      </c>
    </row>
    <row r="2564" spans="1:5" x14ac:dyDescent="0.2">
      <c r="A2564">
        <v>3.8321333333333298E-2</v>
      </c>
      <c r="B2564">
        <v>0.35454559688494502</v>
      </c>
      <c r="C2564">
        <v>0.30581832834218098</v>
      </c>
      <c r="D2564">
        <v>0.50411377647219702</v>
      </c>
      <c r="E2564">
        <v>0.46949229334442499</v>
      </c>
    </row>
    <row r="2565" spans="1:5" x14ac:dyDescent="0.2">
      <c r="A2565">
        <v>3.8348E-2</v>
      </c>
      <c r="B2565">
        <v>0.35463106720645099</v>
      </c>
      <c r="C2565">
        <v>0.30590023832429603</v>
      </c>
      <c r="D2565">
        <v>0.50422815683163602</v>
      </c>
      <c r="E2565">
        <v>0.46957295837936602</v>
      </c>
    </row>
    <row r="2566" spans="1:5" x14ac:dyDescent="0.2">
      <c r="A2566">
        <v>3.8374666666666703E-2</v>
      </c>
      <c r="B2566">
        <v>0.35471658205856199</v>
      </c>
      <c r="C2566">
        <v>0.30598204054059602</v>
      </c>
      <c r="D2566">
        <v>0.504342493599516</v>
      </c>
      <c r="E2566">
        <v>0.469653407671898</v>
      </c>
    </row>
    <row r="2567" spans="1:5" x14ac:dyDescent="0.2">
      <c r="A2567">
        <v>3.8401333333333301E-2</v>
      </c>
      <c r="B2567">
        <v>0.35480214179522901</v>
      </c>
      <c r="C2567">
        <v>0.30606373342120002</v>
      </c>
      <c r="D2567">
        <v>0.50445678668711202</v>
      </c>
      <c r="E2567">
        <v>0.46973365022897801</v>
      </c>
    </row>
    <row r="2568" spans="1:5" x14ac:dyDescent="0.2">
      <c r="A2568">
        <v>3.8427999999999997E-2</v>
      </c>
      <c r="B2568">
        <v>0.35488774677039803</v>
      </c>
      <c r="C2568">
        <v>0.30614531539623102</v>
      </c>
      <c r="D2568">
        <v>0.50457103600569897</v>
      </c>
      <c r="E2568">
        <v>0.46981369505755699</v>
      </c>
    </row>
    <row r="2569" spans="1:5" x14ac:dyDescent="0.2">
      <c r="A2569">
        <v>3.8454666666666699E-2</v>
      </c>
      <c r="B2569">
        <v>0.35497339733801803</v>
      </c>
      <c r="C2569">
        <v>0.30622678489581101</v>
      </c>
      <c r="D2569">
        <v>0.50468524146655402</v>
      </c>
      <c r="E2569">
        <v>0.46989355116458897</v>
      </c>
    </row>
    <row r="2570" spans="1:5" x14ac:dyDescent="0.2">
      <c r="A2570">
        <v>3.8481333333333298E-2</v>
      </c>
      <c r="B2570">
        <v>0.35505909385203899</v>
      </c>
      <c r="C2570">
        <v>0.30630814035006099</v>
      </c>
      <c r="D2570">
        <v>0.50479940298095205</v>
      </c>
      <c r="E2570">
        <v>0.46997322755702903</v>
      </c>
    </row>
    <row r="2571" spans="1:5" x14ac:dyDescent="0.2">
      <c r="A2571">
        <v>3.8508000000000001E-2</v>
      </c>
      <c r="B2571">
        <v>0.355144836666409</v>
      </c>
      <c r="C2571">
        <v>0.306389380189103</v>
      </c>
      <c r="D2571">
        <v>0.50491352046016902</v>
      </c>
      <c r="E2571">
        <v>0.470052733241829</v>
      </c>
    </row>
    <row r="2572" spans="1:5" x14ac:dyDescent="0.2">
      <c r="A2572">
        <v>3.8534666666666703E-2</v>
      </c>
      <c r="B2572">
        <v>0.355230626135076</v>
      </c>
      <c r="C2572">
        <v>0.30647050284305799</v>
      </c>
      <c r="D2572">
        <v>0.50502759381548101</v>
      </c>
      <c r="E2572">
        <v>0.47013207722594302</v>
      </c>
    </row>
    <row r="2573" spans="1:5" x14ac:dyDescent="0.2">
      <c r="A2573">
        <v>3.8561333333333302E-2</v>
      </c>
      <c r="B2573">
        <v>0.35531646261198802</v>
      </c>
      <c r="C2573">
        <v>0.30655150674204701</v>
      </c>
      <c r="D2573">
        <v>0.50514162295816201</v>
      </c>
      <c r="E2573">
        <v>0.470211268516324</v>
      </c>
    </row>
    <row r="2574" spans="1:5" x14ac:dyDescent="0.2">
      <c r="A2574">
        <v>3.8587999999999997E-2</v>
      </c>
      <c r="B2574">
        <v>0.35540234645109497</v>
      </c>
      <c r="C2574">
        <v>0.30663239031619399</v>
      </c>
      <c r="D2574">
        <v>0.50525560779948997</v>
      </c>
      <c r="E2574">
        <v>0.470290316119927</v>
      </c>
    </row>
    <row r="2575" spans="1:5" x14ac:dyDescent="0.2">
      <c r="A2575">
        <v>3.86146666666667E-2</v>
      </c>
      <c r="B2575">
        <v>0.35548827800634403</v>
      </c>
      <c r="C2575">
        <v>0.30671315199561799</v>
      </c>
      <c r="D2575">
        <v>0.50536954825073899</v>
      </c>
      <c r="E2575">
        <v>0.47036922904370398</v>
      </c>
    </row>
    <row r="2576" spans="1:5" x14ac:dyDescent="0.2">
      <c r="A2576">
        <v>3.8641333333333298E-2</v>
      </c>
      <c r="B2576">
        <v>0.35557425763168499</v>
      </c>
      <c r="C2576">
        <v>0.30679379021044201</v>
      </c>
      <c r="D2576">
        <v>0.50548344422318503</v>
      </c>
      <c r="E2576">
        <v>0.47044801629460897</v>
      </c>
    </row>
    <row r="2577" spans="1:5" x14ac:dyDescent="0.2">
      <c r="A2577">
        <v>3.8668000000000001E-2</v>
      </c>
      <c r="B2577">
        <v>0.355660285681066</v>
      </c>
      <c r="C2577">
        <v>0.30687430339078697</v>
      </c>
      <c r="D2577">
        <v>0.50559729562810396</v>
      </c>
      <c r="E2577">
        <v>0.47052668687959598</v>
      </c>
    </row>
    <row r="2578" spans="1:5" x14ac:dyDescent="0.2">
      <c r="A2578">
        <v>3.8694666666666697E-2</v>
      </c>
      <c r="B2578">
        <v>0.355746362508435</v>
      </c>
      <c r="C2578">
        <v>0.306954689966775</v>
      </c>
      <c r="D2578">
        <v>0.50571110237677097</v>
      </c>
      <c r="E2578">
        <v>0.47060524980561802</v>
      </c>
    </row>
    <row r="2579" spans="1:5" x14ac:dyDescent="0.2">
      <c r="A2579">
        <v>3.8721333333333302E-2</v>
      </c>
      <c r="B2579">
        <v>0.35583248846774101</v>
      </c>
      <c r="C2579">
        <v>0.30703494836852802</v>
      </c>
      <c r="D2579">
        <v>0.50582486438046304</v>
      </c>
      <c r="E2579">
        <v>0.470683714079629</v>
      </c>
    </row>
    <row r="2580" spans="1:5" x14ac:dyDescent="0.2">
      <c r="A2580">
        <v>3.8747999999999998E-2</v>
      </c>
      <c r="B2580">
        <v>0.35591866391293298</v>
      </c>
      <c r="C2580">
        <v>0.30711507702616703</v>
      </c>
      <c r="D2580">
        <v>0.50593858155045501</v>
      </c>
      <c r="E2580">
        <v>0.47076208870858099</v>
      </c>
    </row>
    <row r="2581" spans="1:5" x14ac:dyDescent="0.2">
      <c r="A2581">
        <v>3.87746666666667E-2</v>
      </c>
      <c r="B2581">
        <v>0.35600488919795797</v>
      </c>
      <c r="C2581">
        <v>0.30719507436981303</v>
      </c>
      <c r="D2581">
        <v>0.50605225379802199</v>
      </c>
      <c r="E2581">
        <v>0.47084038269943002</v>
      </c>
    </row>
    <row r="2582" spans="1:5" x14ac:dyDescent="0.2">
      <c r="A2582">
        <v>3.8801333333333299E-2</v>
      </c>
      <c r="B2582">
        <v>0.35609116467676599</v>
      </c>
      <c r="C2582">
        <v>0.30727493882958901</v>
      </c>
      <c r="D2582">
        <v>0.50616588103444105</v>
      </c>
      <c r="E2582">
        <v>0.47091860505912803</v>
      </c>
    </row>
    <row r="2583" spans="1:5" x14ac:dyDescent="0.2">
      <c r="A2583">
        <v>3.8828000000000001E-2</v>
      </c>
      <c r="B2583">
        <v>0.35617749070330601</v>
      </c>
      <c r="C2583">
        <v>0.30735466883561502</v>
      </c>
      <c r="D2583">
        <v>0.50627946317098604</v>
      </c>
      <c r="E2583">
        <v>0.47099676479462899</v>
      </c>
    </row>
    <row r="2584" spans="1:5" x14ac:dyDescent="0.2">
      <c r="A2584">
        <v>3.8854666666666697E-2</v>
      </c>
      <c r="B2584">
        <v>0.35626386763152501</v>
      </c>
      <c r="C2584">
        <v>0.307434262818014</v>
      </c>
      <c r="D2584">
        <v>0.50639300011893396</v>
      </c>
      <c r="E2584">
        <v>0.47107487091288602</v>
      </c>
    </row>
    <row r="2585" spans="1:5" x14ac:dyDescent="0.2">
      <c r="A2585">
        <v>3.8881333333333302E-2</v>
      </c>
      <c r="B2585">
        <v>0.35635029581537198</v>
      </c>
      <c r="C2585">
        <v>0.30751371920690701</v>
      </c>
      <c r="D2585">
        <v>0.50650649178956098</v>
      </c>
      <c r="E2585">
        <v>0.47115293242085199</v>
      </c>
    </row>
    <row r="2586" spans="1:5" x14ac:dyDescent="0.2">
      <c r="A2586">
        <v>3.8907999999999998E-2</v>
      </c>
      <c r="B2586">
        <v>0.356436775608796</v>
      </c>
      <c r="C2586">
        <v>0.30759303643241598</v>
      </c>
      <c r="D2586">
        <v>0.50661993809414096</v>
      </c>
      <c r="E2586">
        <v>0.47123095832548301</v>
      </c>
    </row>
    <row r="2587" spans="1:5" x14ac:dyDescent="0.2">
      <c r="A2587">
        <v>3.8934666666666701E-2</v>
      </c>
      <c r="B2587">
        <v>0.356523307365745</v>
      </c>
      <c r="C2587">
        <v>0.30767221292466201</v>
      </c>
      <c r="D2587">
        <v>0.50673333894395201</v>
      </c>
      <c r="E2587">
        <v>0.47130895763372999</v>
      </c>
    </row>
    <row r="2588" spans="1:5" x14ac:dyDescent="0.2">
      <c r="A2588">
        <v>3.8961333333333299E-2</v>
      </c>
      <c r="B2588">
        <v>0.35660989144016803</v>
      </c>
      <c r="C2588">
        <v>0.307751247113767</v>
      </c>
      <c r="D2588">
        <v>0.50684669425026696</v>
      </c>
      <c r="E2588">
        <v>0.471386939352547</v>
      </c>
    </row>
    <row r="2589" spans="1:5" x14ac:dyDescent="0.2">
      <c r="A2589">
        <v>3.8988000000000002E-2</v>
      </c>
      <c r="B2589">
        <v>0.356696528186013</v>
      </c>
      <c r="C2589">
        <v>0.30783013742985199</v>
      </c>
      <c r="D2589">
        <v>0.50696000392436402</v>
      </c>
      <c r="E2589">
        <v>0.471464912488889</v>
      </c>
    </row>
    <row r="2590" spans="1:5" x14ac:dyDescent="0.2">
      <c r="A2590">
        <v>3.9014666666666697E-2</v>
      </c>
      <c r="B2590">
        <v>0.35678321748448499</v>
      </c>
      <c r="C2590">
        <v>0.30790888230303998</v>
      </c>
      <c r="D2590">
        <v>0.50707326787751705</v>
      </c>
      <c r="E2590">
        <v>0.47154288579493903</v>
      </c>
    </row>
    <row r="2591" spans="1:5" x14ac:dyDescent="0.2">
      <c r="A2591">
        <v>3.9041333333333303E-2</v>
      </c>
      <c r="B2591">
        <v>0.35686995052660397</v>
      </c>
      <c r="C2591">
        <v>0.30798748016345101</v>
      </c>
      <c r="D2591">
        <v>0.50718648602100302</v>
      </c>
      <c r="E2591">
        <v>0.471620863339615</v>
      </c>
    </row>
    <row r="2592" spans="1:5" x14ac:dyDescent="0.2">
      <c r="A2592">
        <v>3.9067999999999999E-2</v>
      </c>
      <c r="B2592">
        <v>0.35695671087661801</v>
      </c>
      <c r="C2592">
        <v>0.30806592944120698</v>
      </c>
      <c r="D2592">
        <v>0.50729965826609602</v>
      </c>
      <c r="E2592">
        <v>0.471698845081653</v>
      </c>
    </row>
    <row r="2593" spans="1:5" x14ac:dyDescent="0.2">
      <c r="A2593">
        <v>3.9094666666666701E-2</v>
      </c>
      <c r="B2593">
        <v>0.35704348183984502</v>
      </c>
      <c r="C2593">
        <v>0.30814422856643098</v>
      </c>
      <c r="D2593">
        <v>0.50741278452407401</v>
      </c>
      <c r="E2593">
        <v>0.47177683084025002</v>
      </c>
    </row>
    <row r="2594" spans="1:5" x14ac:dyDescent="0.2">
      <c r="A2594">
        <v>3.91213333333333E-2</v>
      </c>
      <c r="B2594">
        <v>0.35713024672160698</v>
      </c>
      <c r="C2594">
        <v>0.30822237596924201</v>
      </c>
      <c r="D2594">
        <v>0.50752586470621097</v>
      </c>
      <c r="E2594">
        <v>0.47185482043460297</v>
      </c>
    </row>
    <row r="2595" spans="1:5" x14ac:dyDescent="0.2">
      <c r="A2595">
        <v>3.9148000000000002E-2</v>
      </c>
      <c r="B2595">
        <v>0.35721698882722203</v>
      </c>
      <c r="C2595">
        <v>0.30830037007976402</v>
      </c>
      <c r="D2595">
        <v>0.50763889872378298</v>
      </c>
      <c r="E2595">
        <v>0.47193281368390799</v>
      </c>
    </row>
    <row r="2596" spans="1:5" x14ac:dyDescent="0.2">
      <c r="A2596">
        <v>3.9174666666666698E-2</v>
      </c>
      <c r="B2596">
        <v>0.35730369146201202</v>
      </c>
      <c r="C2596">
        <v>0.30837820932811799</v>
      </c>
      <c r="D2596">
        <v>0.50775188648806602</v>
      </c>
      <c r="E2596">
        <v>0.47201081040736398</v>
      </c>
    </row>
    <row r="2597" spans="1:5" x14ac:dyDescent="0.2">
      <c r="A2597">
        <v>3.9201333333333303E-2</v>
      </c>
      <c r="B2597">
        <v>0.35739033793129599</v>
      </c>
      <c r="C2597">
        <v>0.30845589214442498</v>
      </c>
      <c r="D2597">
        <v>0.50786482791033505</v>
      </c>
      <c r="E2597">
        <v>0.47208881042416601</v>
      </c>
    </row>
    <row r="2598" spans="1:5" x14ac:dyDescent="0.2">
      <c r="A2598">
        <v>3.9227999999999999E-2</v>
      </c>
      <c r="B2598">
        <v>0.35747691154039402</v>
      </c>
      <c r="C2598">
        <v>0.30853341695880598</v>
      </c>
      <c r="D2598">
        <v>0.50797772290186705</v>
      </c>
      <c r="E2598">
        <v>0.47216681355351198</v>
      </c>
    </row>
    <row r="2599" spans="1:5" x14ac:dyDescent="0.2">
      <c r="A2599">
        <v>3.9254666666666702E-2</v>
      </c>
      <c r="B2599">
        <v>0.35756339559462702</v>
      </c>
      <c r="C2599">
        <v>0.30861078220138399</v>
      </c>
      <c r="D2599">
        <v>0.50809057137393598</v>
      </c>
      <c r="E2599">
        <v>0.47224481961459902</v>
      </c>
    </row>
    <row r="2600" spans="1:5" x14ac:dyDescent="0.2">
      <c r="A2600">
        <v>3.92813333333333E-2</v>
      </c>
      <c r="B2600">
        <v>0.35764977339931397</v>
      </c>
      <c r="C2600">
        <v>0.308687986302281</v>
      </c>
      <c r="D2600">
        <v>0.50820337323781895</v>
      </c>
      <c r="E2600">
        <v>0.47232282842662299</v>
      </c>
    </row>
    <row r="2601" spans="1:5" x14ac:dyDescent="0.2">
      <c r="A2601">
        <v>3.9308000000000003E-2</v>
      </c>
      <c r="B2601">
        <v>0.35773602825977602</v>
      </c>
      <c r="C2601">
        <v>0.30876502769161701</v>
      </c>
      <c r="D2601">
        <v>0.50831612840479101</v>
      </c>
      <c r="E2601">
        <v>0.472400839808782</v>
      </c>
    </row>
    <row r="2602" spans="1:5" x14ac:dyDescent="0.2">
      <c r="A2602">
        <v>3.9334666666666698E-2</v>
      </c>
      <c r="B2602">
        <v>0.35782214348133301</v>
      </c>
      <c r="C2602">
        <v>0.30884190479951401</v>
      </c>
      <c r="D2602">
        <v>0.50842883678612805</v>
      </c>
      <c r="E2602">
        <v>0.47247885358027297</v>
      </c>
    </row>
    <row r="2603" spans="1:5" x14ac:dyDescent="0.2">
      <c r="A2603">
        <v>3.9361333333333297E-2</v>
      </c>
      <c r="B2603">
        <v>0.35790810236930498</v>
      </c>
      <c r="C2603">
        <v>0.308918616056094</v>
      </c>
      <c r="D2603">
        <v>0.50854149829310502</v>
      </c>
      <c r="E2603">
        <v>0.47255686956029302</v>
      </c>
    </row>
    <row r="2604" spans="1:5" x14ac:dyDescent="0.2">
      <c r="A2604">
        <v>3.9387999999999999E-2</v>
      </c>
      <c r="B2604">
        <v>0.35799388822901101</v>
      </c>
      <c r="C2604">
        <v>0.30899515989147802</v>
      </c>
      <c r="D2604">
        <v>0.50865411283699902</v>
      </c>
      <c r="E2604">
        <v>0.47263488756803901</v>
      </c>
    </row>
    <row r="2605" spans="1:5" x14ac:dyDescent="0.2">
      <c r="A2605">
        <v>3.9414666666666702E-2</v>
      </c>
      <c r="B2605">
        <v>0.35807948436577203</v>
      </c>
      <c r="C2605">
        <v>0.30907153473578902</v>
      </c>
      <c r="D2605">
        <v>0.50876668032908501</v>
      </c>
      <c r="E2605">
        <v>0.472712907422707</v>
      </c>
    </row>
    <row r="2606" spans="1:5" x14ac:dyDescent="0.2">
      <c r="A2606">
        <v>3.94413333333333E-2</v>
      </c>
      <c r="B2606">
        <v>0.35816487408490899</v>
      </c>
      <c r="C2606">
        <v>0.30914773901914699</v>
      </c>
      <c r="D2606">
        <v>0.50887920068063797</v>
      </c>
      <c r="E2606">
        <v>0.472790928943495</v>
      </c>
    </row>
    <row r="2607" spans="1:5" x14ac:dyDescent="0.2">
      <c r="A2607">
        <v>3.9468000000000003E-2</v>
      </c>
      <c r="B2607">
        <v>0.35825004069173999</v>
      </c>
      <c r="C2607">
        <v>0.30922377117167499</v>
      </c>
      <c r="D2607">
        <v>0.50899167380293497</v>
      </c>
      <c r="E2607">
        <v>0.47286895194959899</v>
      </c>
    </row>
    <row r="2608" spans="1:5" x14ac:dyDescent="0.2">
      <c r="A2608">
        <v>3.9494666666666699E-2</v>
      </c>
      <c r="B2608">
        <v>0.358334967491587</v>
      </c>
      <c r="C2608">
        <v>0.309299629623493</v>
      </c>
      <c r="D2608">
        <v>0.50910409960725</v>
      </c>
      <c r="E2608">
        <v>0.47294697626021698</v>
      </c>
    </row>
    <row r="2609" spans="1:5" x14ac:dyDescent="0.2">
      <c r="A2609">
        <v>3.9521333333333297E-2</v>
      </c>
      <c r="B2609">
        <v>0.35841963778976899</v>
      </c>
      <c r="C2609">
        <v>0.30937531280472402</v>
      </c>
      <c r="D2609">
        <v>0.50921647800486003</v>
      </c>
      <c r="E2609">
        <v>0.47302500169454598</v>
      </c>
    </row>
    <row r="2610" spans="1:5" x14ac:dyDescent="0.2">
      <c r="A2610">
        <v>3.9548E-2</v>
      </c>
      <c r="B2610">
        <v>0.35850403489160698</v>
      </c>
      <c r="C2610">
        <v>0.309450819145489</v>
      </c>
      <c r="D2610">
        <v>0.50932880890704102</v>
      </c>
      <c r="E2610">
        <v>0.473103028071783</v>
      </c>
    </row>
    <row r="2611" spans="1:5" x14ac:dyDescent="0.2">
      <c r="A2611">
        <v>3.9574666666666702E-2</v>
      </c>
      <c r="B2611">
        <v>0.35858814210242002</v>
      </c>
      <c r="C2611">
        <v>0.30952614707590997</v>
      </c>
      <c r="D2611">
        <v>0.50944109222506695</v>
      </c>
      <c r="E2611">
        <v>0.47318105521112303</v>
      </c>
    </row>
    <row r="2612" spans="1:5" x14ac:dyDescent="0.2">
      <c r="A2612">
        <v>3.9601333333333301E-2</v>
      </c>
      <c r="B2612">
        <v>0.358671942727528</v>
      </c>
      <c r="C2612">
        <v>0.309601295026108</v>
      </c>
      <c r="D2612">
        <v>0.50955332787021501</v>
      </c>
      <c r="E2612">
        <v>0.473259082931766</v>
      </c>
    </row>
    <row r="2613" spans="1:5" x14ac:dyDescent="0.2">
      <c r="A2613">
        <v>3.9627999999999997E-2</v>
      </c>
      <c r="B2613">
        <v>0.35875542007225197</v>
      </c>
      <c r="C2613">
        <v>0.30967626142620502</v>
      </c>
      <c r="D2613">
        <v>0.50966551575376096</v>
      </c>
      <c r="E2613">
        <v>0.47333711105290699</v>
      </c>
    </row>
    <row r="2614" spans="1:5" x14ac:dyDescent="0.2">
      <c r="A2614">
        <v>3.9654666666666699E-2</v>
      </c>
      <c r="B2614">
        <v>0.35883855744191201</v>
      </c>
      <c r="C2614">
        <v>0.30975104470632198</v>
      </c>
      <c r="D2614">
        <v>0.50977765578697898</v>
      </c>
      <c r="E2614">
        <v>0.47341513939374402</v>
      </c>
    </row>
    <row r="2615" spans="1:5" x14ac:dyDescent="0.2">
      <c r="A2615">
        <v>3.9681333333333298E-2</v>
      </c>
      <c r="B2615">
        <v>0.35892133814182797</v>
      </c>
      <c r="C2615">
        <v>0.30982564329658102</v>
      </c>
      <c r="D2615">
        <v>0.50988974788114605</v>
      </c>
      <c r="E2615">
        <v>0.473493167773473</v>
      </c>
    </row>
    <row r="2616" spans="1:5" x14ac:dyDescent="0.2">
      <c r="A2616">
        <v>3.9708E-2</v>
      </c>
      <c r="B2616">
        <v>0.35900374547732</v>
      </c>
      <c r="C2616">
        <v>0.30990005562710399</v>
      </c>
      <c r="D2616">
        <v>0.51000179194753803</v>
      </c>
      <c r="E2616">
        <v>0.47357119601129199</v>
      </c>
    </row>
    <row r="2617" spans="1:5" x14ac:dyDescent="0.2">
      <c r="A2617">
        <v>3.9734666666666703E-2</v>
      </c>
      <c r="B2617">
        <v>0.35908576275370702</v>
      </c>
      <c r="C2617">
        <v>0.30997428012801298</v>
      </c>
      <c r="D2617">
        <v>0.51011378789743</v>
      </c>
      <c r="E2617">
        <v>0.47364922392639702</v>
      </c>
    </row>
    <row r="2618" spans="1:5" x14ac:dyDescent="0.2">
      <c r="A2618">
        <v>3.9761333333333301E-2</v>
      </c>
      <c r="B2618">
        <v>0.35916737327631099</v>
      </c>
      <c r="C2618">
        <v>0.310048315229428</v>
      </c>
      <c r="D2618">
        <v>0.51022573564209694</v>
      </c>
      <c r="E2618">
        <v>0.47372725133798499</v>
      </c>
    </row>
    <row r="2619" spans="1:5" x14ac:dyDescent="0.2">
      <c r="A2619">
        <v>3.9787999999999997E-2</v>
      </c>
      <c r="B2619">
        <v>0.359248560350451</v>
      </c>
      <c r="C2619">
        <v>0.31012215936147203</v>
      </c>
      <c r="D2619">
        <v>0.51033763509281604</v>
      </c>
      <c r="E2619">
        <v>0.47380527806525402</v>
      </c>
    </row>
    <row r="2620" spans="1:5" x14ac:dyDescent="0.2">
      <c r="A2620">
        <v>3.98146666666667E-2</v>
      </c>
      <c r="B2620">
        <v>0.35932930728144702</v>
      </c>
      <c r="C2620">
        <v>0.31019581095426502</v>
      </c>
      <c r="D2620">
        <v>0.51044948616086205</v>
      </c>
      <c r="E2620">
        <v>0.47388330392740102</v>
      </c>
    </row>
    <row r="2621" spans="1:5" x14ac:dyDescent="0.2">
      <c r="A2621">
        <v>3.9841333333333298E-2</v>
      </c>
      <c r="B2621">
        <v>0.35940959737462003</v>
      </c>
      <c r="C2621">
        <v>0.31026926843793101</v>
      </c>
      <c r="D2621">
        <v>0.51056128875751094</v>
      </c>
      <c r="E2621">
        <v>0.47396132874362201</v>
      </c>
    </row>
    <row r="2622" spans="1:5" x14ac:dyDescent="0.2">
      <c r="A2622">
        <v>3.9868000000000001E-2</v>
      </c>
      <c r="B2622">
        <v>0.35948941393528899</v>
      </c>
      <c r="C2622">
        <v>0.31034253024258901</v>
      </c>
      <c r="D2622">
        <v>0.51067304279403802</v>
      </c>
      <c r="E2622">
        <v>0.47403935233311401</v>
      </c>
    </row>
    <row r="2623" spans="1:5" x14ac:dyDescent="0.2">
      <c r="A2623">
        <v>3.9894666666666703E-2</v>
      </c>
      <c r="B2623">
        <v>0.359568740268774</v>
      </c>
      <c r="C2623">
        <v>0.310415594798363</v>
      </c>
      <c r="D2623">
        <v>0.51078474818172004</v>
      </c>
      <c r="E2623">
        <v>0.47411737451507502</v>
      </c>
    </row>
    <row r="2624" spans="1:5" x14ac:dyDescent="0.2">
      <c r="A2624">
        <v>3.9921333333333302E-2</v>
      </c>
      <c r="B2624">
        <v>0.35964755968039602</v>
      </c>
      <c r="C2624">
        <v>0.31048846053537299</v>
      </c>
      <c r="D2624">
        <v>0.51089640483183096</v>
      </c>
      <c r="E2624">
        <v>0.47419539510870101</v>
      </c>
    </row>
    <row r="2625" spans="1:5" x14ac:dyDescent="0.2">
      <c r="A2625">
        <v>3.9947999999999997E-2</v>
      </c>
      <c r="B2625">
        <v>0.35972585547547498</v>
      </c>
      <c r="C2625">
        <v>0.31056112588374102</v>
      </c>
      <c r="D2625">
        <v>0.51100801265564799</v>
      </c>
      <c r="E2625">
        <v>0.47427341393319</v>
      </c>
    </row>
    <row r="2626" spans="1:5" x14ac:dyDescent="0.2">
      <c r="A2626">
        <v>3.99746666666667E-2</v>
      </c>
      <c r="B2626">
        <v>0.359803610959331</v>
      </c>
      <c r="C2626">
        <v>0.31063358927358897</v>
      </c>
      <c r="D2626">
        <v>0.51111957156444598</v>
      </c>
      <c r="E2626">
        <v>0.47435143080773801</v>
      </c>
    </row>
    <row r="2627" spans="1:5" x14ac:dyDescent="0.2">
      <c r="A2627">
        <v>4.0001333333333298E-2</v>
      </c>
      <c r="B2627">
        <v>0.35988080943800899</v>
      </c>
      <c r="C2627">
        <v>0.31070584913521399</v>
      </c>
      <c r="D2627">
        <v>0.51123108146950103</v>
      </c>
      <c r="E2627">
        <v>0.47442944555154198</v>
      </c>
    </row>
    <row r="2628" spans="1:5" x14ac:dyDescent="0.2">
      <c r="A2628">
        <v>4.0028000000000001E-2</v>
      </c>
      <c r="B2628">
        <v>0.359957440938805</v>
      </c>
      <c r="C2628">
        <v>0.310777905527307</v>
      </c>
      <c r="D2628">
        <v>0.51134254228208897</v>
      </c>
      <c r="E2628">
        <v>0.47450745798380001</v>
      </c>
    </row>
    <row r="2629" spans="1:5" x14ac:dyDescent="0.2">
      <c r="A2629">
        <v>4.0054666666666697E-2</v>
      </c>
      <c r="B2629">
        <v>0.36003351863836303</v>
      </c>
      <c r="C2629">
        <v>0.31084976411707899</v>
      </c>
      <c r="D2629">
        <v>0.51145395391348403</v>
      </c>
      <c r="E2629">
        <v>0.47458546792370698</v>
      </c>
    </row>
    <row r="2630" spans="1:5" x14ac:dyDescent="0.2">
      <c r="A2630">
        <v>4.0081333333333302E-2</v>
      </c>
      <c r="B2630">
        <v>0.36010906069345799</v>
      </c>
      <c r="C2630">
        <v>0.310921431778304</v>
      </c>
      <c r="D2630">
        <v>0.51156531627496404</v>
      </c>
      <c r="E2630">
        <v>0.47466347519046198</v>
      </c>
    </row>
    <row r="2631" spans="1:5" x14ac:dyDescent="0.2">
      <c r="A2631">
        <v>4.0107999999999998E-2</v>
      </c>
      <c r="B2631">
        <v>0.36018408526086199</v>
      </c>
      <c r="C2631">
        <v>0.31099291538475499</v>
      </c>
      <c r="D2631">
        <v>0.511676629277803</v>
      </c>
      <c r="E2631">
        <v>0.47474147960326202</v>
      </c>
    </row>
    <row r="2632" spans="1:5" x14ac:dyDescent="0.2">
      <c r="A2632">
        <v>4.01346666666667E-2</v>
      </c>
      <c r="B2632">
        <v>0.36025861049734897</v>
      </c>
      <c r="C2632">
        <v>0.31106422181020699</v>
      </c>
      <c r="D2632">
        <v>0.51178789283327797</v>
      </c>
      <c r="E2632">
        <v>0.474819480981302</v>
      </c>
    </row>
    <row r="2633" spans="1:5" x14ac:dyDescent="0.2">
      <c r="A2633">
        <v>4.0161333333333299E-2</v>
      </c>
      <c r="B2633">
        <v>0.36033265455969099</v>
      </c>
      <c r="C2633">
        <v>0.311135357928432</v>
      </c>
      <c r="D2633">
        <v>0.51189910685266304</v>
      </c>
      <c r="E2633">
        <v>0.474897479143781</v>
      </c>
    </row>
    <row r="2634" spans="1:5" x14ac:dyDescent="0.2">
      <c r="A2634">
        <v>4.0188000000000001E-2</v>
      </c>
      <c r="B2634">
        <v>0.36040623560466301</v>
      </c>
      <c r="C2634">
        <v>0.31120633061320402</v>
      </c>
      <c r="D2634">
        <v>0.51201027124723497</v>
      </c>
      <c r="E2634">
        <v>0.47497547390989497</v>
      </c>
    </row>
    <row r="2635" spans="1:5" x14ac:dyDescent="0.2">
      <c r="A2635">
        <v>4.0214666666666697E-2</v>
      </c>
      <c r="B2635">
        <v>0.360479371789037</v>
      </c>
      <c r="C2635">
        <v>0.31127714673829698</v>
      </c>
      <c r="D2635">
        <v>0.51212138592826995</v>
      </c>
      <c r="E2635">
        <v>0.475053465098842</v>
      </c>
    </row>
    <row r="2636" spans="1:5" x14ac:dyDescent="0.2">
      <c r="A2636">
        <v>4.0241333333333303E-2</v>
      </c>
      <c r="B2636">
        <v>0.36055208126958799</v>
      </c>
      <c r="C2636">
        <v>0.311347813177484</v>
      </c>
      <c r="D2636">
        <v>0.51223245080704205</v>
      </c>
      <c r="E2636">
        <v>0.47513145252981698</v>
      </c>
    </row>
    <row r="2637" spans="1:5" x14ac:dyDescent="0.2">
      <c r="A2637">
        <v>4.0267999999999998E-2</v>
      </c>
      <c r="B2637">
        <v>0.36062438220308701</v>
      </c>
      <c r="C2637">
        <v>0.31141833680454001</v>
      </c>
      <c r="D2637">
        <v>0.51234346579482803</v>
      </c>
      <c r="E2637">
        <v>0.47520943602201898</v>
      </c>
    </row>
    <row r="2638" spans="1:5" x14ac:dyDescent="0.2">
      <c r="A2638">
        <v>4.0294666666666701E-2</v>
      </c>
      <c r="B2638">
        <v>0.36069629274630799</v>
      </c>
      <c r="C2638">
        <v>0.311488724493237</v>
      </c>
      <c r="D2638">
        <v>0.51245443080290398</v>
      </c>
      <c r="E2638">
        <v>0.47528741539464298</v>
      </c>
    </row>
    <row r="2639" spans="1:5" x14ac:dyDescent="0.2">
      <c r="A2639">
        <v>4.0321333333333299E-2</v>
      </c>
      <c r="B2639">
        <v>0.360767831056025</v>
      </c>
      <c r="C2639">
        <v>0.31155898311734997</v>
      </c>
      <c r="D2639">
        <v>0.51256534574254398</v>
      </c>
      <c r="E2639">
        <v>0.47536539046688803</v>
      </c>
    </row>
    <row r="2640" spans="1:5" x14ac:dyDescent="0.2">
      <c r="A2640">
        <v>4.0348000000000002E-2</v>
      </c>
      <c r="B2640">
        <v>0.36083901528901102</v>
      </c>
      <c r="C2640">
        <v>0.31162911955065098</v>
      </c>
      <c r="D2640">
        <v>0.51267621052502499</v>
      </c>
      <c r="E2640">
        <v>0.47544336105794999</v>
      </c>
    </row>
    <row r="2641" spans="1:5" x14ac:dyDescent="0.2">
      <c r="A2641">
        <v>4.0374666666666698E-2</v>
      </c>
      <c r="B2641">
        <v>0.36090986360203903</v>
      </c>
      <c r="C2641">
        <v>0.31169914066691501</v>
      </c>
      <c r="D2641">
        <v>0.51278702506162299</v>
      </c>
      <c r="E2641">
        <v>0.47552132698702698</v>
      </c>
    </row>
    <row r="2642" spans="1:5" x14ac:dyDescent="0.2">
      <c r="A2642">
        <v>4.0401333333333303E-2</v>
      </c>
      <c r="B2642">
        <v>0.36098039415188199</v>
      </c>
      <c r="C2642">
        <v>0.311769053339916</v>
      </c>
      <c r="D2642">
        <v>0.51289778926361296</v>
      </c>
      <c r="E2642">
        <v>0.47559928807331397</v>
      </c>
    </row>
    <row r="2643" spans="1:5" x14ac:dyDescent="0.2">
      <c r="A2643">
        <v>4.0427999999999999E-2</v>
      </c>
      <c r="B2643">
        <v>0.36105062509531399</v>
      </c>
      <c r="C2643">
        <v>0.31183886444342601</v>
      </c>
      <c r="D2643">
        <v>0.51300850304226997</v>
      </c>
      <c r="E2643">
        <v>0.47567724413600898</v>
      </c>
    </row>
    <row r="2644" spans="1:5" x14ac:dyDescent="0.2">
      <c r="A2644">
        <v>4.0454666666666701E-2</v>
      </c>
      <c r="B2644">
        <v>0.36112057458910801</v>
      </c>
      <c r="C2644">
        <v>0.31190858085121997</v>
      </c>
      <c r="D2644">
        <v>0.513119166308871</v>
      </c>
      <c r="E2644">
        <v>0.47575519499430902</v>
      </c>
    </row>
    <row r="2645" spans="1:5" x14ac:dyDescent="0.2">
      <c r="A2645">
        <v>4.04813333333333E-2</v>
      </c>
      <c r="B2645">
        <v>0.36119026079003702</v>
      </c>
      <c r="C2645">
        <v>0.311978209437071</v>
      </c>
      <c r="D2645">
        <v>0.51322977897469102</v>
      </c>
      <c r="E2645">
        <v>0.47583314046741199</v>
      </c>
    </row>
    <row r="2646" spans="1:5" x14ac:dyDescent="0.2">
      <c r="A2646">
        <v>4.0508000000000002E-2</v>
      </c>
      <c r="B2646">
        <v>0.36125970185487399</v>
      </c>
      <c r="C2646">
        <v>0.31204775707475202</v>
      </c>
      <c r="D2646">
        <v>0.513340340951006</v>
      </c>
      <c r="E2646">
        <v>0.47591108037451302</v>
      </c>
    </row>
    <row r="2647" spans="1:5" x14ac:dyDescent="0.2">
      <c r="A2647">
        <v>4.0534666666666698E-2</v>
      </c>
      <c r="B2647">
        <v>0.36132891594039301</v>
      </c>
      <c r="C2647">
        <v>0.31211723063803798</v>
      </c>
      <c r="D2647">
        <v>0.51345085214909103</v>
      </c>
      <c r="E2647">
        <v>0.47598901453481102</v>
      </c>
    </row>
    <row r="2648" spans="1:5" x14ac:dyDescent="0.2">
      <c r="A2648">
        <v>4.0561333333333303E-2</v>
      </c>
      <c r="B2648">
        <v>0.361397921203367</v>
      </c>
      <c r="C2648">
        <v>0.31218663700070198</v>
      </c>
      <c r="D2648">
        <v>0.51356131248022296</v>
      </c>
      <c r="E2648">
        <v>0.476066942767501</v>
      </c>
    </row>
    <row r="2649" spans="1:5" x14ac:dyDescent="0.2">
      <c r="A2649">
        <v>4.0587999999999999E-2</v>
      </c>
      <c r="B2649">
        <v>0.36146673580056898</v>
      </c>
      <c r="C2649">
        <v>0.31225598303651703</v>
      </c>
      <c r="D2649">
        <v>0.513671721855676</v>
      </c>
      <c r="E2649">
        <v>0.47614486489178098</v>
      </c>
    </row>
    <row r="2650" spans="1:5" x14ac:dyDescent="0.2">
      <c r="A2650">
        <v>4.0614666666666702E-2</v>
      </c>
      <c r="B2650">
        <v>0.36153537788877299</v>
      </c>
      <c r="C2650">
        <v>0.31232527561925799</v>
      </c>
      <c r="D2650">
        <v>0.513782080186727</v>
      </c>
      <c r="E2650">
        <v>0.47622278072684898</v>
      </c>
    </row>
    <row r="2651" spans="1:5" x14ac:dyDescent="0.2">
      <c r="A2651">
        <v>4.06413333333333E-2</v>
      </c>
      <c r="B2651">
        <v>0.361603865624752</v>
      </c>
      <c r="C2651">
        <v>0.31239452162269798</v>
      </c>
      <c r="D2651">
        <v>0.51389238738465104</v>
      </c>
      <c r="E2651">
        <v>0.47630069009190001</v>
      </c>
    </row>
    <row r="2652" spans="1:5" x14ac:dyDescent="0.2">
      <c r="A2652">
        <v>4.0668000000000003E-2</v>
      </c>
      <c r="B2652">
        <v>0.36167221716527798</v>
      </c>
      <c r="C2652">
        <v>0.31246372792061</v>
      </c>
      <c r="D2652">
        <v>0.51400264336072399</v>
      </c>
      <c r="E2652">
        <v>0.47637859280613198</v>
      </c>
    </row>
    <row r="2653" spans="1:5" x14ac:dyDescent="0.2">
      <c r="A2653">
        <v>4.0694666666666698E-2</v>
      </c>
      <c r="B2653">
        <v>0.36174045066712601</v>
      </c>
      <c r="C2653">
        <v>0.31253290138676798</v>
      </c>
      <c r="D2653">
        <v>0.51411284802622104</v>
      </c>
      <c r="E2653">
        <v>0.47645648868874202</v>
      </c>
    </row>
    <row r="2654" spans="1:5" x14ac:dyDescent="0.2">
      <c r="A2654">
        <v>4.0721333333333297E-2</v>
      </c>
      <c r="B2654">
        <v>0.36180858428706902</v>
      </c>
      <c r="C2654">
        <v>0.31260204889494603</v>
      </c>
      <c r="D2654">
        <v>0.51422300129241905</v>
      </c>
      <c r="E2654">
        <v>0.47653437755892702</v>
      </c>
    </row>
    <row r="2655" spans="1:5" x14ac:dyDescent="0.2">
      <c r="A2655">
        <v>4.0747999999999999E-2</v>
      </c>
      <c r="B2655">
        <v>0.36187663618187899</v>
      </c>
      <c r="C2655">
        <v>0.31267117731891703</v>
      </c>
      <c r="D2655">
        <v>0.51433310307059199</v>
      </c>
      <c r="E2655">
        <v>0.47661225923588402</v>
      </c>
    </row>
    <row r="2656" spans="1:5" x14ac:dyDescent="0.2">
      <c r="A2656">
        <v>4.0774666666666702E-2</v>
      </c>
      <c r="B2656">
        <v>0.36194462450833098</v>
      </c>
      <c r="C2656">
        <v>0.31274029353245503</v>
      </c>
      <c r="D2656">
        <v>0.51444315327201795</v>
      </c>
      <c r="E2656">
        <v>0.47669013353881001</v>
      </c>
    </row>
    <row r="2657" spans="1:5" x14ac:dyDescent="0.2">
      <c r="A2657">
        <v>4.0801333333333301E-2</v>
      </c>
      <c r="B2657">
        <v>0.36201256742319698</v>
      </c>
      <c r="C2657">
        <v>0.31280940440933402</v>
      </c>
      <c r="D2657">
        <v>0.51455315180797001</v>
      </c>
      <c r="E2657">
        <v>0.47676800028690203</v>
      </c>
    </row>
    <row r="2658" spans="1:5" x14ac:dyDescent="0.2">
      <c r="A2658">
        <v>4.0828000000000003E-2</v>
      </c>
      <c r="B2658">
        <v>0.36208048308325003</v>
      </c>
      <c r="C2658">
        <v>0.31287851682332701</v>
      </c>
      <c r="D2658">
        <v>0.51466309858972603</v>
      </c>
      <c r="E2658">
        <v>0.47684585929935602</v>
      </c>
    </row>
    <row r="2659" spans="1:5" x14ac:dyDescent="0.2">
      <c r="A2659">
        <v>4.0854666666666699E-2</v>
      </c>
      <c r="B2659">
        <v>0.36214838964526502</v>
      </c>
      <c r="C2659">
        <v>0.31294763764820799</v>
      </c>
      <c r="D2659">
        <v>0.51477299352855999</v>
      </c>
      <c r="E2659">
        <v>0.47692371039537002</v>
      </c>
    </row>
    <row r="2660" spans="1:5" x14ac:dyDescent="0.2">
      <c r="A2660">
        <v>4.0881333333333297E-2</v>
      </c>
      <c r="B2660">
        <v>0.36221630526601301</v>
      </c>
      <c r="C2660">
        <v>0.313016773757751</v>
      </c>
      <c r="D2660">
        <v>0.51488283653574796</v>
      </c>
      <c r="E2660">
        <v>0.47700155339414102</v>
      </c>
    </row>
    <row r="2661" spans="1:5" x14ac:dyDescent="0.2">
      <c r="A2661">
        <v>4.0908E-2</v>
      </c>
      <c r="B2661">
        <v>0.36228424810227</v>
      </c>
      <c r="C2661">
        <v>0.31308593202572799</v>
      </c>
      <c r="D2661">
        <v>0.51499262752256703</v>
      </c>
      <c r="E2661">
        <v>0.477079388114866</v>
      </c>
    </row>
    <row r="2662" spans="1:5" x14ac:dyDescent="0.2">
      <c r="A2662">
        <v>4.0934666666666703E-2</v>
      </c>
      <c r="B2662">
        <v>0.36235223631080599</v>
      </c>
      <c r="C2662">
        <v>0.313155119325914</v>
      </c>
      <c r="D2662">
        <v>0.51510236640029095</v>
      </c>
      <c r="E2662">
        <v>0.47715721437674202</v>
      </c>
    </row>
    <row r="2663" spans="1:5" x14ac:dyDescent="0.2">
      <c r="A2663">
        <v>4.0961333333333301E-2</v>
      </c>
      <c r="B2663">
        <v>0.36242028804839699</v>
      </c>
      <c r="C2663">
        <v>0.31322434253208298</v>
      </c>
      <c r="D2663">
        <v>0.51521205308019602</v>
      </c>
      <c r="E2663">
        <v>0.477235031998965</v>
      </c>
    </row>
    <row r="2664" spans="1:5" x14ac:dyDescent="0.2">
      <c r="A2664">
        <v>4.0987999999999997E-2</v>
      </c>
      <c r="B2664">
        <v>0.36248842147181498</v>
      </c>
      <c r="C2664">
        <v>0.31329360851800803</v>
      </c>
      <c r="D2664">
        <v>0.515321687473559</v>
      </c>
      <c r="E2664">
        <v>0.477312840800733</v>
      </c>
    </row>
    <row r="2665" spans="1:5" x14ac:dyDescent="0.2">
      <c r="A2665">
        <v>4.1014666666666699E-2</v>
      </c>
      <c r="B2665">
        <v>0.36255665418052302</v>
      </c>
      <c r="C2665">
        <v>0.313362923923445</v>
      </c>
      <c r="D2665">
        <v>0.51543126949165396</v>
      </c>
      <c r="E2665">
        <v>0.47739064060124298</v>
      </c>
    </row>
    <row r="2666" spans="1:5" x14ac:dyDescent="0.2">
      <c r="A2666">
        <v>4.1041333333333298E-2</v>
      </c>
      <c r="B2666">
        <v>0.36262499352924898</v>
      </c>
      <c r="C2666">
        <v>0.313432291086364</v>
      </c>
      <c r="D2666">
        <v>0.515540799045758</v>
      </c>
      <c r="E2666">
        <v>0.47746843121969101</v>
      </c>
    </row>
    <row r="2667" spans="1:5" x14ac:dyDescent="0.2">
      <c r="A2667">
        <v>4.1068E-2</v>
      </c>
      <c r="B2667">
        <v>0.362693437881628</v>
      </c>
      <c r="C2667">
        <v>0.313501708569347</v>
      </c>
      <c r="D2667">
        <v>0.51565027604714497</v>
      </c>
      <c r="E2667">
        <v>0.47754621247527501</v>
      </c>
    </row>
    <row r="2668" spans="1:5" x14ac:dyDescent="0.2">
      <c r="A2668">
        <v>4.1094666666666703E-2</v>
      </c>
      <c r="B2668">
        <v>0.36276198529605103</v>
      </c>
      <c r="C2668">
        <v>0.31357117480680602</v>
      </c>
      <c r="D2668">
        <v>0.51575970040709296</v>
      </c>
      <c r="E2668">
        <v>0.47762398418719199</v>
      </c>
    </row>
    <row r="2669" spans="1:5" x14ac:dyDescent="0.2">
      <c r="A2669">
        <v>4.1121333333333301E-2</v>
      </c>
      <c r="B2669">
        <v>0.36283063383090802</v>
      </c>
      <c r="C2669">
        <v>0.313640688233152</v>
      </c>
      <c r="D2669">
        <v>0.51586907203687604</v>
      </c>
      <c r="E2669">
        <v>0.47770174617463901</v>
      </c>
    </row>
    <row r="2670" spans="1:5" x14ac:dyDescent="0.2">
      <c r="A2670">
        <v>4.1147999999999997E-2</v>
      </c>
      <c r="B2670">
        <v>0.36289938154458801</v>
      </c>
      <c r="C2670">
        <v>0.31371024728279501</v>
      </c>
      <c r="D2670">
        <v>0.51597839084776997</v>
      </c>
      <c r="E2670">
        <v>0.47777949825681199</v>
      </c>
    </row>
    <row r="2671" spans="1:5" x14ac:dyDescent="0.2">
      <c r="A2671">
        <v>4.11746666666667E-2</v>
      </c>
      <c r="B2671">
        <v>0.36296822649548299</v>
      </c>
      <c r="C2671">
        <v>0.313779850390147</v>
      </c>
      <c r="D2671">
        <v>0.51608765675105095</v>
      </c>
      <c r="E2671">
        <v>0.47785724025290799</v>
      </c>
    </row>
    <row r="2672" spans="1:5" x14ac:dyDescent="0.2">
      <c r="A2672">
        <v>4.1201333333333298E-2</v>
      </c>
      <c r="B2672">
        <v>0.363037166741981</v>
      </c>
      <c r="C2672">
        <v>0.31384949598961898</v>
      </c>
      <c r="D2672">
        <v>0.51619686965799405</v>
      </c>
      <c r="E2672">
        <v>0.47793497198212598</v>
      </c>
    </row>
    <row r="2673" spans="1:5" x14ac:dyDescent="0.2">
      <c r="A2673">
        <v>4.1228000000000001E-2</v>
      </c>
      <c r="B2673">
        <v>0.36310620034247398</v>
      </c>
      <c r="C2673">
        <v>0.31391918251562101</v>
      </c>
      <c r="D2673">
        <v>0.51630602947987503</v>
      </c>
      <c r="E2673">
        <v>0.47801269326366003</v>
      </c>
    </row>
    <row r="2674" spans="1:5" x14ac:dyDescent="0.2">
      <c r="A2674">
        <v>4.1254666666666703E-2</v>
      </c>
      <c r="B2674">
        <v>0.36317532535535202</v>
      </c>
      <c r="C2674">
        <v>0.31398890840256399</v>
      </c>
      <c r="D2674">
        <v>0.51641513612797096</v>
      </c>
      <c r="E2674">
        <v>0.47809040391670998</v>
      </c>
    </row>
    <row r="2675" spans="1:5" x14ac:dyDescent="0.2">
      <c r="A2675">
        <v>4.1281333333333302E-2</v>
      </c>
      <c r="B2675">
        <v>0.36324453983900501</v>
      </c>
      <c r="C2675">
        <v>0.31405867208485999</v>
      </c>
      <c r="D2675">
        <v>0.51652418951355505</v>
      </c>
      <c r="E2675">
        <v>0.47816810376047097</v>
      </c>
    </row>
    <row r="2676" spans="1:5" x14ac:dyDescent="0.2">
      <c r="A2676">
        <v>4.1307999999999997E-2</v>
      </c>
      <c r="B2676">
        <v>0.36331384185182197</v>
      </c>
      <c r="C2676">
        <v>0.31412847199692001</v>
      </c>
      <c r="D2676">
        <v>0.51663318954790505</v>
      </c>
      <c r="E2676">
        <v>0.47824579261414002</v>
      </c>
    </row>
    <row r="2677" spans="1:5" x14ac:dyDescent="0.2">
      <c r="A2677">
        <v>4.13346666666667E-2</v>
      </c>
      <c r="B2677">
        <v>0.36338322945219498</v>
      </c>
      <c r="C2677">
        <v>0.31419830657315401</v>
      </c>
      <c r="D2677">
        <v>0.51674213614229603</v>
      </c>
      <c r="E2677">
        <v>0.47832347029691502</v>
      </c>
    </row>
    <row r="2678" spans="1:5" x14ac:dyDescent="0.2">
      <c r="A2678">
        <v>4.1361333333333299E-2</v>
      </c>
      <c r="B2678">
        <v>0.36345270069851199</v>
      </c>
      <c r="C2678">
        <v>0.31426817424797299</v>
      </c>
      <c r="D2678">
        <v>0.51685102920800396</v>
      </c>
      <c r="E2678">
        <v>0.478401136627993</v>
      </c>
    </row>
    <row r="2679" spans="1:5" x14ac:dyDescent="0.2">
      <c r="A2679">
        <v>4.1388000000000001E-2</v>
      </c>
      <c r="B2679">
        <v>0.36352225364916602</v>
      </c>
      <c r="C2679">
        <v>0.31433807345578801</v>
      </c>
      <c r="D2679">
        <v>0.51695986865630394</v>
      </c>
      <c r="E2679">
        <v>0.47847879142657002</v>
      </c>
    </row>
    <row r="2680" spans="1:5" x14ac:dyDescent="0.2">
      <c r="A2680">
        <v>4.1414666666666697E-2</v>
      </c>
      <c r="B2680">
        <v>0.36359188636254502</v>
      </c>
      <c r="C2680">
        <v>0.31440800263101099</v>
      </c>
      <c r="D2680">
        <v>0.51706865439847105</v>
      </c>
      <c r="E2680">
        <v>0.47855643451184399</v>
      </c>
    </row>
    <row r="2681" spans="1:5" x14ac:dyDescent="0.2">
      <c r="A2681">
        <v>4.1441333333333302E-2</v>
      </c>
      <c r="B2681">
        <v>0.36366159689703997</v>
      </c>
      <c r="C2681">
        <v>0.31447796020805202</v>
      </c>
      <c r="D2681">
        <v>0.51717738634578203</v>
      </c>
      <c r="E2681">
        <v>0.47863406570300998</v>
      </c>
    </row>
    <row r="2682" spans="1:5" x14ac:dyDescent="0.2">
      <c r="A2682">
        <v>4.1467999999999998E-2</v>
      </c>
      <c r="B2682">
        <v>0.36373138331104099</v>
      </c>
      <c r="C2682">
        <v>0.31454794462132202</v>
      </c>
      <c r="D2682">
        <v>0.51728606440951297</v>
      </c>
      <c r="E2682">
        <v>0.47871168481926801</v>
      </c>
    </row>
    <row r="2683" spans="1:5" x14ac:dyDescent="0.2">
      <c r="A2683">
        <v>4.1494666666666701E-2</v>
      </c>
      <c r="B2683">
        <v>0.36380124366293798</v>
      </c>
      <c r="C2683">
        <v>0.31461795430523198</v>
      </c>
      <c r="D2683">
        <v>0.51739468850093895</v>
      </c>
      <c r="E2683">
        <v>0.47878929167981299</v>
      </c>
    </row>
    <row r="2684" spans="1:5" x14ac:dyDescent="0.2">
      <c r="A2684">
        <v>4.1521333333333299E-2</v>
      </c>
      <c r="B2684">
        <v>0.36387117601112201</v>
      </c>
      <c r="C2684">
        <v>0.31468798769419398</v>
      </c>
      <c r="D2684">
        <v>0.51750325853133505</v>
      </c>
      <c r="E2684">
        <v>0.47886688610384198</v>
      </c>
    </row>
    <row r="2685" spans="1:5" x14ac:dyDescent="0.2">
      <c r="A2685">
        <v>4.1548000000000002E-2</v>
      </c>
      <c r="B2685">
        <v>0.36394117841398199</v>
      </c>
      <c r="C2685">
        <v>0.31475804322261702</v>
      </c>
      <c r="D2685">
        <v>0.51761177441197703</v>
      </c>
      <c r="E2685">
        <v>0.47894446791055301</v>
      </c>
    </row>
    <row r="2686" spans="1:5" x14ac:dyDescent="0.2">
      <c r="A2686">
        <v>4.1574666666666697E-2</v>
      </c>
      <c r="B2686">
        <v>0.36401124892990899</v>
      </c>
      <c r="C2686">
        <v>0.314828119324914</v>
      </c>
      <c r="D2686">
        <v>0.51772023605414197</v>
      </c>
      <c r="E2686">
        <v>0.47902203691914202</v>
      </c>
    </row>
    <row r="2687" spans="1:5" x14ac:dyDescent="0.2">
      <c r="A2687">
        <v>4.1601333333333303E-2</v>
      </c>
      <c r="B2687">
        <v>0.36408138561729297</v>
      </c>
      <c r="C2687">
        <v>0.31489821443549498</v>
      </c>
      <c r="D2687">
        <v>0.51782864336910395</v>
      </c>
      <c r="E2687">
        <v>0.479099592948806</v>
      </c>
    </row>
    <row r="2688" spans="1:5" x14ac:dyDescent="0.2">
      <c r="A2688">
        <v>4.1627999999999998E-2</v>
      </c>
      <c r="B2688">
        <v>0.36415158653452401</v>
      </c>
      <c r="C2688">
        <v>0.31496832698876998</v>
      </c>
      <c r="D2688">
        <v>0.51793699626813905</v>
      </c>
      <c r="E2688">
        <v>0.47917713581874299</v>
      </c>
    </row>
    <row r="2689" spans="1:5" x14ac:dyDescent="0.2">
      <c r="A2689">
        <v>4.1654666666666701E-2</v>
      </c>
      <c r="B2689">
        <v>0.364221849739993</v>
      </c>
      <c r="C2689">
        <v>0.31503845541915199</v>
      </c>
      <c r="D2689">
        <v>0.51804529466252403</v>
      </c>
      <c r="E2689">
        <v>0.47925466534814898</v>
      </c>
    </row>
    <row r="2690" spans="1:5" x14ac:dyDescent="0.2">
      <c r="A2690">
        <v>4.1681333333333299E-2</v>
      </c>
      <c r="B2690">
        <v>0.36429217329208902</v>
      </c>
      <c r="C2690">
        <v>0.31510859816105102</v>
      </c>
      <c r="D2690">
        <v>0.51815353846353296</v>
      </c>
      <c r="E2690">
        <v>0.47933218135622102</v>
      </c>
    </row>
    <row r="2691" spans="1:5" x14ac:dyDescent="0.2">
      <c r="A2691">
        <v>4.1708000000000002E-2</v>
      </c>
      <c r="B2691">
        <v>0.36436255524920302</v>
      </c>
      <c r="C2691">
        <v>0.31517875364887699</v>
      </c>
      <c r="D2691">
        <v>0.51826172758244304</v>
      </c>
      <c r="E2691">
        <v>0.47940968366215603</v>
      </c>
    </row>
    <row r="2692" spans="1:5" x14ac:dyDescent="0.2">
      <c r="A2692">
        <v>4.1734666666666698E-2</v>
      </c>
      <c r="B2692">
        <v>0.36443299366972398</v>
      </c>
      <c r="C2692">
        <v>0.31524892031704199</v>
      </c>
      <c r="D2692">
        <v>0.51836986193052803</v>
      </c>
      <c r="E2692">
        <v>0.47948717208515201</v>
      </c>
    </row>
    <row r="2693" spans="1:5" x14ac:dyDescent="0.2">
      <c r="A2693">
        <v>4.1761333333333303E-2</v>
      </c>
      <c r="B2693">
        <v>0.36450348661204401</v>
      </c>
      <c r="C2693">
        <v>0.31531909659995699</v>
      </c>
      <c r="D2693">
        <v>0.518477941419066</v>
      </c>
      <c r="E2693">
        <v>0.479564646444405</v>
      </c>
    </row>
    <row r="2694" spans="1:5" x14ac:dyDescent="0.2">
      <c r="A2694">
        <v>4.1787999999999999E-2</v>
      </c>
      <c r="B2694">
        <v>0.36457403213455197</v>
      </c>
      <c r="C2694">
        <v>0.315389280932033</v>
      </c>
      <c r="D2694">
        <v>0.51858596595933104</v>
      </c>
      <c r="E2694">
        <v>0.47964210655911299</v>
      </c>
    </row>
    <row r="2695" spans="1:5" x14ac:dyDescent="0.2">
      <c r="A2695">
        <v>4.1814666666666701E-2</v>
      </c>
      <c r="B2695">
        <v>0.36464462829563898</v>
      </c>
      <c r="C2695">
        <v>0.31545947174768102</v>
      </c>
      <c r="D2695">
        <v>0.51869393546259901</v>
      </c>
      <c r="E2695">
        <v>0.47971955224847102</v>
      </c>
    </row>
    <row r="2696" spans="1:5" x14ac:dyDescent="0.2">
      <c r="A2696">
        <v>4.18413333333333E-2</v>
      </c>
      <c r="B2696">
        <v>0.36471527315369401</v>
      </c>
      <c r="C2696">
        <v>0.315529667481311</v>
      </c>
      <c r="D2696">
        <v>0.51880184984014599</v>
      </c>
      <c r="E2696">
        <v>0.47979698333167797</v>
      </c>
    </row>
    <row r="2697" spans="1:5" x14ac:dyDescent="0.2">
      <c r="A2697">
        <v>4.1868000000000002E-2</v>
      </c>
      <c r="B2697">
        <v>0.36478596476710801</v>
      </c>
      <c r="C2697">
        <v>0.31559986656733502</v>
      </c>
      <c r="D2697">
        <v>0.51890970900324696</v>
      </c>
      <c r="E2697">
        <v>0.47987439962792999</v>
      </c>
    </row>
    <row r="2698" spans="1:5" x14ac:dyDescent="0.2">
      <c r="A2698">
        <v>4.1894666666666698E-2</v>
      </c>
      <c r="B2698">
        <v>0.36485670119427099</v>
      </c>
      <c r="C2698">
        <v>0.31567006744016401</v>
      </c>
      <c r="D2698">
        <v>0.51901751286317899</v>
      </c>
      <c r="E2698">
        <v>0.47995180095642398</v>
      </c>
    </row>
    <row r="2699" spans="1:5" x14ac:dyDescent="0.2">
      <c r="A2699">
        <v>4.1921333333333297E-2</v>
      </c>
      <c r="B2699">
        <v>0.36492748049357299</v>
      </c>
      <c r="C2699">
        <v>0.315740268534208</v>
      </c>
      <c r="D2699">
        <v>0.51912526133121595</v>
      </c>
      <c r="E2699">
        <v>0.480029187136358</v>
      </c>
    </row>
    <row r="2700" spans="1:5" x14ac:dyDescent="0.2">
      <c r="A2700">
        <v>4.1947999999999999E-2</v>
      </c>
      <c r="B2700">
        <v>0.364998300723405</v>
      </c>
      <c r="C2700">
        <v>0.31581046828387899</v>
      </c>
      <c r="D2700">
        <v>0.51923295431863503</v>
      </c>
      <c r="E2700">
        <v>0.48010655798692697</v>
      </c>
    </row>
    <row r="2701" spans="1:5" x14ac:dyDescent="0.2">
      <c r="A2701">
        <v>4.1974666666666702E-2</v>
      </c>
      <c r="B2701">
        <v>0.365069159942156</v>
      </c>
      <c r="C2701">
        <v>0.31588066512358798</v>
      </c>
      <c r="D2701">
        <v>0.51934059173671099</v>
      </c>
      <c r="E2701">
        <v>0.48018391332733001</v>
      </c>
    </row>
    <row r="2702" spans="1:5" x14ac:dyDescent="0.2">
      <c r="A2702">
        <v>4.20013333333333E-2</v>
      </c>
      <c r="B2702">
        <v>0.36514005620821699</v>
      </c>
      <c r="C2702">
        <v>0.31595085748777801</v>
      </c>
      <c r="D2702">
        <v>0.51944817349672001</v>
      </c>
      <c r="E2702">
        <v>0.48026125297676298</v>
      </c>
    </row>
    <row r="2703" spans="1:5" x14ac:dyDescent="0.2">
      <c r="A2703">
        <v>4.2028000000000003E-2</v>
      </c>
      <c r="B2703">
        <v>0.365210987579978</v>
      </c>
      <c r="C2703">
        <v>0.316021044122828</v>
      </c>
      <c r="D2703">
        <v>0.51955569950993696</v>
      </c>
      <c r="E2703">
        <v>0.48033857675442199</v>
      </c>
    </row>
    <row r="2704" spans="1:5" x14ac:dyDescent="0.2">
      <c r="A2704">
        <v>4.2054666666666699E-2</v>
      </c>
      <c r="B2704">
        <v>0.36528195211582898</v>
      </c>
      <c r="C2704">
        <v>0.316091224849472</v>
      </c>
      <c r="D2704">
        <v>0.51966316968763904</v>
      </c>
      <c r="E2704">
        <v>0.48041588447950601</v>
      </c>
    </row>
    <row r="2705" spans="1:5" x14ac:dyDescent="0.2">
      <c r="A2705">
        <v>4.2081333333333297E-2</v>
      </c>
      <c r="B2705">
        <v>0.36535294787416001</v>
      </c>
      <c r="C2705">
        <v>0.31616139971957402</v>
      </c>
      <c r="D2705">
        <v>0.51977058394110098</v>
      </c>
      <c r="E2705">
        <v>0.480493175971211</v>
      </c>
    </row>
    <row r="2706" spans="1:5" x14ac:dyDescent="0.2">
      <c r="A2706">
        <v>4.2108E-2</v>
      </c>
      <c r="B2706">
        <v>0.36542397291336198</v>
      </c>
      <c r="C2706">
        <v>0.31623156878499398</v>
      </c>
      <c r="D2706">
        <v>0.519877942181598</v>
      </c>
      <c r="E2706">
        <v>0.48057045104873403</v>
      </c>
    </row>
    <row r="2707" spans="1:5" x14ac:dyDescent="0.2">
      <c r="A2707">
        <v>4.2134666666666702E-2</v>
      </c>
      <c r="B2707">
        <v>0.36549502529182398</v>
      </c>
      <c r="C2707">
        <v>0.31630173209759699</v>
      </c>
      <c r="D2707">
        <v>0.51998524432040705</v>
      </c>
      <c r="E2707">
        <v>0.480647709531272</v>
      </c>
    </row>
    <row r="2708" spans="1:5" x14ac:dyDescent="0.2">
      <c r="A2708">
        <v>4.2161333333333301E-2</v>
      </c>
      <c r="B2708">
        <v>0.36556610306793702</v>
      </c>
      <c r="C2708">
        <v>0.31637188970924401</v>
      </c>
      <c r="D2708">
        <v>0.520092490268802</v>
      </c>
      <c r="E2708">
        <v>0.480724951238022</v>
      </c>
    </row>
    <row r="2709" spans="1:5" x14ac:dyDescent="0.2">
      <c r="A2709">
        <v>4.2188000000000003E-2</v>
      </c>
      <c r="B2709">
        <v>0.365637204300092</v>
      </c>
      <c r="C2709">
        <v>0.31644204167179801</v>
      </c>
      <c r="D2709">
        <v>0.52019967993806004</v>
      </c>
      <c r="E2709">
        <v>0.48080217598818098</v>
      </c>
    </row>
    <row r="2710" spans="1:5" x14ac:dyDescent="0.2">
      <c r="A2710">
        <v>4.2214666666666699E-2</v>
      </c>
      <c r="B2710">
        <v>0.365708327046677</v>
      </c>
      <c r="C2710">
        <v>0.316512188037121</v>
      </c>
      <c r="D2710">
        <v>0.52030681323945704</v>
      </c>
      <c r="E2710">
        <v>0.48087938360094601</v>
      </c>
    </row>
    <row r="2711" spans="1:5" x14ac:dyDescent="0.2">
      <c r="A2711">
        <v>4.2241333333333297E-2</v>
      </c>
      <c r="B2711">
        <v>0.36577946936608402</v>
      </c>
      <c r="C2711">
        <v>0.31658232885707499</v>
      </c>
      <c r="D2711">
        <v>0.52041389008426697</v>
      </c>
      <c r="E2711">
        <v>0.48095657389551399</v>
      </c>
    </row>
    <row r="2712" spans="1:5" x14ac:dyDescent="0.2">
      <c r="A2712">
        <v>4.2268E-2</v>
      </c>
      <c r="B2712">
        <v>0.36585062931670298</v>
      </c>
      <c r="C2712">
        <v>0.316652464183524</v>
      </c>
      <c r="D2712">
        <v>0.52052091038376702</v>
      </c>
      <c r="E2712">
        <v>0.48103374669108201</v>
      </c>
    </row>
    <row r="2713" spans="1:5" x14ac:dyDescent="0.2">
      <c r="A2713">
        <v>4.2294666666666703E-2</v>
      </c>
      <c r="B2713">
        <v>0.365921804956923</v>
      </c>
      <c r="C2713">
        <v>0.31672259406832998</v>
      </c>
      <c r="D2713">
        <v>0.52062787404923305</v>
      </c>
      <c r="E2713">
        <v>0.48111090180684701</v>
      </c>
    </row>
    <row r="2714" spans="1:5" x14ac:dyDescent="0.2">
      <c r="A2714">
        <v>4.2321333333333301E-2</v>
      </c>
      <c r="B2714">
        <v>0.36599299434513499</v>
      </c>
      <c r="C2714">
        <v>0.316792718563354</v>
      </c>
      <c r="D2714">
        <v>0.52073478099194004</v>
      </c>
      <c r="E2714">
        <v>0.48118803906200602</v>
      </c>
    </row>
    <row r="2715" spans="1:5" x14ac:dyDescent="0.2">
      <c r="A2715">
        <v>4.2347999999999997E-2</v>
      </c>
      <c r="B2715">
        <v>0.36606419553973002</v>
      </c>
      <c r="C2715">
        <v>0.31686283772046098</v>
      </c>
      <c r="D2715">
        <v>0.52084163112316295</v>
      </c>
      <c r="E2715">
        <v>0.481265158275756</v>
      </c>
    </row>
    <row r="2716" spans="1:5" x14ac:dyDescent="0.2">
      <c r="A2716">
        <v>4.2374666666666699E-2</v>
      </c>
      <c r="B2716">
        <v>0.36613540659909699</v>
      </c>
      <c r="C2716">
        <v>0.31693295159151103</v>
      </c>
      <c r="D2716">
        <v>0.52094842435417898</v>
      </c>
      <c r="E2716">
        <v>0.48134225926729302</v>
      </c>
    </row>
    <row r="2717" spans="1:5" x14ac:dyDescent="0.2">
      <c r="A2717">
        <v>4.2401333333333298E-2</v>
      </c>
      <c r="B2717">
        <v>0.36620662558162598</v>
      </c>
      <c r="C2717">
        <v>0.31700306022836799</v>
      </c>
      <c r="D2717">
        <v>0.521055160596262</v>
      </c>
      <c r="E2717">
        <v>0.48141934185581597</v>
      </c>
    </row>
    <row r="2718" spans="1:5" x14ac:dyDescent="0.2">
      <c r="A2718">
        <v>4.2428E-2</v>
      </c>
      <c r="B2718">
        <v>0.36627785054570799</v>
      </c>
      <c r="C2718">
        <v>0.31707316368289401</v>
      </c>
      <c r="D2718">
        <v>0.52116183976068997</v>
      </c>
      <c r="E2718">
        <v>0.48149640586052</v>
      </c>
    </row>
    <row r="2719" spans="1:5" x14ac:dyDescent="0.2">
      <c r="A2719">
        <v>4.2454666666666703E-2</v>
      </c>
      <c r="B2719">
        <v>0.366349079549733</v>
      </c>
      <c r="C2719">
        <v>0.31714326200695098</v>
      </c>
      <c r="D2719">
        <v>0.52126846175873698</v>
      </c>
      <c r="E2719">
        <v>0.48157345110060301</v>
      </c>
    </row>
    <row r="2720" spans="1:5" x14ac:dyDescent="0.2">
      <c r="A2720">
        <v>4.2481333333333302E-2</v>
      </c>
      <c r="B2720">
        <v>0.36642031065209102</v>
      </c>
      <c r="C2720">
        <v>0.31721335525240202</v>
      </c>
      <c r="D2720">
        <v>0.521375026501679</v>
      </c>
      <c r="E2720">
        <v>0.48165047739526201</v>
      </c>
    </row>
    <row r="2721" spans="1:5" x14ac:dyDescent="0.2">
      <c r="A2721">
        <v>4.2507999999999997E-2</v>
      </c>
      <c r="B2721">
        <v>0.366491541911172</v>
      </c>
      <c r="C2721">
        <v>0.31728344347110898</v>
      </c>
      <c r="D2721">
        <v>0.52148153390079199</v>
      </c>
      <c r="E2721">
        <v>0.48172748456369402</v>
      </c>
    </row>
    <row r="2722" spans="1:5" x14ac:dyDescent="0.2">
      <c r="A2722">
        <v>4.25346666666667E-2</v>
      </c>
      <c r="B2722">
        <v>0.36656277138536703</v>
      </c>
      <c r="C2722">
        <v>0.317353526714935</v>
      </c>
      <c r="D2722">
        <v>0.52158798386735095</v>
      </c>
      <c r="E2722">
        <v>0.481804472425096</v>
      </c>
    </row>
    <row r="2723" spans="1:5" x14ac:dyDescent="0.2">
      <c r="A2723">
        <v>4.2561333333333298E-2</v>
      </c>
      <c r="B2723">
        <v>0.36663399713306499</v>
      </c>
      <c r="C2723">
        <v>0.31742360503574302</v>
      </c>
      <c r="D2723">
        <v>0.52169437631263305</v>
      </c>
      <c r="E2723">
        <v>0.48188144079866402</v>
      </c>
    </row>
    <row r="2724" spans="1:5" x14ac:dyDescent="0.2">
      <c r="A2724">
        <v>4.2588000000000001E-2</v>
      </c>
      <c r="B2724">
        <v>0.36670521721265698</v>
      </c>
      <c r="C2724">
        <v>0.317493678485394</v>
      </c>
      <c r="D2724">
        <v>0.52180071114791204</v>
      </c>
      <c r="E2724">
        <v>0.48195838950359599</v>
      </c>
    </row>
    <row r="2725" spans="1:5" x14ac:dyDescent="0.2">
      <c r="A2725">
        <v>4.2614666666666703E-2</v>
      </c>
      <c r="B2725">
        <v>0.36677642968253299</v>
      </c>
      <c r="C2725">
        <v>0.31756374711575203</v>
      </c>
      <c r="D2725">
        <v>0.52190698828446502</v>
      </c>
      <c r="E2725">
        <v>0.48203531835908903</v>
      </c>
    </row>
    <row r="2726" spans="1:5" x14ac:dyDescent="0.2">
      <c r="A2726">
        <v>4.2641333333333302E-2</v>
      </c>
      <c r="B2726">
        <v>0.366847632601083</v>
      </c>
      <c r="C2726">
        <v>0.31763381097867799</v>
      </c>
      <c r="D2726">
        <v>0.52201320763356795</v>
      </c>
      <c r="E2726">
        <v>0.48211222718433899</v>
      </c>
    </row>
    <row r="2727" spans="1:5" x14ac:dyDescent="0.2">
      <c r="A2727">
        <v>4.2667999999999998E-2</v>
      </c>
      <c r="B2727">
        <v>0.36691882402669801</v>
      </c>
      <c r="C2727">
        <v>0.31770387012603502</v>
      </c>
      <c r="D2727">
        <v>0.52211936910649404</v>
      </c>
      <c r="E2727">
        <v>0.48218911579854501</v>
      </c>
    </row>
    <row r="2728" spans="1:5" x14ac:dyDescent="0.2">
      <c r="A2728">
        <v>4.26946666666667E-2</v>
      </c>
      <c r="B2728">
        <v>0.36699000201776699</v>
      </c>
      <c r="C2728">
        <v>0.31777392460968601</v>
      </c>
      <c r="D2728">
        <v>0.52222547261452201</v>
      </c>
      <c r="E2728">
        <v>0.48226598402090198</v>
      </c>
    </row>
    <row r="2729" spans="1:5" x14ac:dyDescent="0.2">
      <c r="A2729">
        <v>4.2721333333333299E-2</v>
      </c>
      <c r="B2729">
        <v>0.36706116463268101</v>
      </c>
      <c r="C2729">
        <v>0.31784397448149199</v>
      </c>
      <c r="D2729">
        <v>0.52233151806892597</v>
      </c>
      <c r="E2729">
        <v>0.48234283167060699</v>
      </c>
    </row>
    <row r="2730" spans="1:5" x14ac:dyDescent="0.2">
      <c r="A2730">
        <v>4.2748000000000001E-2</v>
      </c>
      <c r="B2730">
        <v>0.36713230992982998</v>
      </c>
      <c r="C2730">
        <v>0.31791401979331801</v>
      </c>
      <c r="D2730">
        <v>0.52243750538098199</v>
      </c>
      <c r="E2730">
        <v>0.48241965856685798</v>
      </c>
    </row>
    <row r="2731" spans="1:5" x14ac:dyDescent="0.2">
      <c r="A2731">
        <v>4.2774666666666697E-2</v>
      </c>
      <c r="B2731">
        <v>0.36720343596760402</v>
      </c>
      <c r="C2731">
        <v>0.317984060597024</v>
      </c>
      <c r="D2731">
        <v>0.52254343446196505</v>
      </c>
      <c r="E2731">
        <v>0.48249646452885198</v>
      </c>
    </row>
    <row r="2732" spans="1:5" x14ac:dyDescent="0.2">
      <c r="A2732">
        <v>4.2801333333333302E-2</v>
      </c>
      <c r="B2732">
        <v>0.36727454080439298</v>
      </c>
      <c r="C2732">
        <v>0.31805409694447301</v>
      </c>
      <c r="D2732">
        <v>0.52264930522315201</v>
      </c>
      <c r="E2732">
        <v>0.482573249375786</v>
      </c>
    </row>
    <row r="2733" spans="1:5" x14ac:dyDescent="0.2">
      <c r="A2733">
        <v>4.2827999999999998E-2</v>
      </c>
      <c r="B2733">
        <v>0.36734562249858799</v>
      </c>
      <c r="C2733">
        <v>0.318124128887529</v>
      </c>
      <c r="D2733">
        <v>0.52275511757581705</v>
      </c>
      <c r="E2733">
        <v>0.482650012926856</v>
      </c>
    </row>
    <row r="2734" spans="1:5" x14ac:dyDescent="0.2">
      <c r="A2734">
        <v>4.2854666666666701E-2</v>
      </c>
      <c r="B2734">
        <v>0.367416679108578</v>
      </c>
      <c r="C2734">
        <v>0.31819415647805299</v>
      </c>
      <c r="D2734">
        <v>0.52286087143123705</v>
      </c>
      <c r="E2734">
        <v>0.48272675500126</v>
      </c>
    </row>
    <row r="2735" spans="1:5" x14ac:dyDescent="0.2">
      <c r="A2735">
        <v>4.2881333333333299E-2</v>
      </c>
      <c r="B2735">
        <v>0.36748770869275399</v>
      </c>
      <c r="C2735">
        <v>0.318264179767907</v>
      </c>
      <c r="D2735">
        <v>0.52296656670068797</v>
      </c>
      <c r="E2735">
        <v>0.48280347541819402</v>
      </c>
    </row>
    <row r="2736" spans="1:5" x14ac:dyDescent="0.2">
      <c r="A2736">
        <v>4.2908000000000002E-2</v>
      </c>
      <c r="B2736">
        <v>0.36755870930950602</v>
      </c>
      <c r="C2736">
        <v>0.31833419880895503</v>
      </c>
      <c r="D2736">
        <v>0.52307220329544502</v>
      </c>
      <c r="E2736">
        <v>0.48288017399685601</v>
      </c>
    </row>
    <row r="2737" spans="1:5" x14ac:dyDescent="0.2">
      <c r="A2737">
        <v>4.2934666666666697E-2</v>
      </c>
      <c r="B2737">
        <v>0.36762967901722499</v>
      </c>
      <c r="C2737">
        <v>0.31840421365305899</v>
      </c>
      <c r="D2737">
        <v>0.52317778112678304</v>
      </c>
      <c r="E2737">
        <v>0.482956850556442</v>
      </c>
    </row>
    <row r="2738" spans="1:5" x14ac:dyDescent="0.2">
      <c r="A2738">
        <v>4.2961333333333303E-2</v>
      </c>
      <c r="B2738">
        <v>0.36770061587429897</v>
      </c>
      <c r="C2738">
        <v>0.318474224352081</v>
      </c>
      <c r="D2738">
        <v>0.52328330010597801</v>
      </c>
      <c r="E2738">
        <v>0.48303350491614999</v>
      </c>
    </row>
    <row r="2739" spans="1:5" x14ac:dyDescent="0.2">
      <c r="A2739">
        <v>4.2987999999999998E-2</v>
      </c>
      <c r="B2739">
        <v>0.367771517939121</v>
      </c>
      <c r="C2739">
        <v>0.31854423095788298</v>
      </c>
      <c r="D2739">
        <v>0.52338876014430702</v>
      </c>
      <c r="E2739">
        <v>0.48311013689517701</v>
      </c>
    </row>
    <row r="2740" spans="1:5" x14ac:dyDescent="0.2">
      <c r="A2740">
        <v>4.3014666666666701E-2</v>
      </c>
      <c r="B2740">
        <v>0.36784238335884101</v>
      </c>
      <c r="C2740">
        <v>0.31861423352232898</v>
      </c>
      <c r="D2740">
        <v>0.52349416115304404</v>
      </c>
      <c r="E2740">
        <v>0.48318674631271902</v>
      </c>
    </row>
    <row r="2741" spans="1:5" x14ac:dyDescent="0.2">
      <c r="A2741">
        <v>4.30413333333333E-2</v>
      </c>
      <c r="B2741">
        <v>0.36791321191228099</v>
      </c>
      <c r="C2741">
        <v>0.31868423209727997</v>
      </c>
      <c r="D2741">
        <v>0.52359950304346603</v>
      </c>
      <c r="E2741">
        <v>0.48326333298797303</v>
      </c>
    </row>
    <row r="2742" spans="1:5" x14ac:dyDescent="0.2">
      <c r="A2742">
        <v>4.3068000000000002E-2</v>
      </c>
      <c r="B2742">
        <v>0.367984004810264</v>
      </c>
      <c r="C2742">
        <v>0.31875422673459902</v>
      </c>
      <c r="D2742">
        <v>0.52370478572684798</v>
      </c>
      <c r="E2742">
        <v>0.483339896740137</v>
      </c>
    </row>
    <row r="2743" spans="1:5" x14ac:dyDescent="0.2">
      <c r="A2743">
        <v>4.3094666666666698E-2</v>
      </c>
      <c r="B2743">
        <v>0.36805476331222697</v>
      </c>
      <c r="C2743">
        <v>0.31882421748614898</v>
      </c>
      <c r="D2743">
        <v>0.52381000911446596</v>
      </c>
      <c r="E2743">
        <v>0.48341643738840701</v>
      </c>
    </row>
    <row r="2744" spans="1:5" x14ac:dyDescent="0.2">
      <c r="A2744">
        <v>4.3121333333333303E-2</v>
      </c>
      <c r="B2744">
        <v>0.36812548867761002</v>
      </c>
      <c r="C2744">
        <v>0.31889420440379102</v>
      </c>
      <c r="D2744">
        <v>0.52391517311759495</v>
      </c>
      <c r="E2744">
        <v>0.48349295475198101</v>
      </c>
    </row>
    <row r="2745" spans="1:5" x14ac:dyDescent="0.2">
      <c r="A2745">
        <v>4.3147999999999999E-2</v>
      </c>
      <c r="B2745">
        <v>0.36819618216585098</v>
      </c>
      <c r="C2745">
        <v>0.31896418753938899</v>
      </c>
      <c r="D2745">
        <v>0.52402027764751102</v>
      </c>
      <c r="E2745">
        <v>0.48356944865005502</v>
      </c>
    </row>
    <row r="2746" spans="1:5" x14ac:dyDescent="0.2">
      <c r="A2746">
        <v>4.3174666666666701E-2</v>
      </c>
      <c r="B2746">
        <v>0.36826684503638901</v>
      </c>
      <c r="C2746">
        <v>0.31903416694480502</v>
      </c>
      <c r="D2746">
        <v>0.52412532261549005</v>
      </c>
      <c r="E2746">
        <v>0.48364591890182701</v>
      </c>
    </row>
    <row r="2747" spans="1:5" x14ac:dyDescent="0.2">
      <c r="A2747">
        <v>4.32013333333333E-2</v>
      </c>
      <c r="B2747">
        <v>0.368337478548663</v>
      </c>
      <c r="C2747">
        <v>0.31910414267190201</v>
      </c>
      <c r="D2747">
        <v>0.524230307932808</v>
      </c>
      <c r="E2747">
        <v>0.48372236532649299</v>
      </c>
    </row>
    <row r="2748" spans="1:5" x14ac:dyDescent="0.2">
      <c r="A2748">
        <v>4.3228000000000003E-2</v>
      </c>
      <c r="B2748">
        <v>0.368408083962111</v>
      </c>
      <c r="C2748">
        <v>0.31917411477253999</v>
      </c>
      <c r="D2748">
        <v>0.52433523351073896</v>
      </c>
      <c r="E2748">
        <v>0.48379878774325002</v>
      </c>
    </row>
    <row r="2749" spans="1:5" x14ac:dyDescent="0.2">
      <c r="A2749">
        <v>4.3254666666666698E-2</v>
      </c>
      <c r="B2749">
        <v>0.36847866253617101</v>
      </c>
      <c r="C2749">
        <v>0.319244083298585</v>
      </c>
      <c r="D2749">
        <v>0.52444009926056101</v>
      </c>
      <c r="E2749">
        <v>0.48387518597129597</v>
      </c>
    </row>
    <row r="2750" spans="1:5" x14ac:dyDescent="0.2">
      <c r="A2750">
        <v>4.3281333333333297E-2</v>
      </c>
      <c r="B2750">
        <v>0.36854921553028402</v>
      </c>
      <c r="C2750">
        <v>0.31931404830189702</v>
      </c>
      <c r="D2750">
        <v>0.52454490509354801</v>
      </c>
      <c r="E2750">
        <v>0.48395155982982702</v>
      </c>
    </row>
    <row r="2751" spans="1:5" x14ac:dyDescent="0.2">
      <c r="A2751">
        <v>4.3307999999999999E-2</v>
      </c>
      <c r="B2751">
        <v>0.36861974420388699</v>
      </c>
      <c r="C2751">
        <v>0.31938400983433901</v>
      </c>
      <c r="D2751">
        <v>0.52464965092097604</v>
      </c>
      <c r="E2751">
        <v>0.48402790913804</v>
      </c>
    </row>
    <row r="2752" spans="1:5" x14ac:dyDescent="0.2">
      <c r="A2752">
        <v>4.3334666666666702E-2</v>
      </c>
      <c r="B2752">
        <v>0.36869024981641801</v>
      </c>
      <c r="C2752">
        <v>0.31945396794777398</v>
      </c>
      <c r="D2752">
        <v>0.52475433665412097</v>
      </c>
      <c r="E2752">
        <v>0.484104233715133</v>
      </c>
    </row>
    <row r="2753" spans="1:5" x14ac:dyDescent="0.2">
      <c r="A2753">
        <v>4.33613333333333E-2</v>
      </c>
      <c r="B2753">
        <v>0.36876073362731698</v>
      </c>
      <c r="C2753">
        <v>0.31952392269406399</v>
      </c>
      <c r="D2753">
        <v>0.52485896220425898</v>
      </c>
      <c r="E2753">
        <v>0.48418053338030198</v>
      </c>
    </row>
    <row r="2754" spans="1:5" x14ac:dyDescent="0.2">
      <c r="A2754">
        <v>4.3388000000000003E-2</v>
      </c>
      <c r="B2754">
        <v>0.36883119689602301</v>
      </c>
      <c r="C2754">
        <v>0.31959387412507101</v>
      </c>
      <c r="D2754">
        <v>0.52496352748266495</v>
      </c>
      <c r="E2754">
        <v>0.48425680795274401</v>
      </c>
    </row>
    <row r="2755" spans="1:5" x14ac:dyDescent="0.2">
      <c r="A2755">
        <v>4.3414666666666699E-2</v>
      </c>
      <c r="B2755">
        <v>0.36890164088197303</v>
      </c>
      <c r="C2755">
        <v>0.319663822292658</v>
      </c>
      <c r="D2755">
        <v>0.52506803240061395</v>
      </c>
      <c r="E2755">
        <v>0.48433305725165599</v>
      </c>
    </row>
    <row r="2756" spans="1:5" x14ac:dyDescent="0.2">
      <c r="A2756">
        <v>4.3441333333333297E-2</v>
      </c>
      <c r="B2756">
        <v>0.36897206684460698</v>
      </c>
      <c r="C2756">
        <v>0.31973376724868802</v>
      </c>
      <c r="D2756">
        <v>0.52517247686938395</v>
      </c>
      <c r="E2756">
        <v>0.48440928109623599</v>
      </c>
    </row>
    <row r="2757" spans="1:5" x14ac:dyDescent="0.2">
      <c r="A2757">
        <v>4.3468E-2</v>
      </c>
      <c r="B2757">
        <v>0.36904247604336299</v>
      </c>
      <c r="C2757">
        <v>0.31980370904502298</v>
      </c>
      <c r="D2757">
        <v>0.52527686080024905</v>
      </c>
      <c r="E2757">
        <v>0.48448547930567998</v>
      </c>
    </row>
    <row r="2758" spans="1:5" x14ac:dyDescent="0.2">
      <c r="A2758">
        <v>4.3494666666666702E-2</v>
      </c>
      <c r="B2758">
        <v>0.36911286973767998</v>
      </c>
      <c r="C2758">
        <v>0.319873647733526</v>
      </c>
      <c r="D2758">
        <v>0.52538118410448398</v>
      </c>
      <c r="E2758">
        <v>0.48456165169918503</v>
      </c>
    </row>
    <row r="2759" spans="1:5" x14ac:dyDescent="0.2">
      <c r="A2759">
        <v>4.3521333333333301E-2</v>
      </c>
      <c r="B2759">
        <v>0.36918324918699702</v>
      </c>
      <c r="C2759">
        <v>0.31994358336605799</v>
      </c>
      <c r="D2759">
        <v>0.52548544669336705</v>
      </c>
      <c r="E2759">
        <v>0.48463779809594798</v>
      </c>
    </row>
    <row r="2760" spans="1:5" x14ac:dyDescent="0.2">
      <c r="A2760">
        <v>4.3548000000000003E-2</v>
      </c>
      <c r="B2760">
        <v>0.36925361565075199</v>
      </c>
      <c r="C2760">
        <v>0.32001351599448202</v>
      </c>
      <c r="D2760">
        <v>0.52558964847817102</v>
      </c>
      <c r="E2760">
        <v>0.48471391831516603</v>
      </c>
    </row>
    <row r="2761" spans="1:5" x14ac:dyDescent="0.2">
      <c r="A2761">
        <v>4.3574666666666699E-2</v>
      </c>
      <c r="B2761">
        <v>0.36932397038838399</v>
      </c>
      <c r="C2761">
        <v>0.32008344567066199</v>
      </c>
      <c r="D2761">
        <v>0.52569378937017397</v>
      </c>
      <c r="E2761">
        <v>0.48479001217603701</v>
      </c>
    </row>
    <row r="2762" spans="1:5" x14ac:dyDescent="0.2">
      <c r="A2762">
        <v>4.3601333333333298E-2</v>
      </c>
      <c r="B2762">
        <v>0.36939431465933098</v>
      </c>
      <c r="C2762">
        <v>0.32015337244645797</v>
      </c>
      <c r="D2762">
        <v>0.52579786928064998</v>
      </c>
      <c r="E2762">
        <v>0.48486607949775701</v>
      </c>
    </row>
    <row r="2763" spans="1:5" x14ac:dyDescent="0.2">
      <c r="A2763">
        <v>4.3628E-2</v>
      </c>
      <c r="B2763">
        <v>0.369464649723033</v>
      </c>
      <c r="C2763">
        <v>0.32022329637373398</v>
      </c>
      <c r="D2763">
        <v>0.52590188812087602</v>
      </c>
      <c r="E2763">
        <v>0.48494212009952198</v>
      </c>
    </row>
    <row r="2764" spans="1:5" x14ac:dyDescent="0.2">
      <c r="A2764">
        <v>4.3654666666666703E-2</v>
      </c>
      <c r="B2764">
        <v>0.369534976838927</v>
      </c>
      <c r="C2764">
        <v>0.32029321750435302</v>
      </c>
      <c r="D2764">
        <v>0.52600584580212695</v>
      </c>
      <c r="E2764">
        <v>0.48501813380053099</v>
      </c>
    </row>
    <row r="2765" spans="1:5" x14ac:dyDescent="0.2">
      <c r="A2765">
        <v>4.3681333333333301E-2</v>
      </c>
      <c r="B2765">
        <v>0.36960529726645303</v>
      </c>
      <c r="C2765">
        <v>0.32036313589017601</v>
      </c>
      <c r="D2765">
        <v>0.52610974223567797</v>
      </c>
      <c r="E2765">
        <v>0.48509412041998001</v>
      </c>
    </row>
    <row r="2766" spans="1:5" x14ac:dyDescent="0.2">
      <c r="A2766">
        <v>4.3707999999999997E-2</v>
      </c>
      <c r="B2766">
        <v>0.36967561226504903</v>
      </c>
      <c r="C2766">
        <v>0.32043305158306601</v>
      </c>
      <c r="D2766">
        <v>0.52621357733280605</v>
      </c>
      <c r="E2766">
        <v>0.485170079777067</v>
      </c>
    </row>
    <row r="2767" spans="1:5" x14ac:dyDescent="0.2">
      <c r="A2767">
        <v>4.3734666666666699E-2</v>
      </c>
      <c r="B2767">
        <v>0.36974592309415399</v>
      </c>
      <c r="C2767">
        <v>0.32050296463488598</v>
      </c>
      <c r="D2767">
        <v>0.52631735100478605</v>
      </c>
      <c r="E2767">
        <v>0.48524601169098702</v>
      </c>
    </row>
    <row r="2768" spans="1:5" x14ac:dyDescent="0.2">
      <c r="A2768">
        <v>4.3761333333333298E-2</v>
      </c>
      <c r="B2768">
        <v>0.36981623101320699</v>
      </c>
      <c r="C2768">
        <v>0.32057287509749699</v>
      </c>
      <c r="D2768">
        <v>0.52642106316289405</v>
      </c>
      <c r="E2768">
        <v>0.48532191598093799</v>
      </c>
    </row>
    <row r="2769" spans="1:5" x14ac:dyDescent="0.2">
      <c r="A2769">
        <v>4.3788000000000001E-2</v>
      </c>
      <c r="B2769">
        <v>0.369886537281646</v>
      </c>
      <c r="C2769">
        <v>0.320642783022763</v>
      </c>
      <c r="D2769">
        <v>0.52652471371840504</v>
      </c>
      <c r="E2769">
        <v>0.48539779246611697</v>
      </c>
    </row>
    <row r="2770" spans="1:5" x14ac:dyDescent="0.2">
      <c r="A2770">
        <v>4.3814666666666703E-2</v>
      </c>
      <c r="B2770">
        <v>0.36995684315890898</v>
      </c>
      <c r="C2770">
        <v>0.32071268846254603</v>
      </c>
      <c r="D2770">
        <v>0.52662830258259496</v>
      </c>
      <c r="E2770">
        <v>0.48547364096572099</v>
      </c>
    </row>
    <row r="2771" spans="1:5" x14ac:dyDescent="0.2">
      <c r="A2771">
        <v>4.3841333333333302E-2</v>
      </c>
      <c r="B2771">
        <v>0.37002714990443702</v>
      </c>
      <c r="C2771">
        <v>0.32078259146870902</v>
      </c>
      <c r="D2771">
        <v>0.52673182966674004</v>
      </c>
      <c r="E2771">
        <v>0.48554946129894699</v>
      </c>
    </row>
    <row r="2772" spans="1:5" x14ac:dyDescent="0.2">
      <c r="A2772">
        <v>4.3867999999999997E-2</v>
      </c>
      <c r="B2772">
        <v>0.37009745877766598</v>
      </c>
      <c r="C2772">
        <v>0.32085249209311301</v>
      </c>
      <c r="D2772">
        <v>0.526835294882116</v>
      </c>
      <c r="E2772">
        <v>0.48562525328499301</v>
      </c>
    </row>
    <row r="2773" spans="1:5" x14ac:dyDescent="0.2">
      <c r="A2773">
        <v>4.38946666666667E-2</v>
      </c>
      <c r="B2773">
        <v>0.370167771038037</v>
      </c>
      <c r="C2773">
        <v>0.32092239038762199</v>
      </c>
      <c r="D2773">
        <v>0.52693869813999805</v>
      </c>
      <c r="E2773">
        <v>0.48570101674305399</v>
      </c>
    </row>
    <row r="2774" spans="1:5" x14ac:dyDescent="0.2">
      <c r="A2774">
        <v>4.3921333333333298E-2</v>
      </c>
      <c r="B2774">
        <v>0.37023808794498603</v>
      </c>
      <c r="C2774">
        <v>0.32099228640409699</v>
      </c>
      <c r="D2774">
        <v>0.52704203935166105</v>
      </c>
      <c r="E2774">
        <v>0.48577675149232802</v>
      </c>
    </row>
    <row r="2775" spans="1:5" x14ac:dyDescent="0.2">
      <c r="A2775">
        <v>4.3948000000000001E-2</v>
      </c>
      <c r="B2775">
        <v>0.37030841075795501</v>
      </c>
      <c r="C2775">
        <v>0.32106218019440202</v>
      </c>
      <c r="D2775">
        <v>0.52714531842838197</v>
      </c>
      <c r="E2775">
        <v>0.48585245735201199</v>
      </c>
    </row>
    <row r="2776" spans="1:5" x14ac:dyDescent="0.2">
      <c r="A2776">
        <v>4.3974666666666697E-2</v>
      </c>
      <c r="B2776">
        <v>0.370378740736379</v>
      </c>
      <c r="C2776">
        <v>0.32113207181039899</v>
      </c>
      <c r="D2776">
        <v>0.527248535281437</v>
      </c>
      <c r="E2776">
        <v>0.48592813414130298</v>
      </c>
    </row>
    <row r="2777" spans="1:5" x14ac:dyDescent="0.2">
      <c r="A2777">
        <v>4.4001333333333302E-2</v>
      </c>
      <c r="B2777">
        <v>0.37044907913966801</v>
      </c>
      <c r="C2777">
        <v>0.32120196130394901</v>
      </c>
      <c r="D2777">
        <v>0.52735168982210001</v>
      </c>
      <c r="E2777">
        <v>0.486003781679401</v>
      </c>
    </row>
    <row r="2778" spans="1:5" x14ac:dyDescent="0.2">
      <c r="A2778">
        <v>4.4027999999999998E-2</v>
      </c>
      <c r="B2778">
        <v>0.37051942693032103</v>
      </c>
      <c r="C2778">
        <v>0.321271848726916</v>
      </c>
      <c r="D2778">
        <v>0.52745478196164797</v>
      </c>
      <c r="E2778">
        <v>0.48607939981931297</v>
      </c>
    </row>
    <row r="2779" spans="1:5" x14ac:dyDescent="0.2">
      <c r="A2779">
        <v>4.40546666666667E-2</v>
      </c>
      <c r="B2779">
        <v>0.370589784048239</v>
      </c>
      <c r="C2779">
        <v>0.32134173413116301</v>
      </c>
      <c r="D2779">
        <v>0.52755781161135595</v>
      </c>
      <c r="E2779">
        <v>0.486154988530478</v>
      </c>
    </row>
    <row r="2780" spans="1:5" x14ac:dyDescent="0.2">
      <c r="A2780">
        <v>4.4081333333333299E-2</v>
      </c>
      <c r="B2780">
        <v>0.37066015021332799</v>
      </c>
      <c r="C2780">
        <v>0.32141161756855102</v>
      </c>
      <c r="D2780">
        <v>0.52766077868250005</v>
      </c>
      <c r="E2780">
        <v>0.48623054780738301</v>
      </c>
    </row>
    <row r="2781" spans="1:5" x14ac:dyDescent="0.2">
      <c r="A2781">
        <v>4.4108000000000001E-2</v>
      </c>
      <c r="B2781">
        <v>0.37073052514549598</v>
      </c>
      <c r="C2781">
        <v>0.32148149909094198</v>
      </c>
      <c r="D2781">
        <v>0.52776368308635502</v>
      </c>
      <c r="E2781">
        <v>0.486306077644515</v>
      </c>
    </row>
    <row r="2782" spans="1:5" x14ac:dyDescent="0.2">
      <c r="A2782">
        <v>4.4134666666666697E-2</v>
      </c>
      <c r="B2782">
        <v>0.37080090856464898</v>
      </c>
      <c r="C2782">
        <v>0.32155137875020101</v>
      </c>
      <c r="D2782">
        <v>0.52786652473419804</v>
      </c>
      <c r="E2782">
        <v>0.48638157803636101</v>
      </c>
    </row>
    <row r="2783" spans="1:5" x14ac:dyDescent="0.2">
      <c r="A2783">
        <v>4.4161333333333302E-2</v>
      </c>
      <c r="B2783">
        <v>0.37087130019069398</v>
      </c>
      <c r="C2783">
        <v>0.32162125659818802</v>
      </c>
      <c r="D2783">
        <v>0.52796930353730398</v>
      </c>
      <c r="E2783">
        <v>0.48645704897740899</v>
      </c>
    </row>
    <row r="2784" spans="1:5" x14ac:dyDescent="0.2">
      <c r="A2784">
        <v>4.4187999999999998E-2</v>
      </c>
      <c r="B2784">
        <v>0.37094169974353902</v>
      </c>
      <c r="C2784">
        <v>0.32169113268676702</v>
      </c>
      <c r="D2784">
        <v>0.52807201940694803</v>
      </c>
      <c r="E2784">
        <v>0.48653249046214497</v>
      </c>
    </row>
    <row r="2785" spans="1:5" x14ac:dyDescent="0.2">
      <c r="A2785">
        <v>4.4214666666666701E-2</v>
      </c>
      <c r="B2785">
        <v>0.371012106943089</v>
      </c>
      <c r="C2785">
        <v>0.32176100706779898</v>
      </c>
      <c r="D2785">
        <v>0.52817467225440695</v>
      </c>
      <c r="E2785">
        <v>0.48660790248505797</v>
      </c>
    </row>
    <row r="2786" spans="1:5" x14ac:dyDescent="0.2">
      <c r="A2786">
        <v>4.4241333333333299E-2</v>
      </c>
      <c r="B2786">
        <v>0.37108252150925197</v>
      </c>
      <c r="C2786">
        <v>0.32183087979314801</v>
      </c>
      <c r="D2786">
        <v>0.52827726199095604</v>
      </c>
      <c r="E2786">
        <v>0.48668328504063502</v>
      </c>
    </row>
    <row r="2787" spans="1:5" x14ac:dyDescent="0.2">
      <c r="A2787">
        <v>4.4268000000000002E-2</v>
      </c>
      <c r="B2787">
        <v>0.37115294316193598</v>
      </c>
      <c r="C2787">
        <v>0.32190075091467502</v>
      </c>
      <c r="D2787">
        <v>0.52837978852787004</v>
      </c>
      <c r="E2787">
        <v>0.48675863812336201</v>
      </c>
    </row>
    <row r="2788" spans="1:5" x14ac:dyDescent="0.2">
      <c r="A2788">
        <v>4.4294666666666697E-2</v>
      </c>
      <c r="B2788">
        <v>0.37122337162104602</v>
      </c>
      <c r="C2788">
        <v>0.32197062048424402</v>
      </c>
      <c r="D2788">
        <v>0.52848225177642605</v>
      </c>
      <c r="E2788">
        <v>0.48683396172772703</v>
      </c>
    </row>
    <row r="2789" spans="1:5" x14ac:dyDescent="0.2">
      <c r="A2789">
        <v>4.4321333333333303E-2</v>
      </c>
      <c r="B2789">
        <v>0.37129380660648997</v>
      </c>
      <c r="C2789">
        <v>0.32204048855371697</v>
      </c>
      <c r="D2789">
        <v>0.52858465164789903</v>
      </c>
      <c r="E2789">
        <v>0.48690925584821698</v>
      </c>
    </row>
    <row r="2790" spans="1:5" x14ac:dyDescent="0.2">
      <c r="A2790">
        <v>4.4347999999999999E-2</v>
      </c>
      <c r="B2790">
        <v>0.37136424783817501</v>
      </c>
      <c r="C2790">
        <v>0.32211035517495501</v>
      </c>
      <c r="D2790">
        <v>0.52868698805356495</v>
      </c>
      <c r="E2790">
        <v>0.48698452047931901</v>
      </c>
    </row>
    <row r="2791" spans="1:5" x14ac:dyDescent="0.2">
      <c r="A2791">
        <v>4.4374666666666701E-2</v>
      </c>
      <c r="B2791">
        <v>0.37143469503600701</v>
      </c>
      <c r="C2791">
        <v>0.32218022039982303</v>
      </c>
      <c r="D2791">
        <v>0.52878926090469902</v>
      </c>
      <c r="E2791">
        <v>0.48705975561552101</v>
      </c>
    </row>
    <row r="2792" spans="1:5" x14ac:dyDescent="0.2">
      <c r="A2792">
        <v>4.44013333333333E-2</v>
      </c>
      <c r="B2792">
        <v>0.37150514791989397</v>
      </c>
      <c r="C2792">
        <v>0.32225008428018098</v>
      </c>
      <c r="D2792">
        <v>0.52889147011257698</v>
      </c>
      <c r="E2792">
        <v>0.48713496125131001</v>
      </c>
    </row>
    <row r="2793" spans="1:5" x14ac:dyDescent="0.2">
      <c r="A2793">
        <v>4.4428000000000002E-2</v>
      </c>
      <c r="B2793">
        <v>0.371575606209743</v>
      </c>
      <c r="C2793">
        <v>0.322319946867893</v>
      </c>
      <c r="D2793">
        <v>0.52899361558847502</v>
      </c>
      <c r="E2793">
        <v>0.48721013738117402</v>
      </c>
    </row>
    <row r="2794" spans="1:5" x14ac:dyDescent="0.2">
      <c r="A2794">
        <v>4.4454666666666698E-2</v>
      </c>
      <c r="B2794">
        <v>0.37164606962545899</v>
      </c>
      <c r="C2794">
        <v>0.32238980821482099</v>
      </c>
      <c r="D2794">
        <v>0.52909569724366801</v>
      </c>
      <c r="E2794">
        <v>0.48728528399959797</v>
      </c>
    </row>
    <row r="2795" spans="1:5" x14ac:dyDescent="0.2">
      <c r="A2795">
        <v>4.4481333333333303E-2</v>
      </c>
      <c r="B2795">
        <v>0.37171653788695203</v>
      </c>
      <c r="C2795">
        <v>0.32245966837282702</v>
      </c>
      <c r="D2795">
        <v>0.52919771498943202</v>
      </c>
      <c r="E2795">
        <v>0.48736040110107198</v>
      </c>
    </row>
    <row r="2796" spans="1:5" x14ac:dyDescent="0.2">
      <c r="A2796">
        <v>4.4507999999999999E-2</v>
      </c>
      <c r="B2796">
        <v>0.37178701071412601</v>
      </c>
      <c r="C2796">
        <v>0.322529527393775</v>
      </c>
      <c r="D2796">
        <v>0.52929966873704404</v>
      </c>
      <c r="E2796">
        <v>0.48743548868008102</v>
      </c>
    </row>
    <row r="2797" spans="1:5" x14ac:dyDescent="0.2">
      <c r="A2797">
        <v>4.4534666666666702E-2</v>
      </c>
      <c r="B2797">
        <v>0.37185748782688999</v>
      </c>
      <c r="C2797">
        <v>0.32259938532952498</v>
      </c>
      <c r="D2797">
        <v>0.52940155839777703</v>
      </c>
      <c r="E2797">
        <v>0.48751054673111399</v>
      </c>
    </row>
    <row r="2798" spans="1:5" x14ac:dyDescent="0.2">
      <c r="A2798">
        <v>4.45613333333333E-2</v>
      </c>
      <c r="B2798">
        <v>0.37192796894514901</v>
      </c>
      <c r="C2798">
        <v>0.32266924223194199</v>
      </c>
      <c r="D2798">
        <v>0.52950338388290896</v>
      </c>
      <c r="E2798">
        <v>0.48758557524865698</v>
      </c>
    </row>
    <row r="2799" spans="1:5" x14ac:dyDescent="0.2">
      <c r="A2799">
        <v>4.4588000000000003E-2</v>
      </c>
      <c r="B2799">
        <v>0.37199845378881202</v>
      </c>
      <c r="C2799">
        <v>0.32273909815288698</v>
      </c>
      <c r="D2799">
        <v>0.52960514510371504</v>
      </c>
      <c r="E2799">
        <v>0.487660574227197</v>
      </c>
    </row>
    <row r="2800" spans="1:5" x14ac:dyDescent="0.2">
      <c r="A2800">
        <v>4.4614666666666698E-2</v>
      </c>
      <c r="B2800">
        <v>0.37206894207778501</v>
      </c>
      <c r="C2800">
        <v>0.32280895314422198</v>
      </c>
      <c r="D2800">
        <v>0.52970684197147</v>
      </c>
      <c r="E2800">
        <v>0.48773554366122301</v>
      </c>
    </row>
    <row r="2801" spans="1:5" x14ac:dyDescent="0.2">
      <c r="A2801">
        <v>4.4641333333333297E-2</v>
      </c>
      <c r="B2801">
        <v>0.37213943353197498</v>
      </c>
      <c r="C2801">
        <v>0.32287880725781098</v>
      </c>
      <c r="D2801">
        <v>0.52980847439745105</v>
      </c>
      <c r="E2801">
        <v>0.487810483545221</v>
      </c>
    </row>
    <row r="2802" spans="1:5" x14ac:dyDescent="0.2">
      <c r="A2802">
        <v>4.4667999999999999E-2</v>
      </c>
      <c r="B2802">
        <v>0.37220992787128798</v>
      </c>
      <c r="C2802">
        <v>0.32294866054551602</v>
      </c>
      <c r="D2802">
        <v>0.52991004229293204</v>
      </c>
      <c r="E2802">
        <v>0.48788539387367802</v>
      </c>
    </row>
    <row r="2803" spans="1:5" x14ac:dyDescent="0.2">
      <c r="A2803">
        <v>4.4694666666666702E-2</v>
      </c>
      <c r="B2803">
        <v>0.37228042481563201</v>
      </c>
      <c r="C2803">
        <v>0.32301851305919799</v>
      </c>
      <c r="D2803">
        <v>0.53001154556918995</v>
      </c>
      <c r="E2803">
        <v>0.48796027464108199</v>
      </c>
    </row>
    <row r="2804" spans="1:5" x14ac:dyDescent="0.2">
      <c r="A2804">
        <v>4.47213333333333E-2</v>
      </c>
      <c r="B2804">
        <v>0.37235092408491399</v>
      </c>
      <c r="C2804">
        <v>0.32308836485072201</v>
      </c>
      <c r="D2804">
        <v>0.53011298413749997</v>
      </c>
      <c r="E2804">
        <v>0.48803512584191999</v>
      </c>
    </row>
    <row r="2805" spans="1:5" x14ac:dyDescent="0.2">
      <c r="A2805">
        <v>4.4748000000000003E-2</v>
      </c>
      <c r="B2805">
        <v>0.37242142539904</v>
      </c>
      <c r="C2805">
        <v>0.32315821597194799</v>
      </c>
      <c r="D2805">
        <v>0.53021435790913796</v>
      </c>
      <c r="E2805">
        <v>0.48810994747067898</v>
      </c>
    </row>
    <row r="2806" spans="1:5" x14ac:dyDescent="0.2">
      <c r="A2806">
        <v>4.4774666666666699E-2</v>
      </c>
      <c r="B2806">
        <v>0.37249192847791801</v>
      </c>
      <c r="C2806">
        <v>0.32322806647474001</v>
      </c>
      <c r="D2806">
        <v>0.53031566679538</v>
      </c>
      <c r="E2806">
        <v>0.48818473952184699</v>
      </c>
    </row>
    <row r="2807" spans="1:5" x14ac:dyDescent="0.2">
      <c r="A2807">
        <v>4.4801333333333297E-2</v>
      </c>
      <c r="B2807">
        <v>0.37256243304145498</v>
      </c>
      <c r="C2807">
        <v>0.32329791641096001</v>
      </c>
      <c r="D2807">
        <v>0.53041691070750097</v>
      </c>
      <c r="E2807">
        <v>0.48825950198991003</v>
      </c>
    </row>
    <row r="2808" spans="1:5" x14ac:dyDescent="0.2">
      <c r="A2808">
        <v>4.4828E-2</v>
      </c>
      <c r="B2808">
        <v>0.372632938809556</v>
      </c>
      <c r="C2808">
        <v>0.32336776583247001</v>
      </c>
      <c r="D2808">
        <v>0.53051808955677704</v>
      </c>
      <c r="E2808">
        <v>0.48833423486935701</v>
      </c>
    </row>
    <row r="2809" spans="1:5" x14ac:dyDescent="0.2">
      <c r="A2809">
        <v>4.4854666666666702E-2</v>
      </c>
      <c r="B2809">
        <v>0.37270344550213003</v>
      </c>
      <c r="C2809">
        <v>0.32343761479113298</v>
      </c>
      <c r="D2809">
        <v>0.53061920325448297</v>
      </c>
      <c r="E2809">
        <v>0.48840893815467301</v>
      </c>
    </row>
    <row r="2810" spans="1:5" x14ac:dyDescent="0.2">
      <c r="A2810">
        <v>4.4881333333333301E-2</v>
      </c>
      <c r="B2810">
        <v>0.37277395283908399</v>
      </c>
      <c r="C2810">
        <v>0.32350746333881197</v>
      </c>
      <c r="D2810">
        <v>0.53072025171189596</v>
      </c>
      <c r="E2810">
        <v>0.488483611840347</v>
      </c>
    </row>
    <row r="2811" spans="1:5" x14ac:dyDescent="0.2">
      <c r="A2811">
        <v>4.4908000000000003E-2</v>
      </c>
      <c r="B2811">
        <v>0.372844460540323</v>
      </c>
      <c r="C2811">
        <v>0.32357731152736802</v>
      </c>
      <c r="D2811">
        <v>0.53082123484029098</v>
      </c>
      <c r="E2811">
        <v>0.48855825592086599</v>
      </c>
    </row>
    <row r="2812" spans="1:5" x14ac:dyDescent="0.2">
      <c r="A2812">
        <v>4.4934666666666699E-2</v>
      </c>
      <c r="B2812">
        <v>0.37291496832575599</v>
      </c>
      <c r="C2812">
        <v>0.32364715940866501</v>
      </c>
      <c r="D2812">
        <v>0.53092215255094399</v>
      </c>
      <c r="E2812">
        <v>0.48863287039071701</v>
      </c>
    </row>
    <row r="2813" spans="1:5" x14ac:dyDescent="0.2">
      <c r="A2813">
        <v>4.4961333333333298E-2</v>
      </c>
      <c r="B2813">
        <v>0.37298547591528802</v>
      </c>
      <c r="C2813">
        <v>0.32371700703456502</v>
      </c>
      <c r="D2813">
        <v>0.53102300475512998</v>
      </c>
      <c r="E2813">
        <v>0.48870745524438702</v>
      </c>
    </row>
    <row r="2814" spans="1:5" x14ac:dyDescent="0.2">
      <c r="A2814">
        <v>4.4988E-2</v>
      </c>
      <c r="B2814">
        <v>0.37305598302882698</v>
      </c>
      <c r="C2814">
        <v>0.32378685445693001</v>
      </c>
      <c r="D2814">
        <v>0.53112379136412502</v>
      </c>
      <c r="E2814">
        <v>0.48878201047636299</v>
      </c>
    </row>
    <row r="2815" spans="1:5" x14ac:dyDescent="0.2">
      <c r="A2815">
        <v>4.5014666666666703E-2</v>
      </c>
      <c r="B2815">
        <v>0.37312648939019699</v>
      </c>
      <c r="C2815">
        <v>0.32385670172762199</v>
      </c>
      <c r="D2815">
        <v>0.53122451228920498</v>
      </c>
      <c r="E2815">
        <v>0.488856536081134</v>
      </c>
    </row>
    <row r="2816" spans="1:5" x14ac:dyDescent="0.2">
      <c r="A2816">
        <v>4.5041333333333301E-2</v>
      </c>
      <c r="B2816">
        <v>0.373196994795223</v>
      </c>
      <c r="C2816">
        <v>0.32392654889850497</v>
      </c>
      <c r="D2816">
        <v>0.53132516744164504</v>
      </c>
      <c r="E2816">
        <v>0.488931032053185</v>
      </c>
    </row>
    <row r="2817" spans="1:5" x14ac:dyDescent="0.2">
      <c r="A2817">
        <v>4.5067999999999997E-2</v>
      </c>
      <c r="B2817">
        <v>0.37326749910292101</v>
      </c>
      <c r="C2817">
        <v>0.32399639602143998</v>
      </c>
      <c r="D2817">
        <v>0.53142575673272097</v>
      </c>
      <c r="E2817">
        <v>0.48900549838700402</v>
      </c>
    </row>
    <row r="2818" spans="1:5" x14ac:dyDescent="0.2">
      <c r="A2818">
        <v>4.50946666666667E-2</v>
      </c>
      <c r="B2818">
        <v>0.37333800217445201</v>
      </c>
      <c r="C2818">
        <v>0.32406624314829002</v>
      </c>
      <c r="D2818">
        <v>0.53152628007370895</v>
      </c>
      <c r="E2818">
        <v>0.48907993507707898</v>
      </c>
    </row>
    <row r="2819" spans="1:5" x14ac:dyDescent="0.2">
      <c r="A2819">
        <v>4.5121333333333298E-2</v>
      </c>
      <c r="B2819">
        <v>0.37340850387097702</v>
      </c>
      <c r="C2819">
        <v>0.324136090330918</v>
      </c>
      <c r="D2819">
        <v>0.53162673737588395</v>
      </c>
      <c r="E2819">
        <v>0.48915434211789699</v>
      </c>
    </row>
    <row r="2820" spans="1:5" x14ac:dyDescent="0.2">
      <c r="A2820">
        <v>4.5148000000000001E-2</v>
      </c>
      <c r="B2820">
        <v>0.37347900405365703</v>
      </c>
      <c r="C2820">
        <v>0.32420593762118599</v>
      </c>
      <c r="D2820">
        <v>0.53172712855052295</v>
      </c>
      <c r="E2820">
        <v>0.48922871950394498</v>
      </c>
    </row>
    <row r="2821" spans="1:5" x14ac:dyDescent="0.2">
      <c r="A2821">
        <v>4.5174666666666703E-2</v>
      </c>
      <c r="B2821">
        <v>0.37354950258365399</v>
      </c>
      <c r="C2821">
        <v>0.324275785070956</v>
      </c>
      <c r="D2821">
        <v>0.53182745350890004</v>
      </c>
      <c r="E2821">
        <v>0.48930306722971001</v>
      </c>
    </row>
    <row r="2822" spans="1:5" x14ac:dyDescent="0.2">
      <c r="A2822">
        <v>4.5201333333333302E-2</v>
      </c>
      <c r="B2822">
        <v>0.37361999932212903</v>
      </c>
      <c r="C2822">
        <v>0.32434563273209099</v>
      </c>
      <c r="D2822">
        <v>0.53192771216229195</v>
      </c>
      <c r="E2822">
        <v>0.489377385289679</v>
      </c>
    </row>
    <row r="2823" spans="1:5" x14ac:dyDescent="0.2">
      <c r="A2823">
        <v>4.5227999999999997E-2</v>
      </c>
      <c r="B2823">
        <v>0.37369049413024202</v>
      </c>
      <c r="C2823">
        <v>0.32441548065645398</v>
      </c>
      <c r="D2823">
        <v>0.53202790442197401</v>
      </c>
      <c r="E2823">
        <v>0.48945167367834103</v>
      </c>
    </row>
    <row r="2824" spans="1:5" x14ac:dyDescent="0.2">
      <c r="A2824">
        <v>4.52546666666667E-2</v>
      </c>
      <c r="B2824">
        <v>0.37376098686915599</v>
      </c>
      <c r="C2824">
        <v>0.32448532889590598</v>
      </c>
      <c r="D2824">
        <v>0.53212803019922195</v>
      </c>
      <c r="E2824">
        <v>0.489525932390181</v>
      </c>
    </row>
    <row r="2825" spans="1:5" x14ac:dyDescent="0.2">
      <c r="A2825">
        <v>4.5281333333333298E-2</v>
      </c>
      <c r="B2825">
        <v>0.37383147740003098</v>
      </c>
      <c r="C2825">
        <v>0.324555177502311</v>
      </c>
      <c r="D2825">
        <v>0.53222808940531197</v>
      </c>
      <c r="E2825">
        <v>0.48960016141968699</v>
      </c>
    </row>
    <row r="2826" spans="1:5" x14ac:dyDescent="0.2">
      <c r="A2826">
        <v>4.5308000000000001E-2</v>
      </c>
      <c r="B2826">
        <v>0.37390196558402899</v>
      </c>
      <c r="C2826">
        <v>0.32462502652753</v>
      </c>
      <c r="D2826">
        <v>0.53232808195151804</v>
      </c>
      <c r="E2826">
        <v>0.48967436076134802</v>
      </c>
    </row>
    <row r="2827" spans="1:5" x14ac:dyDescent="0.2">
      <c r="A2827">
        <v>4.5334666666666697E-2</v>
      </c>
      <c r="B2827">
        <v>0.37397245128230999</v>
      </c>
      <c r="C2827">
        <v>0.324694876023427</v>
      </c>
      <c r="D2827">
        <v>0.53242800774911803</v>
      </c>
      <c r="E2827">
        <v>0.489748530409648</v>
      </c>
    </row>
    <row r="2828" spans="1:5" x14ac:dyDescent="0.2">
      <c r="A2828">
        <v>4.5361333333333302E-2</v>
      </c>
      <c r="B2828">
        <v>0.37404293435603603</v>
      </c>
      <c r="C2828">
        <v>0.32476472604186302</v>
      </c>
      <c r="D2828">
        <v>0.53252786670938601</v>
      </c>
      <c r="E2828">
        <v>0.48982267035907701</v>
      </c>
    </row>
    <row r="2829" spans="1:5" x14ac:dyDescent="0.2">
      <c r="A2829">
        <v>4.5387999999999998E-2</v>
      </c>
      <c r="B2829">
        <v>0.37411341466636799</v>
      </c>
      <c r="C2829">
        <v>0.324834576634702</v>
      </c>
      <c r="D2829">
        <v>0.53262765874359796</v>
      </c>
      <c r="E2829">
        <v>0.48989678060412101</v>
      </c>
    </row>
    <row r="2830" spans="1:5" x14ac:dyDescent="0.2">
      <c r="A2830">
        <v>4.54146666666667E-2</v>
      </c>
      <c r="B2830">
        <v>0.37418389207446801</v>
      </c>
      <c r="C2830">
        <v>0.32490442785380502</v>
      </c>
      <c r="D2830">
        <v>0.53272738376302997</v>
      </c>
      <c r="E2830">
        <v>0.48997086113926802</v>
      </c>
    </row>
    <row r="2831" spans="1:5" x14ac:dyDescent="0.2">
      <c r="A2831">
        <v>4.5441333333333299E-2</v>
      </c>
      <c r="B2831">
        <v>0.37425436644149601</v>
      </c>
      <c r="C2831">
        <v>0.32497427975103499</v>
      </c>
      <c r="D2831">
        <v>0.532827041678958</v>
      </c>
      <c r="E2831">
        <v>0.49004491195900501</v>
      </c>
    </row>
    <row r="2832" spans="1:5" x14ac:dyDescent="0.2">
      <c r="A2832">
        <v>4.5468000000000001E-2</v>
      </c>
      <c r="B2832">
        <v>0.37432483762861302</v>
      </c>
      <c r="C2832">
        <v>0.32504413237825502</v>
      </c>
      <c r="D2832">
        <v>0.53292663240265703</v>
      </c>
      <c r="E2832">
        <v>0.49011893305781801</v>
      </c>
    </row>
    <row r="2833" spans="1:5" x14ac:dyDescent="0.2">
      <c r="A2833">
        <v>4.5494666666666697E-2</v>
      </c>
      <c r="B2833">
        <v>0.37439530549698202</v>
      </c>
      <c r="C2833">
        <v>0.32511398578732598</v>
      </c>
      <c r="D2833">
        <v>0.53302615584540303</v>
      </c>
      <c r="E2833">
        <v>0.49019292443019602</v>
      </c>
    </row>
    <row r="2834" spans="1:5" x14ac:dyDescent="0.2">
      <c r="A2834">
        <v>4.5521333333333303E-2</v>
      </c>
      <c r="B2834">
        <v>0.37446576990776198</v>
      </c>
      <c r="C2834">
        <v>0.32518384003011203</v>
      </c>
      <c r="D2834">
        <v>0.53312561191847196</v>
      </c>
      <c r="E2834">
        <v>0.49026688607062502</v>
      </c>
    </row>
    <row r="2835" spans="1:5" x14ac:dyDescent="0.2">
      <c r="A2835">
        <v>4.5547999999999998E-2</v>
      </c>
      <c r="B2835">
        <v>0.374536230722116</v>
      </c>
      <c r="C2835">
        <v>0.32525369515847502</v>
      </c>
      <c r="D2835">
        <v>0.53322500053313904</v>
      </c>
      <c r="E2835">
        <v>0.49034081797359302</v>
      </c>
    </row>
    <row r="2836" spans="1:5" x14ac:dyDescent="0.2">
      <c r="A2836">
        <v>4.5574666666666701E-2</v>
      </c>
      <c r="B2836">
        <v>0.37460668780120399</v>
      </c>
      <c r="C2836">
        <v>0.32532355122427797</v>
      </c>
      <c r="D2836">
        <v>0.53332432160068</v>
      </c>
      <c r="E2836">
        <v>0.490414720133588</v>
      </c>
    </row>
    <row r="2837" spans="1:5" x14ac:dyDescent="0.2">
      <c r="A2837">
        <v>4.5601333333333299E-2</v>
      </c>
      <c r="B2837">
        <v>0.37467714100618799</v>
      </c>
      <c r="C2837">
        <v>0.32539340827938201</v>
      </c>
      <c r="D2837">
        <v>0.53342357503237103</v>
      </c>
      <c r="E2837">
        <v>0.49048859254509503</v>
      </c>
    </row>
    <row r="2838" spans="1:5" x14ac:dyDescent="0.2">
      <c r="A2838">
        <v>4.5628000000000002E-2</v>
      </c>
      <c r="B2838">
        <v>0.37474759019822801</v>
      </c>
      <c r="C2838">
        <v>0.32546326637564998</v>
      </c>
      <c r="D2838">
        <v>0.53352276073948701</v>
      </c>
      <c r="E2838">
        <v>0.49056243520260301</v>
      </c>
    </row>
    <row r="2839" spans="1:5" x14ac:dyDescent="0.2">
      <c r="A2839">
        <v>4.5654666666666698E-2</v>
      </c>
      <c r="B2839">
        <v>0.374818035238487</v>
      </c>
      <c r="C2839">
        <v>0.32553312556494601</v>
      </c>
      <c r="D2839">
        <v>0.53362187863330401</v>
      </c>
      <c r="E2839">
        <v>0.49063624810059903</v>
      </c>
    </row>
    <row r="2840" spans="1:5" x14ac:dyDescent="0.2">
      <c r="A2840">
        <v>4.5681333333333303E-2</v>
      </c>
      <c r="B2840">
        <v>0.37488847598812403</v>
      </c>
      <c r="C2840">
        <v>0.32560298589913</v>
      </c>
      <c r="D2840">
        <v>0.53372092862509801</v>
      </c>
      <c r="E2840">
        <v>0.49071003123356999</v>
      </c>
    </row>
    <row r="2841" spans="1:5" x14ac:dyDescent="0.2">
      <c r="A2841">
        <v>4.5707999999999999E-2</v>
      </c>
      <c r="B2841">
        <v>0.37495891230830197</v>
      </c>
      <c r="C2841">
        <v>0.32567284743006603</v>
      </c>
      <c r="D2841">
        <v>0.53381991062614498</v>
      </c>
      <c r="E2841">
        <v>0.49078378459600303</v>
      </c>
    </row>
    <row r="2842" spans="1:5" x14ac:dyDescent="0.2">
      <c r="A2842">
        <v>4.5734666666666701E-2</v>
      </c>
      <c r="B2842">
        <v>0.37502934406018201</v>
      </c>
      <c r="C2842">
        <v>0.32574271020961598</v>
      </c>
      <c r="D2842">
        <v>0.533918824547719</v>
      </c>
      <c r="E2842">
        <v>0.49085750818238599</v>
      </c>
    </row>
    <row r="2843" spans="1:5" x14ac:dyDescent="0.2">
      <c r="A2843">
        <v>4.57613333333333E-2</v>
      </c>
      <c r="B2843">
        <v>0.37509977110492398</v>
      </c>
      <c r="C2843">
        <v>0.325812574289643</v>
      </c>
      <c r="D2843">
        <v>0.53401767030109704</v>
      </c>
      <c r="E2843">
        <v>0.49093120198720602</v>
      </c>
    </row>
    <row r="2844" spans="1:5" x14ac:dyDescent="0.2">
      <c r="A2844">
        <v>4.5788000000000002E-2</v>
      </c>
      <c r="B2844">
        <v>0.37517019330369</v>
      </c>
      <c r="C2844">
        <v>0.32588243972200898</v>
      </c>
      <c r="D2844">
        <v>0.53411644779755496</v>
      </c>
      <c r="E2844">
        <v>0.49100486600494903</v>
      </c>
    </row>
    <row r="2845" spans="1:5" x14ac:dyDescent="0.2">
      <c r="A2845">
        <v>4.5814666666666698E-2</v>
      </c>
      <c r="B2845">
        <v>0.37524061051764102</v>
      </c>
      <c r="C2845">
        <v>0.32595230655857699</v>
      </c>
      <c r="D2845">
        <v>0.53421515694836796</v>
      </c>
      <c r="E2845">
        <v>0.49107850023010402</v>
      </c>
    </row>
    <row r="2846" spans="1:5" x14ac:dyDescent="0.2">
      <c r="A2846">
        <v>4.5841333333333303E-2</v>
      </c>
      <c r="B2846">
        <v>0.37531102260793903</v>
      </c>
      <c r="C2846">
        <v>0.32602217485120799</v>
      </c>
      <c r="D2846">
        <v>0.53431379766481102</v>
      </c>
      <c r="E2846">
        <v>0.49115210465715797</v>
      </c>
    </row>
    <row r="2847" spans="1:5" x14ac:dyDescent="0.2">
      <c r="A2847">
        <v>4.5867999999999999E-2</v>
      </c>
      <c r="B2847">
        <v>0.37538142943574399</v>
      </c>
      <c r="C2847">
        <v>0.326092044651766</v>
      </c>
      <c r="D2847">
        <v>0.53441236985816098</v>
      </c>
      <c r="E2847">
        <v>0.49122567928059702</v>
      </c>
    </row>
    <row r="2848" spans="1:5" x14ac:dyDescent="0.2">
      <c r="A2848">
        <v>4.5894666666666702E-2</v>
      </c>
      <c r="B2848">
        <v>0.37545183086221801</v>
      </c>
      <c r="C2848">
        <v>0.32616191601211297</v>
      </c>
      <c r="D2848">
        <v>0.53451087343969295</v>
      </c>
      <c r="E2848">
        <v>0.49129922409491</v>
      </c>
    </row>
    <row r="2849" spans="1:5" x14ac:dyDescent="0.2">
      <c r="A2849">
        <v>4.59213333333333E-2</v>
      </c>
      <c r="B2849">
        <v>0.37552222674852098</v>
      </c>
      <c r="C2849">
        <v>0.32623178898411098</v>
      </c>
      <c r="D2849">
        <v>0.53460930832068299</v>
      </c>
      <c r="E2849">
        <v>0.49137273909458301</v>
      </c>
    </row>
    <row r="2850" spans="1:5" x14ac:dyDescent="0.2">
      <c r="A2850">
        <v>4.5948000000000003E-2</v>
      </c>
      <c r="B2850">
        <v>0.37559261695581603</v>
      </c>
      <c r="C2850">
        <v>0.32630166361962298</v>
      </c>
      <c r="D2850">
        <v>0.53470767441240696</v>
      </c>
      <c r="E2850">
        <v>0.49144622427410301</v>
      </c>
    </row>
    <row r="2851" spans="1:5" x14ac:dyDescent="0.2">
      <c r="A2851">
        <v>4.5974666666666698E-2</v>
      </c>
      <c r="B2851">
        <v>0.37566300134526298</v>
      </c>
      <c r="C2851">
        <v>0.32637153997051099</v>
      </c>
      <c r="D2851">
        <v>0.53480597162613996</v>
      </c>
      <c r="E2851">
        <v>0.49151967962795901</v>
      </c>
    </row>
    <row r="2852" spans="1:5" x14ac:dyDescent="0.2">
      <c r="A2852">
        <v>4.6001333333333297E-2</v>
      </c>
      <c r="B2852">
        <v>0.37573337977803301</v>
      </c>
      <c r="C2852">
        <v>0.32644141808863802</v>
      </c>
      <c r="D2852">
        <v>0.53490419987315796</v>
      </c>
      <c r="E2852">
        <v>0.49159310515063598</v>
      </c>
    </row>
    <row r="2853" spans="1:5" x14ac:dyDescent="0.2">
      <c r="A2853">
        <v>4.6027999999999999E-2</v>
      </c>
      <c r="B2853">
        <v>0.37580375220582901</v>
      </c>
      <c r="C2853">
        <v>0.32651129802586598</v>
      </c>
      <c r="D2853">
        <v>0.53500235906473603</v>
      </c>
      <c r="E2853">
        <v>0.491666500836623</v>
      </c>
    </row>
    <row r="2854" spans="1:5" x14ac:dyDescent="0.2">
      <c r="A2854">
        <v>4.6054666666666702E-2</v>
      </c>
      <c r="B2854">
        <v>0.37587411889216199</v>
      </c>
      <c r="C2854">
        <v>0.32658117983405799</v>
      </c>
      <c r="D2854">
        <v>0.53510044911215005</v>
      </c>
      <c r="E2854">
        <v>0.49173986668040598</v>
      </c>
    </row>
    <row r="2855" spans="1:5" x14ac:dyDescent="0.2">
      <c r="A2855">
        <v>4.6081333333333301E-2</v>
      </c>
      <c r="B2855">
        <v>0.375944480167623</v>
      </c>
      <c r="C2855">
        <v>0.32665106356507601</v>
      </c>
      <c r="D2855">
        <v>0.53519846992667697</v>
      </c>
      <c r="E2855">
        <v>0.49181320267647299</v>
      </c>
    </row>
    <row r="2856" spans="1:5" x14ac:dyDescent="0.2">
      <c r="A2856">
        <v>4.6108000000000003E-2</v>
      </c>
      <c r="B2856">
        <v>0.37601483636280397</v>
      </c>
      <c r="C2856">
        <v>0.32672094927078199</v>
      </c>
      <c r="D2856">
        <v>0.535296421419591</v>
      </c>
      <c r="E2856">
        <v>0.49188650881931101</v>
      </c>
    </row>
    <row r="2857" spans="1:5" x14ac:dyDescent="0.2">
      <c r="A2857">
        <v>4.6134666666666699E-2</v>
      </c>
      <c r="B2857">
        <v>0.37608518780829497</v>
      </c>
      <c r="C2857">
        <v>0.32679083700304001</v>
      </c>
      <c r="D2857">
        <v>0.53539430350216799</v>
      </c>
      <c r="E2857">
        <v>0.49195978510340799</v>
      </c>
    </row>
    <row r="2858" spans="1:5" x14ac:dyDescent="0.2">
      <c r="A2858">
        <v>4.6161333333333297E-2</v>
      </c>
      <c r="B2858">
        <v>0.376155534834688</v>
      </c>
      <c r="C2858">
        <v>0.32686072681371098</v>
      </c>
      <c r="D2858">
        <v>0.53549211608568403</v>
      </c>
      <c r="E2858">
        <v>0.49203303152325001</v>
      </c>
    </row>
    <row r="2859" spans="1:5" x14ac:dyDescent="0.2">
      <c r="A2859">
        <v>4.6188E-2</v>
      </c>
      <c r="B2859">
        <v>0.37622587777257299</v>
      </c>
      <c r="C2859">
        <v>0.32693061875465801</v>
      </c>
      <c r="D2859">
        <v>0.53558985908141499</v>
      </c>
      <c r="E2859">
        <v>0.49210624807332498</v>
      </c>
    </row>
    <row r="2860" spans="1:5" x14ac:dyDescent="0.2">
      <c r="A2860">
        <v>4.6214666666666702E-2</v>
      </c>
      <c r="B2860">
        <v>0.37629621695254201</v>
      </c>
      <c r="C2860">
        <v>0.32700051287774301</v>
      </c>
      <c r="D2860">
        <v>0.53568753240063605</v>
      </c>
      <c r="E2860">
        <v>0.49217943474812098</v>
      </c>
    </row>
    <row r="2861" spans="1:5" x14ac:dyDescent="0.2">
      <c r="A2861">
        <v>4.6241333333333301E-2</v>
      </c>
      <c r="B2861">
        <v>0.37636655270518599</v>
      </c>
      <c r="C2861">
        <v>0.32707040923483</v>
      </c>
      <c r="D2861">
        <v>0.53578513595462396</v>
      </c>
      <c r="E2861">
        <v>0.49225259154212297</v>
      </c>
    </row>
    <row r="2862" spans="1:5" x14ac:dyDescent="0.2">
      <c r="A2862">
        <v>4.6267999999999997E-2</v>
      </c>
      <c r="B2862">
        <v>0.37643688536109599</v>
      </c>
      <c r="C2862">
        <v>0.32714030787777998</v>
      </c>
      <c r="D2862">
        <v>0.53588266965465303</v>
      </c>
      <c r="E2862">
        <v>0.49232571844981998</v>
      </c>
    </row>
    <row r="2863" spans="1:5" x14ac:dyDescent="0.2">
      <c r="A2863">
        <v>4.6294666666666699E-2</v>
      </c>
      <c r="B2863">
        <v>0.376507215250862</v>
      </c>
      <c r="C2863">
        <v>0.32721020885845498</v>
      </c>
      <c r="D2863">
        <v>0.53598013341199902</v>
      </c>
      <c r="E2863">
        <v>0.49239881546570002</v>
      </c>
    </row>
    <row r="2864" spans="1:5" x14ac:dyDescent="0.2">
      <c r="A2864">
        <v>4.6321333333333298E-2</v>
      </c>
      <c r="B2864">
        <v>0.37657754270507698</v>
      </c>
      <c r="C2864">
        <v>0.327280112228719</v>
      </c>
      <c r="D2864">
        <v>0.53607752713793799</v>
      </c>
      <c r="E2864">
        <v>0.49247188258424801</v>
      </c>
    </row>
    <row r="2865" spans="1:5" x14ac:dyDescent="0.2">
      <c r="A2865">
        <v>4.6348E-2</v>
      </c>
      <c r="B2865">
        <v>0.37664786805432998</v>
      </c>
      <c r="C2865">
        <v>0.32735001804043401</v>
      </c>
      <c r="D2865">
        <v>0.53617485074374704</v>
      </c>
      <c r="E2865">
        <v>0.49254491979995202</v>
      </c>
    </row>
    <row r="2866" spans="1:5" x14ac:dyDescent="0.2">
      <c r="A2866">
        <v>4.6374666666666703E-2</v>
      </c>
      <c r="B2866">
        <v>0.37671819162921399</v>
      </c>
      <c r="C2866">
        <v>0.32741992634546102</v>
      </c>
      <c r="D2866">
        <v>0.53627210414069904</v>
      </c>
      <c r="E2866">
        <v>0.49261792710730101</v>
      </c>
    </row>
    <row r="2867" spans="1:5" x14ac:dyDescent="0.2">
      <c r="A2867">
        <v>4.6401333333333301E-2</v>
      </c>
      <c r="B2867">
        <v>0.37678851376031902</v>
      </c>
      <c r="C2867">
        <v>0.32748983719566499</v>
      </c>
      <c r="D2867">
        <v>0.53636928724007205</v>
      </c>
      <c r="E2867">
        <v>0.49269090450078001</v>
      </c>
    </row>
    <row r="2868" spans="1:5" x14ac:dyDescent="0.2">
      <c r="A2868">
        <v>4.6427999999999997E-2</v>
      </c>
      <c r="B2868">
        <v>0.37685883477823701</v>
      </c>
      <c r="C2868">
        <v>0.32755975064290599</v>
      </c>
      <c r="D2868">
        <v>0.53646639995314005</v>
      </c>
      <c r="E2868">
        <v>0.49276385197487699</v>
      </c>
    </row>
    <row r="2869" spans="1:5" x14ac:dyDescent="0.2">
      <c r="A2869">
        <v>4.64546666666667E-2</v>
      </c>
      <c r="B2869">
        <v>0.376929155013558</v>
      </c>
      <c r="C2869">
        <v>0.32762966673904798</v>
      </c>
      <c r="D2869">
        <v>0.53656344219118002</v>
      </c>
      <c r="E2869">
        <v>0.49283676952408001</v>
      </c>
    </row>
    <row r="2870" spans="1:5" x14ac:dyDescent="0.2">
      <c r="A2870">
        <v>4.6481333333333298E-2</v>
      </c>
      <c r="B2870">
        <v>0.37699947479687301</v>
      </c>
      <c r="C2870">
        <v>0.32769958553595402</v>
      </c>
      <c r="D2870">
        <v>0.53666041386546703</v>
      </c>
      <c r="E2870">
        <v>0.49290965714287499</v>
      </c>
    </row>
    <row r="2871" spans="1:5" x14ac:dyDescent="0.2">
      <c r="A2871">
        <v>4.6508000000000001E-2</v>
      </c>
      <c r="B2871">
        <v>0.37706979445877398</v>
      </c>
      <c r="C2871">
        <v>0.32776950708548402</v>
      </c>
      <c r="D2871">
        <v>0.53675731488727696</v>
      </c>
      <c r="E2871">
        <v>0.49298251482575001</v>
      </c>
    </row>
    <row r="2872" spans="1:5" x14ac:dyDescent="0.2">
      <c r="A2872">
        <v>4.6534666666666703E-2</v>
      </c>
      <c r="B2872">
        <v>0.37714011432985201</v>
      </c>
      <c r="C2872">
        <v>0.327839431439503</v>
      </c>
      <c r="D2872">
        <v>0.53685414516788499</v>
      </c>
      <c r="E2872">
        <v>0.49305534256719202</v>
      </c>
    </row>
    <row r="2873" spans="1:5" x14ac:dyDescent="0.2">
      <c r="A2873">
        <v>4.6561333333333302E-2</v>
      </c>
      <c r="B2873">
        <v>0.37721043474069699</v>
      </c>
      <c r="C2873">
        <v>0.32790935864987197</v>
      </c>
      <c r="D2873">
        <v>0.53695090461856698</v>
      </c>
      <c r="E2873">
        <v>0.493128140361689</v>
      </c>
    </row>
    <row r="2874" spans="1:5" x14ac:dyDescent="0.2">
      <c r="A2874">
        <v>4.6587999999999997E-2</v>
      </c>
      <c r="B2874">
        <v>0.37728075602190098</v>
      </c>
      <c r="C2874">
        <v>0.327979288768454</v>
      </c>
      <c r="D2874">
        <v>0.53704759315059902</v>
      </c>
      <c r="E2874">
        <v>0.49320090820372797</v>
      </c>
    </row>
    <row r="2875" spans="1:5" x14ac:dyDescent="0.2">
      <c r="A2875">
        <v>4.66146666666667E-2</v>
      </c>
      <c r="B2875">
        <v>0.37735107850405503</v>
      </c>
      <c r="C2875">
        <v>0.32804922184711099</v>
      </c>
      <c r="D2875">
        <v>0.53714421067525697</v>
      </c>
      <c r="E2875">
        <v>0.493273646087795</v>
      </c>
    </row>
    <row r="2876" spans="1:5" x14ac:dyDescent="0.2">
      <c r="A2876">
        <v>4.6641333333333299E-2</v>
      </c>
      <c r="B2876">
        <v>0.37742140251775003</v>
      </c>
      <c r="C2876">
        <v>0.32811915793770702</v>
      </c>
      <c r="D2876">
        <v>0.53724075710381602</v>
      </c>
      <c r="E2876">
        <v>0.49334635400837801</v>
      </c>
    </row>
    <row r="2877" spans="1:5" x14ac:dyDescent="0.2">
      <c r="A2877">
        <v>4.6668000000000001E-2</v>
      </c>
      <c r="B2877">
        <v>0.37749172839357698</v>
      </c>
      <c r="C2877">
        <v>0.32818909709210198</v>
      </c>
      <c r="D2877">
        <v>0.53733723234755204</v>
      </c>
      <c r="E2877">
        <v>0.493419031959965</v>
      </c>
    </row>
    <row r="2878" spans="1:5" x14ac:dyDescent="0.2">
      <c r="A2878">
        <v>4.6694666666666697E-2</v>
      </c>
      <c r="B2878">
        <v>0.37756205646212798</v>
      </c>
      <c r="C2878">
        <v>0.32825903936216</v>
      </c>
      <c r="D2878">
        <v>0.53743363631774099</v>
      </c>
      <c r="E2878">
        <v>0.49349167993704302</v>
      </c>
    </row>
    <row r="2879" spans="1:5" x14ac:dyDescent="0.2">
      <c r="A2879">
        <v>4.6721333333333302E-2</v>
      </c>
      <c r="B2879">
        <v>0.37763238705399199</v>
      </c>
      <c r="C2879">
        <v>0.32832898479974298</v>
      </c>
      <c r="D2879">
        <v>0.53752996892565696</v>
      </c>
      <c r="E2879">
        <v>0.49356429793409801</v>
      </c>
    </row>
    <row r="2880" spans="1:5" x14ac:dyDescent="0.2">
      <c r="A2880">
        <v>4.6747999999999998E-2</v>
      </c>
      <c r="B2880">
        <v>0.377702720499762</v>
      </c>
      <c r="C2880">
        <v>0.328398933456714</v>
      </c>
      <c r="D2880">
        <v>0.53762623008257804</v>
      </c>
      <c r="E2880">
        <v>0.493636885945619</v>
      </c>
    </row>
    <row r="2881" spans="1:5" x14ac:dyDescent="0.2">
      <c r="A2881">
        <v>4.67746666666667E-2</v>
      </c>
      <c r="B2881">
        <v>0.37777305713002801</v>
      </c>
      <c r="C2881">
        <v>0.32846888538493502</v>
      </c>
      <c r="D2881">
        <v>0.53772241969977796</v>
      </c>
      <c r="E2881">
        <v>0.49370944396609201</v>
      </c>
    </row>
    <row r="2882" spans="1:5" x14ac:dyDescent="0.2">
      <c r="A2882">
        <v>4.6801333333333299E-2</v>
      </c>
      <c r="B2882">
        <v>0.37784339727538202</v>
      </c>
      <c r="C2882">
        <v>0.32853884063626898</v>
      </c>
      <c r="D2882">
        <v>0.53781853768853405</v>
      </c>
      <c r="E2882">
        <v>0.49378197199000501</v>
      </c>
    </row>
    <row r="2883" spans="1:5" x14ac:dyDescent="0.2">
      <c r="A2883">
        <v>4.6828000000000002E-2</v>
      </c>
      <c r="B2883">
        <v>0.37791374126641403</v>
      </c>
      <c r="C2883">
        <v>0.32860879926257802</v>
      </c>
      <c r="D2883">
        <v>0.53791458396012004</v>
      </c>
      <c r="E2883">
        <v>0.49385447001184402</v>
      </c>
    </row>
    <row r="2884" spans="1:5" x14ac:dyDescent="0.2">
      <c r="A2884">
        <v>4.6854666666666697E-2</v>
      </c>
      <c r="B2884">
        <v>0.37798408943371598</v>
      </c>
      <c r="C2884">
        <v>0.32867876131572399</v>
      </c>
      <c r="D2884">
        <v>0.53801055842581302</v>
      </c>
      <c r="E2884">
        <v>0.49392693802609799</v>
      </c>
    </row>
    <row r="2885" spans="1:5" x14ac:dyDescent="0.2">
      <c r="A2885">
        <v>4.6881333333333303E-2</v>
      </c>
      <c r="B2885">
        <v>0.37805444210787897</v>
      </c>
      <c r="C2885">
        <v>0.32874872684757001</v>
      </c>
      <c r="D2885">
        <v>0.53810646099688897</v>
      </c>
      <c r="E2885">
        <v>0.49399937602725302</v>
      </c>
    </row>
    <row r="2886" spans="1:5" x14ac:dyDescent="0.2">
      <c r="A2886">
        <v>4.6907999999999998E-2</v>
      </c>
      <c r="B2886">
        <v>0.37812479961949302</v>
      </c>
      <c r="C2886">
        <v>0.32881869590997898</v>
      </c>
      <c r="D2886">
        <v>0.53820229158462196</v>
      </c>
      <c r="E2886">
        <v>0.49407178400979701</v>
      </c>
    </row>
    <row r="2887" spans="1:5" x14ac:dyDescent="0.2">
      <c r="A2887">
        <v>4.6934666666666701E-2</v>
      </c>
      <c r="B2887">
        <v>0.37819516229915001</v>
      </c>
      <c r="C2887">
        <v>0.32888866855481202</v>
      </c>
      <c r="D2887">
        <v>0.53829805010028997</v>
      </c>
      <c r="E2887">
        <v>0.49414416196821698</v>
      </c>
    </row>
    <row r="2888" spans="1:5" x14ac:dyDescent="0.2">
      <c r="A2888">
        <v>4.6961333333333299E-2</v>
      </c>
      <c r="B2888">
        <v>0.37826553047744099</v>
      </c>
      <c r="C2888">
        <v>0.328958644833933</v>
      </c>
      <c r="D2888">
        <v>0.53839373645516597</v>
      </c>
      <c r="E2888">
        <v>0.494216509897</v>
      </c>
    </row>
    <row r="2889" spans="1:5" x14ac:dyDescent="0.2">
      <c r="A2889">
        <v>4.6988000000000002E-2</v>
      </c>
      <c r="B2889">
        <v>0.37833590448495802</v>
      </c>
      <c r="C2889">
        <v>0.32902862479920397</v>
      </c>
      <c r="D2889">
        <v>0.53848935056052805</v>
      </c>
      <c r="E2889">
        <v>0.49428882779063399</v>
      </c>
    </row>
    <row r="2890" spans="1:5" x14ac:dyDescent="0.2">
      <c r="A2890">
        <v>4.7014666666666698E-2</v>
      </c>
      <c r="B2890">
        <v>0.37840628465228998</v>
      </c>
      <c r="C2890">
        <v>0.329098608486938</v>
      </c>
      <c r="D2890">
        <v>0.53858489232764994</v>
      </c>
      <c r="E2890">
        <v>0.49436111564360502</v>
      </c>
    </row>
    <row r="2891" spans="1:5" x14ac:dyDescent="0.2">
      <c r="A2891">
        <v>4.7041333333333303E-2</v>
      </c>
      <c r="B2891">
        <v>0.37847667131002999</v>
      </c>
      <c r="C2891">
        <v>0.32916859564763201</v>
      </c>
      <c r="D2891">
        <v>0.53868036166780897</v>
      </c>
      <c r="E2891">
        <v>0.494433373450401</v>
      </c>
    </row>
    <row r="2892" spans="1:5" x14ac:dyDescent="0.2">
      <c r="A2892">
        <v>4.7067999999999999E-2</v>
      </c>
      <c r="B2892">
        <v>0.37854706478876698</v>
      </c>
      <c r="C2892">
        <v>0.32923858578093701</v>
      </c>
      <c r="D2892">
        <v>0.53877575849227899</v>
      </c>
      <c r="E2892">
        <v>0.49450560120551001</v>
      </c>
    </row>
    <row r="2893" spans="1:5" x14ac:dyDescent="0.2">
      <c r="A2893">
        <v>4.7094666666666701E-2</v>
      </c>
      <c r="B2893">
        <v>0.37861746541909502</v>
      </c>
      <c r="C2893">
        <v>0.32930857837798899</v>
      </c>
      <c r="D2893">
        <v>0.53887108271233797</v>
      </c>
      <c r="E2893">
        <v>0.49457779890341702</v>
      </c>
    </row>
    <row r="2894" spans="1:5" x14ac:dyDescent="0.2">
      <c r="A2894">
        <v>4.71213333333333E-2</v>
      </c>
      <c r="B2894">
        <v>0.37868787353160199</v>
      </c>
      <c r="C2894">
        <v>0.32937857292992501</v>
      </c>
      <c r="D2894">
        <v>0.53896633423925999</v>
      </c>
      <c r="E2894">
        <v>0.49464996653861198</v>
      </c>
    </row>
    <row r="2895" spans="1:5" x14ac:dyDescent="0.2">
      <c r="A2895">
        <v>4.7148000000000002E-2</v>
      </c>
      <c r="B2895">
        <v>0.378758289456882</v>
      </c>
      <c r="C2895">
        <v>0.32944856892788099</v>
      </c>
      <c r="D2895">
        <v>0.53906151298432103</v>
      </c>
      <c r="E2895">
        <v>0.49472210410557999</v>
      </c>
    </row>
    <row r="2896" spans="1:5" x14ac:dyDescent="0.2">
      <c r="A2896">
        <v>4.7174666666666698E-2</v>
      </c>
      <c r="B2896">
        <v>0.378828713525523</v>
      </c>
      <c r="C2896">
        <v>0.329518565862992</v>
      </c>
      <c r="D2896">
        <v>0.53915661885879695</v>
      </c>
      <c r="E2896">
        <v>0.49479421159880999</v>
      </c>
    </row>
    <row r="2897" spans="1:5" x14ac:dyDescent="0.2">
      <c r="A2897">
        <v>4.7201333333333297E-2</v>
      </c>
      <c r="B2897">
        <v>0.37889914606811897</v>
      </c>
      <c r="C2897">
        <v>0.32958856322639501</v>
      </c>
      <c r="D2897">
        <v>0.53925165177396395</v>
      </c>
      <c r="E2897">
        <v>0.49486628901278801</v>
      </c>
    </row>
    <row r="2898" spans="1:5" x14ac:dyDescent="0.2">
      <c r="A2898">
        <v>4.7227999999999999E-2</v>
      </c>
      <c r="B2898">
        <v>0.37896958741525899</v>
      </c>
      <c r="C2898">
        <v>0.32965856050922598</v>
      </c>
      <c r="D2898">
        <v>0.53934661164109599</v>
      </c>
      <c r="E2898">
        <v>0.49493833634200202</v>
      </c>
    </row>
    <row r="2899" spans="1:5" x14ac:dyDescent="0.2">
      <c r="A2899">
        <v>4.7254666666666702E-2</v>
      </c>
      <c r="B2899">
        <v>0.37904003789753499</v>
      </c>
      <c r="C2899">
        <v>0.32972855720262101</v>
      </c>
      <c r="D2899">
        <v>0.53944149837147104</v>
      </c>
      <c r="E2899">
        <v>0.49501035358093898</v>
      </c>
    </row>
    <row r="2900" spans="1:5" x14ac:dyDescent="0.2">
      <c r="A2900">
        <v>4.72813333333333E-2</v>
      </c>
      <c r="B2900">
        <v>0.37911049784553802</v>
      </c>
      <c r="C2900">
        <v>0.32979855279771703</v>
      </c>
      <c r="D2900">
        <v>0.53953631187636297</v>
      </c>
      <c r="E2900">
        <v>0.49508234072408602</v>
      </c>
    </row>
    <row r="2901" spans="1:5" x14ac:dyDescent="0.2">
      <c r="A2901">
        <v>4.7308000000000003E-2</v>
      </c>
      <c r="B2901">
        <v>0.37918096758985897</v>
      </c>
      <c r="C2901">
        <v>0.32986854678564798</v>
      </c>
      <c r="D2901">
        <v>0.53963105206704798</v>
      </c>
      <c r="E2901">
        <v>0.49515429776593101</v>
      </c>
    </row>
    <row r="2902" spans="1:5" x14ac:dyDescent="0.2">
      <c r="A2902">
        <v>4.7334666666666698E-2</v>
      </c>
      <c r="B2902">
        <v>0.37925144746108902</v>
      </c>
      <c r="C2902">
        <v>0.32993853865755202</v>
      </c>
      <c r="D2902">
        <v>0.53972571885480203</v>
      </c>
      <c r="E2902">
        <v>0.49522622470096</v>
      </c>
    </row>
    <row r="2903" spans="1:5" x14ac:dyDescent="0.2">
      <c r="A2903">
        <v>4.7361333333333297E-2</v>
      </c>
      <c r="B2903">
        <v>0.37932193778981999</v>
      </c>
      <c r="C2903">
        <v>0.33000852790456497</v>
      </c>
      <c r="D2903">
        <v>0.53982031215090098</v>
      </c>
      <c r="E2903">
        <v>0.49529812152366198</v>
      </c>
    </row>
    <row r="2904" spans="1:5" x14ac:dyDescent="0.2">
      <c r="A2904">
        <v>4.7388E-2</v>
      </c>
      <c r="B2904">
        <v>0.37939243890664098</v>
      </c>
      <c r="C2904">
        <v>0.33007851401782201</v>
      </c>
      <c r="D2904">
        <v>0.53991483186662004</v>
      </c>
      <c r="E2904">
        <v>0.49536998822852202</v>
      </c>
    </row>
    <row r="2905" spans="1:5" x14ac:dyDescent="0.2">
      <c r="A2905">
        <v>4.7414666666666702E-2</v>
      </c>
      <c r="B2905">
        <v>0.37946295114214501</v>
      </c>
      <c r="C2905">
        <v>0.33014849648845901</v>
      </c>
      <c r="D2905">
        <v>0.54000927791323505</v>
      </c>
      <c r="E2905">
        <v>0.49544182481002902</v>
      </c>
    </row>
    <row r="2906" spans="1:5" x14ac:dyDescent="0.2">
      <c r="A2906">
        <v>4.7441333333333301E-2</v>
      </c>
      <c r="B2906">
        <v>0.37953347482692201</v>
      </c>
      <c r="C2906">
        <v>0.33021847480761402</v>
      </c>
      <c r="D2906">
        <v>0.540103650202021</v>
      </c>
      <c r="E2906">
        <v>0.49551363126267001</v>
      </c>
    </row>
    <row r="2907" spans="1:5" x14ac:dyDescent="0.2">
      <c r="A2907">
        <v>4.7468000000000003E-2</v>
      </c>
      <c r="B2907">
        <v>0.37960401029156399</v>
      </c>
      <c r="C2907">
        <v>0.33028844846642103</v>
      </c>
      <c r="D2907">
        <v>0.54019794864425497</v>
      </c>
      <c r="E2907">
        <v>0.495585407580932</v>
      </c>
    </row>
    <row r="2908" spans="1:5" x14ac:dyDescent="0.2">
      <c r="A2908">
        <v>4.7494666666666699E-2</v>
      </c>
      <c r="B2908">
        <v>0.37967455786666099</v>
      </c>
      <c r="C2908">
        <v>0.33035841695601698</v>
      </c>
      <c r="D2908">
        <v>0.54029217315121203</v>
      </c>
      <c r="E2908">
        <v>0.49565715375930203</v>
      </c>
    </row>
    <row r="2909" spans="1:5" x14ac:dyDescent="0.2">
      <c r="A2909">
        <v>4.7521333333333297E-2</v>
      </c>
      <c r="B2909">
        <v>0.37974511788280602</v>
      </c>
      <c r="C2909">
        <v>0.33042837976753903</v>
      </c>
      <c r="D2909">
        <v>0.54038632363416705</v>
      </c>
      <c r="E2909">
        <v>0.49572886979226699</v>
      </c>
    </row>
    <row r="2910" spans="1:5" x14ac:dyDescent="0.2">
      <c r="A2910">
        <v>4.7548E-2</v>
      </c>
      <c r="B2910">
        <v>0.37981569067058701</v>
      </c>
      <c r="C2910">
        <v>0.33049833639212201</v>
      </c>
      <c r="D2910">
        <v>0.54048040000439701</v>
      </c>
      <c r="E2910">
        <v>0.49580055567431602</v>
      </c>
    </row>
    <row r="2911" spans="1:5" x14ac:dyDescent="0.2">
      <c r="A2911">
        <v>4.7574666666666703E-2</v>
      </c>
      <c r="B2911">
        <v>0.37988627656059798</v>
      </c>
      <c r="C2911">
        <v>0.33056828632090102</v>
      </c>
      <c r="D2911">
        <v>0.54057440217317598</v>
      </c>
      <c r="E2911">
        <v>0.49587221139993398</v>
      </c>
    </row>
    <row r="2912" spans="1:5" x14ac:dyDescent="0.2">
      <c r="A2912">
        <v>4.7601333333333301E-2</v>
      </c>
      <c r="B2912">
        <v>0.37995687588342802</v>
      </c>
      <c r="C2912">
        <v>0.330638229045015</v>
      </c>
      <c r="D2912">
        <v>0.54066833005178205</v>
      </c>
      <c r="E2912">
        <v>0.495943836963609</v>
      </c>
    </row>
    <row r="2913" spans="1:5" x14ac:dyDescent="0.2">
      <c r="A2913">
        <v>4.7627999999999997E-2</v>
      </c>
      <c r="B2913">
        <v>0.38002748896966998</v>
      </c>
      <c r="C2913">
        <v>0.330708164055598</v>
      </c>
      <c r="D2913">
        <v>0.54076218355148897</v>
      </c>
      <c r="E2913">
        <v>0.49601543235982898</v>
      </c>
    </row>
    <row r="2914" spans="1:5" x14ac:dyDescent="0.2">
      <c r="A2914">
        <v>4.7654666666666699E-2</v>
      </c>
      <c r="B2914">
        <v>0.38009811614991301</v>
      </c>
      <c r="C2914">
        <v>0.33077809084378601</v>
      </c>
      <c r="D2914">
        <v>0.54085596258357205</v>
      </c>
      <c r="E2914">
        <v>0.496086997583081</v>
      </c>
    </row>
    <row r="2915" spans="1:5" x14ac:dyDescent="0.2">
      <c r="A2915">
        <v>4.7681333333333298E-2</v>
      </c>
      <c r="B2915">
        <v>0.38016875775475001</v>
      </c>
      <c r="C2915">
        <v>0.33084800890071597</v>
      </c>
      <c r="D2915">
        <v>0.54094966705930903</v>
      </c>
      <c r="E2915">
        <v>0.49615853262785198</v>
      </c>
    </row>
    <row r="2916" spans="1:5" x14ac:dyDescent="0.2">
      <c r="A2916">
        <v>4.7708E-2</v>
      </c>
      <c r="B2916">
        <v>0.38023941411477102</v>
      </c>
      <c r="C2916">
        <v>0.33091791771752399</v>
      </c>
      <c r="D2916">
        <v>0.54104329688997399</v>
      </c>
      <c r="E2916">
        <v>0.49623003748862898</v>
      </c>
    </row>
    <row r="2917" spans="1:5" x14ac:dyDescent="0.2">
      <c r="A2917">
        <v>4.7734666666666703E-2</v>
      </c>
      <c r="B2917">
        <v>0.380310085560567</v>
      </c>
      <c r="C2917">
        <v>0.330987816785346</v>
      </c>
      <c r="D2917">
        <v>0.54113685198684303</v>
      </c>
      <c r="E2917">
        <v>0.49630151215989998</v>
      </c>
    </row>
    <row r="2918" spans="1:5" x14ac:dyDescent="0.2">
      <c r="A2918">
        <v>4.7761333333333301E-2</v>
      </c>
      <c r="B2918">
        <v>0.38038077242273</v>
      </c>
      <c r="C2918">
        <v>0.331057705595318</v>
      </c>
      <c r="D2918">
        <v>0.54123033226119199</v>
      </c>
      <c r="E2918">
        <v>0.496372956636151</v>
      </c>
    </row>
    <row r="2919" spans="1:5" x14ac:dyDescent="0.2">
      <c r="A2919">
        <v>4.7787999999999997E-2</v>
      </c>
      <c r="B2919">
        <v>0.38045147503185001</v>
      </c>
      <c r="C2919">
        <v>0.33112758363857597</v>
      </c>
      <c r="D2919">
        <v>0.54132373762429598</v>
      </c>
      <c r="E2919">
        <v>0.49644437091187099</v>
      </c>
    </row>
    <row r="2920" spans="1:5" x14ac:dyDescent="0.2">
      <c r="A2920">
        <v>4.78146666666667E-2</v>
      </c>
      <c r="B2920">
        <v>0.38052219371851898</v>
      </c>
      <c r="C2920">
        <v>0.33119745040625598</v>
      </c>
      <c r="D2920">
        <v>0.54141706798743205</v>
      </c>
      <c r="E2920">
        <v>0.49651575498154499</v>
      </c>
    </row>
    <row r="2921" spans="1:5" x14ac:dyDescent="0.2">
      <c r="A2921">
        <v>4.7841333333333298E-2</v>
      </c>
      <c r="B2921">
        <v>0.38059292881332701</v>
      </c>
      <c r="C2921">
        <v>0.331267305389495</v>
      </c>
      <c r="D2921">
        <v>0.54151032326187398</v>
      </c>
      <c r="E2921">
        <v>0.49658710883966301</v>
      </c>
    </row>
    <row r="2922" spans="1:5" x14ac:dyDescent="0.2">
      <c r="A2922">
        <v>4.7868000000000001E-2</v>
      </c>
      <c r="B2922">
        <v>0.38066368064686601</v>
      </c>
      <c r="C2922">
        <v>0.33133714807942799</v>
      </c>
      <c r="D2922">
        <v>0.54160350335889895</v>
      </c>
      <c r="E2922">
        <v>0.49665843248071001</v>
      </c>
    </row>
    <row r="2923" spans="1:5" x14ac:dyDescent="0.2">
      <c r="A2923">
        <v>4.7894666666666703E-2</v>
      </c>
      <c r="B2923">
        <v>0.38073444954972602</v>
      </c>
      <c r="C2923">
        <v>0.33140697796719099</v>
      </c>
      <c r="D2923">
        <v>0.54169660818978105</v>
      </c>
      <c r="E2923">
        <v>0.49672972589917402</v>
      </c>
    </row>
    <row r="2924" spans="1:5" x14ac:dyDescent="0.2">
      <c r="A2924">
        <v>4.7921333333333302E-2</v>
      </c>
      <c r="B2924">
        <v>0.38080523585249998</v>
      </c>
      <c r="C2924">
        <v>0.33147679454392198</v>
      </c>
      <c r="D2924">
        <v>0.54178963766579802</v>
      </c>
      <c r="E2924">
        <v>0.49680098908954201</v>
      </c>
    </row>
    <row r="2925" spans="1:5" x14ac:dyDescent="0.2">
      <c r="A2925">
        <v>4.7947999999999998E-2</v>
      </c>
      <c r="B2925">
        <v>0.38087603988577801</v>
      </c>
      <c r="C2925">
        <v>0.33154659730075497</v>
      </c>
      <c r="D2925">
        <v>0.54188259169822395</v>
      </c>
      <c r="E2925">
        <v>0.49687222204630199</v>
      </c>
    </row>
    <row r="2926" spans="1:5" x14ac:dyDescent="0.2">
      <c r="A2926">
        <v>4.79746666666667E-2</v>
      </c>
      <c r="B2926">
        <v>0.38094686198014999</v>
      </c>
      <c r="C2926">
        <v>0.33161638572882601</v>
      </c>
      <c r="D2926">
        <v>0.54197547019833603</v>
      </c>
      <c r="E2926">
        <v>0.49694342476394099</v>
      </c>
    </row>
    <row r="2927" spans="1:5" x14ac:dyDescent="0.2">
      <c r="A2927">
        <v>4.8001333333333299E-2</v>
      </c>
      <c r="B2927">
        <v>0.38101770246613598</v>
      </c>
      <c r="C2927">
        <v>0.33168615931926598</v>
      </c>
      <c r="D2927">
        <v>0.54206827307740801</v>
      </c>
      <c r="E2927">
        <v>0.49701459723694602</v>
      </c>
    </row>
    <row r="2928" spans="1:5" x14ac:dyDescent="0.2">
      <c r="A2928">
        <v>4.8028000000000001E-2</v>
      </c>
      <c r="B2928">
        <v>0.38108856099973598</v>
      </c>
      <c r="C2928">
        <v>0.33175591749846101</v>
      </c>
      <c r="D2928">
        <v>0.54216100024671698</v>
      </c>
      <c r="E2928">
        <v>0.497085739459804</v>
      </c>
    </row>
    <row r="2929" spans="1:5" x14ac:dyDescent="0.2">
      <c r="A2929">
        <v>4.8054666666666697E-2</v>
      </c>
      <c r="B2929">
        <v>0.38115943491377802</v>
      </c>
      <c r="C2929">
        <v>0.33182565946981402</v>
      </c>
      <c r="D2929">
        <v>0.54225365161753802</v>
      </c>
      <c r="E2929">
        <v>0.497156851427002</v>
      </c>
    </row>
    <row r="2930" spans="1:5" x14ac:dyDescent="0.2">
      <c r="A2930">
        <v>4.8081333333333302E-2</v>
      </c>
      <c r="B2930">
        <v>0.381230321041303</v>
      </c>
      <c r="C2930">
        <v>0.33189538438875599</v>
      </c>
      <c r="D2930">
        <v>0.54234622710114699</v>
      </c>
      <c r="E2930">
        <v>0.49722793313302899</v>
      </c>
    </row>
    <row r="2931" spans="1:5" x14ac:dyDescent="0.2">
      <c r="A2931">
        <v>4.8107999999999998E-2</v>
      </c>
      <c r="B2931">
        <v>0.38130121621535401</v>
      </c>
      <c r="C2931">
        <v>0.331965091410719</v>
      </c>
      <c r="D2931">
        <v>0.54243872660881998</v>
      </c>
      <c r="E2931">
        <v>0.49729898457236998</v>
      </c>
    </row>
    <row r="2932" spans="1:5" x14ac:dyDescent="0.2">
      <c r="A2932">
        <v>4.8134666666666701E-2</v>
      </c>
      <c r="B2932">
        <v>0.38137211726897102</v>
      </c>
      <c r="C2932">
        <v>0.33203477969113498</v>
      </c>
      <c r="D2932">
        <v>0.54253115005183195</v>
      </c>
      <c r="E2932">
        <v>0.49737000573951401</v>
      </c>
    </row>
    <row r="2933" spans="1:5" x14ac:dyDescent="0.2">
      <c r="A2933">
        <v>4.8161333333333299E-2</v>
      </c>
      <c r="B2933">
        <v>0.38144302103519701</v>
      </c>
      <c r="C2933">
        <v>0.33210444838543701</v>
      </c>
      <c r="D2933">
        <v>0.54262349734145898</v>
      </c>
      <c r="E2933">
        <v>0.49744099662894697</v>
      </c>
    </row>
    <row r="2934" spans="1:5" x14ac:dyDescent="0.2">
      <c r="A2934">
        <v>4.8188000000000002E-2</v>
      </c>
      <c r="B2934">
        <v>0.38151392434707299</v>
      </c>
      <c r="C2934">
        <v>0.33217409664905501</v>
      </c>
      <c r="D2934">
        <v>0.54271576838897695</v>
      </c>
      <c r="E2934">
        <v>0.49751195723515701</v>
      </c>
    </row>
    <row r="2935" spans="1:5" x14ac:dyDescent="0.2">
      <c r="A2935">
        <v>4.8214666666666697E-2</v>
      </c>
      <c r="B2935">
        <v>0.38158482403764099</v>
      </c>
      <c r="C2935">
        <v>0.33224372363742199</v>
      </c>
      <c r="D2935">
        <v>0.54280796310566104</v>
      </c>
      <c r="E2935">
        <v>0.49758288755263202</v>
      </c>
    </row>
    <row r="2936" spans="1:5" x14ac:dyDescent="0.2">
      <c r="A2936">
        <v>4.8241333333333303E-2</v>
      </c>
      <c r="B2936">
        <v>0.38165571693994299</v>
      </c>
      <c r="C2936">
        <v>0.33231332850597001</v>
      </c>
      <c r="D2936">
        <v>0.542900081402787</v>
      </c>
      <c r="E2936">
        <v>0.49765378757585699</v>
      </c>
    </row>
    <row r="2937" spans="1:5" x14ac:dyDescent="0.2">
      <c r="A2937">
        <v>4.8267999999999998E-2</v>
      </c>
      <c r="B2937">
        <v>0.38172659988702101</v>
      </c>
      <c r="C2937">
        <v>0.33238291041012902</v>
      </c>
      <c r="D2937">
        <v>0.54299212319163004</v>
      </c>
      <c r="E2937">
        <v>0.49772465729932103</v>
      </c>
    </row>
    <row r="2938" spans="1:5" x14ac:dyDescent="0.2">
      <c r="A2938">
        <v>4.8294666666666701E-2</v>
      </c>
      <c r="B2938">
        <v>0.38179746971191703</v>
      </c>
      <c r="C2938">
        <v>0.332452468505333</v>
      </c>
      <c r="D2938">
        <v>0.543084088383467</v>
      </c>
      <c r="E2938">
        <v>0.497795496717511</v>
      </c>
    </row>
    <row r="2939" spans="1:5" x14ac:dyDescent="0.2">
      <c r="A2939">
        <v>4.8321333333333299E-2</v>
      </c>
      <c r="B2939">
        <v>0.381868323247671</v>
      </c>
      <c r="C2939">
        <v>0.33252200194701298</v>
      </c>
      <c r="D2939">
        <v>0.54317597688957397</v>
      </c>
      <c r="E2939">
        <v>0.49786630582491498</v>
      </c>
    </row>
    <row r="2940" spans="1:5" x14ac:dyDescent="0.2">
      <c r="A2940">
        <v>4.8348000000000002E-2</v>
      </c>
      <c r="B2940">
        <v>0.38193915732732697</v>
      </c>
      <c r="C2940">
        <v>0.33259150989059999</v>
      </c>
      <c r="D2940">
        <v>0.54326778862122405</v>
      </c>
      <c r="E2940">
        <v>0.49793708461601799</v>
      </c>
    </row>
    <row r="2941" spans="1:5" x14ac:dyDescent="0.2">
      <c r="A2941">
        <v>4.8374666666666698E-2</v>
      </c>
      <c r="B2941">
        <v>0.38200996878392601</v>
      </c>
      <c r="C2941">
        <v>0.332660991491527</v>
      </c>
      <c r="D2941">
        <v>0.54335952348969596</v>
      </c>
      <c r="E2941">
        <v>0.49800783308530899</v>
      </c>
    </row>
    <row r="2942" spans="1:5" x14ac:dyDescent="0.2">
      <c r="A2942">
        <v>4.8401333333333303E-2</v>
      </c>
      <c r="B2942">
        <v>0.38208075445050899</v>
      </c>
      <c r="C2942">
        <v>0.33273044590522599</v>
      </c>
      <c r="D2942">
        <v>0.54345118140626303</v>
      </c>
      <c r="E2942">
        <v>0.49807855122727501</v>
      </c>
    </row>
    <row r="2943" spans="1:5" x14ac:dyDescent="0.2">
      <c r="A2943">
        <v>4.8427999999999999E-2</v>
      </c>
      <c r="B2943">
        <v>0.38215151116011897</v>
      </c>
      <c r="C2943">
        <v>0.33279987228712798</v>
      </c>
      <c r="D2943">
        <v>0.543542762282202</v>
      </c>
      <c r="E2943">
        <v>0.49814923903640301</v>
      </c>
    </row>
    <row r="2944" spans="1:5" x14ac:dyDescent="0.2">
      <c r="A2944">
        <v>4.8454666666666701E-2</v>
      </c>
      <c r="B2944">
        <v>0.382222235745797</v>
      </c>
      <c r="C2944">
        <v>0.33286926979266501</v>
      </c>
      <c r="D2944">
        <v>0.54363426602878895</v>
      </c>
      <c r="E2944">
        <v>0.49821989650718002</v>
      </c>
    </row>
    <row r="2945" spans="1:5" x14ac:dyDescent="0.2">
      <c r="A2945">
        <v>4.84813333333333E-2</v>
      </c>
      <c r="B2945">
        <v>0.38229292504058499</v>
      </c>
      <c r="C2945">
        <v>0.33293863757726799</v>
      </c>
      <c r="D2945">
        <v>0.54372569255729797</v>
      </c>
      <c r="E2945">
        <v>0.49829052363409398</v>
      </c>
    </row>
    <row r="2946" spans="1:5" x14ac:dyDescent="0.2">
      <c r="A2946">
        <v>4.8508000000000003E-2</v>
      </c>
      <c r="B2946">
        <v>0.38236357587752501</v>
      </c>
      <c r="C2946">
        <v>0.33300797479637101</v>
      </c>
      <c r="D2946">
        <v>0.54381704177900703</v>
      </c>
      <c r="E2946">
        <v>0.498361120411632</v>
      </c>
    </row>
    <row r="2947" spans="1:5" x14ac:dyDescent="0.2">
      <c r="A2947">
        <v>4.8534666666666698E-2</v>
      </c>
      <c r="B2947">
        <v>0.38243418508965799</v>
      </c>
      <c r="C2947">
        <v>0.33307728060540398</v>
      </c>
      <c r="D2947">
        <v>0.54390831360518999</v>
      </c>
      <c r="E2947">
        <v>0.49843168683428102</v>
      </c>
    </row>
    <row r="2948" spans="1:5" x14ac:dyDescent="0.2">
      <c r="A2948">
        <v>4.8561333333333297E-2</v>
      </c>
      <c r="B2948">
        <v>0.382504749510026</v>
      </c>
      <c r="C2948">
        <v>0.33314655415979899</v>
      </c>
      <c r="D2948">
        <v>0.54399950794712304</v>
      </c>
      <c r="E2948">
        <v>0.49850222289652801</v>
      </c>
    </row>
    <row r="2949" spans="1:5" x14ac:dyDescent="0.2">
      <c r="A2949">
        <v>4.8587999999999999E-2</v>
      </c>
      <c r="B2949">
        <v>0.38257526597167202</v>
      </c>
      <c r="C2949">
        <v>0.33321579461498901</v>
      </c>
      <c r="D2949">
        <v>0.54409062471608205</v>
      </c>
      <c r="E2949">
        <v>0.498572728592861</v>
      </c>
    </row>
    <row r="2950" spans="1:5" x14ac:dyDescent="0.2">
      <c r="A2950">
        <v>4.8614666666666702E-2</v>
      </c>
      <c r="B2950">
        <v>0.38264573130763602</v>
      </c>
      <c r="C2950">
        <v>0.33328500112640502</v>
      </c>
      <c r="D2950">
        <v>0.54418166382334199</v>
      </c>
      <c r="E2950">
        <v>0.49864320391776601</v>
      </c>
    </row>
    <row r="2951" spans="1:5" x14ac:dyDescent="0.2">
      <c r="A2951">
        <v>4.86413333333333E-2</v>
      </c>
      <c r="B2951">
        <v>0.38271614235096102</v>
      </c>
      <c r="C2951">
        <v>0.33335417284947899</v>
      </c>
      <c r="D2951">
        <v>0.54427262518018005</v>
      </c>
      <c r="E2951">
        <v>0.498713648865732</v>
      </c>
    </row>
    <row r="2952" spans="1:5" x14ac:dyDescent="0.2">
      <c r="A2952">
        <v>4.8668000000000003E-2</v>
      </c>
      <c r="B2952">
        <v>0.382786495934689</v>
      </c>
      <c r="C2952">
        <v>0.333423308939642</v>
      </c>
      <c r="D2952">
        <v>0.54436350869787098</v>
      </c>
      <c r="E2952">
        <v>0.49878406343124498</v>
      </c>
    </row>
    <row r="2953" spans="1:5" x14ac:dyDescent="0.2">
      <c r="A2953">
        <v>4.8694666666666699E-2</v>
      </c>
      <c r="B2953">
        <v>0.38285678889186098</v>
      </c>
      <c r="C2953">
        <v>0.33349240855232698</v>
      </c>
      <c r="D2953">
        <v>0.54445431428768998</v>
      </c>
      <c r="E2953">
        <v>0.49885444760879299</v>
      </c>
    </row>
    <row r="2954" spans="1:5" x14ac:dyDescent="0.2">
      <c r="A2954">
        <v>4.8721333333333297E-2</v>
      </c>
      <c r="B2954">
        <v>0.38292701805551799</v>
      </c>
      <c r="C2954">
        <v>0.333561470842965</v>
      </c>
      <c r="D2954">
        <v>0.54454504186091301</v>
      </c>
      <c r="E2954">
        <v>0.49892480139286299</v>
      </c>
    </row>
    <row r="2955" spans="1:5" x14ac:dyDescent="0.2">
      <c r="A2955">
        <v>4.8748E-2</v>
      </c>
      <c r="B2955">
        <v>0.382997180258704</v>
      </c>
      <c r="C2955">
        <v>0.33363049496698799</v>
      </c>
      <c r="D2955">
        <v>0.54463569132881695</v>
      </c>
      <c r="E2955">
        <v>0.498995124777941</v>
      </c>
    </row>
    <row r="2956" spans="1:5" x14ac:dyDescent="0.2">
      <c r="A2956">
        <v>4.8774666666666702E-2</v>
      </c>
      <c r="B2956">
        <v>0.38306727233445897</v>
      </c>
      <c r="C2956">
        <v>0.33369948007982903</v>
      </c>
      <c r="D2956">
        <v>0.54472626260267598</v>
      </c>
      <c r="E2956">
        <v>0.49906541775851698</v>
      </c>
    </row>
    <row r="2957" spans="1:5" x14ac:dyDescent="0.2">
      <c r="A2957">
        <v>4.8801333333333301E-2</v>
      </c>
      <c r="B2957">
        <v>0.38313729111582501</v>
      </c>
      <c r="C2957">
        <v>0.33376842533691797</v>
      </c>
      <c r="D2957">
        <v>0.54481675559376597</v>
      </c>
      <c r="E2957">
        <v>0.49913568032907502</v>
      </c>
    </row>
    <row r="2958" spans="1:5" x14ac:dyDescent="0.2">
      <c r="A2958">
        <v>4.8828000000000003E-2</v>
      </c>
      <c r="B2958">
        <v>0.38320723343584401</v>
      </c>
      <c r="C2958">
        <v>0.33383732989368797</v>
      </c>
      <c r="D2958">
        <v>0.54490717021336299</v>
      </c>
      <c r="E2958">
        <v>0.49920591248410501</v>
      </c>
    </row>
    <row r="2959" spans="1:5" x14ac:dyDescent="0.2">
      <c r="A2959">
        <v>4.8854666666666699E-2</v>
      </c>
      <c r="B2959">
        <v>0.383277096127558</v>
      </c>
      <c r="C2959">
        <v>0.33390619290557</v>
      </c>
      <c r="D2959">
        <v>0.54499750637274302</v>
      </c>
      <c r="E2959">
        <v>0.49927611421809298</v>
      </c>
    </row>
    <row r="2960" spans="1:5" x14ac:dyDescent="0.2">
      <c r="A2960">
        <v>4.8881333333333297E-2</v>
      </c>
      <c r="B2960">
        <v>0.38334687602400902</v>
      </c>
      <c r="C2960">
        <v>0.33397501352799702</v>
      </c>
      <c r="D2960">
        <v>0.54508776398318204</v>
      </c>
      <c r="E2960">
        <v>0.49934628552552601</v>
      </c>
    </row>
    <row r="2961" spans="1:5" x14ac:dyDescent="0.2">
      <c r="A2961">
        <v>4.8908E-2</v>
      </c>
      <c r="B2961">
        <v>0.38341656995823897</v>
      </c>
      <c r="C2961">
        <v>0.33404379091640002</v>
      </c>
      <c r="D2961">
        <v>0.54517794295595401</v>
      </c>
      <c r="E2961">
        <v>0.49941642640089201</v>
      </c>
    </row>
    <row r="2962" spans="1:5" x14ac:dyDescent="0.2">
      <c r="A2962">
        <v>4.8934666666666703E-2</v>
      </c>
      <c r="B2962">
        <v>0.383486174763288</v>
      </c>
      <c r="C2962">
        <v>0.33411252422621102</v>
      </c>
      <c r="D2962">
        <v>0.54526804320233602</v>
      </c>
      <c r="E2962">
        <v>0.499486536838678</v>
      </c>
    </row>
    <row r="2963" spans="1:5" x14ac:dyDescent="0.2">
      <c r="A2963">
        <v>4.8961333333333301E-2</v>
      </c>
      <c r="B2963">
        <v>0.38355568727220002</v>
      </c>
      <c r="C2963">
        <v>0.33418121261286099</v>
      </c>
      <c r="D2963">
        <v>0.54535806463360303</v>
      </c>
      <c r="E2963">
        <v>0.49955661683337099</v>
      </c>
    </row>
    <row r="2964" spans="1:5" x14ac:dyDescent="0.2">
      <c r="A2964">
        <v>4.8987999999999997E-2</v>
      </c>
      <c r="B2964">
        <v>0.383625104318015</v>
      </c>
      <c r="C2964">
        <v>0.33424985523178302</v>
      </c>
      <c r="D2964">
        <v>0.54544800716103103</v>
      </c>
      <c r="E2964">
        <v>0.49962666637945802</v>
      </c>
    </row>
    <row r="2965" spans="1:5" x14ac:dyDescent="0.2">
      <c r="A2965">
        <v>4.9014666666666699E-2</v>
      </c>
      <c r="B2965">
        <v>0.38369442283202299</v>
      </c>
      <c r="C2965">
        <v>0.33431845123840898</v>
      </c>
      <c r="D2965">
        <v>0.54553787069589699</v>
      </c>
      <c r="E2965">
        <v>0.49969668547142698</v>
      </c>
    </row>
    <row r="2966" spans="1:5" x14ac:dyDescent="0.2">
      <c r="A2966">
        <v>4.9041333333333298E-2</v>
      </c>
      <c r="B2966">
        <v>0.38376364155153497</v>
      </c>
      <c r="C2966">
        <v>0.33438699978816999</v>
      </c>
      <c r="D2966">
        <v>0.54562765514947398</v>
      </c>
      <c r="E2966">
        <v>0.49976667410376502</v>
      </c>
    </row>
    <row r="2967" spans="1:5" x14ac:dyDescent="0.2">
      <c r="A2967">
        <v>4.9068000000000001E-2</v>
      </c>
      <c r="B2967">
        <v>0.38383276079888501</v>
      </c>
      <c r="C2967">
        <v>0.33445550003649799</v>
      </c>
      <c r="D2967">
        <v>0.54571736043303998</v>
      </c>
      <c r="E2967">
        <v>0.49983663227095898</v>
      </c>
    </row>
    <row r="2968" spans="1:5" x14ac:dyDescent="0.2">
      <c r="A2968">
        <v>4.9094666666666703E-2</v>
      </c>
      <c r="B2968">
        <v>0.38390178095021699</v>
      </c>
      <c r="C2968">
        <v>0.33452395113882499</v>
      </c>
      <c r="D2968">
        <v>0.54580698645786896</v>
      </c>
      <c r="E2968">
        <v>0.499906559967496</v>
      </c>
    </row>
    <row r="2969" spans="1:5" x14ac:dyDescent="0.2">
      <c r="A2969">
        <v>4.9121333333333302E-2</v>
      </c>
      <c r="B2969">
        <v>0.38397070238167402</v>
      </c>
      <c r="C2969">
        <v>0.33459235225058298</v>
      </c>
      <c r="D2969">
        <v>0.545896533135238</v>
      </c>
      <c r="E2969">
        <v>0.49997645718786399</v>
      </c>
    </row>
    <row r="2970" spans="1:5" x14ac:dyDescent="0.2">
      <c r="A2970">
        <v>4.9147999999999997E-2</v>
      </c>
      <c r="B2970">
        <v>0.38403952546940101</v>
      </c>
      <c r="C2970">
        <v>0.33466070252720398</v>
      </c>
      <c r="D2970">
        <v>0.54598600037642198</v>
      </c>
      <c r="E2970">
        <v>0.50004632392655002</v>
      </c>
    </row>
    <row r="2971" spans="1:5" x14ac:dyDescent="0.2">
      <c r="A2971">
        <v>4.91746666666667E-2</v>
      </c>
      <c r="B2971">
        <v>0.38410825058954201</v>
      </c>
      <c r="C2971">
        <v>0.33472900112411802</v>
      </c>
      <c r="D2971">
        <v>0.54607538809269696</v>
      </c>
      <c r="E2971">
        <v>0.50011616017804195</v>
      </c>
    </row>
    <row r="2972" spans="1:5" x14ac:dyDescent="0.2">
      <c r="A2972">
        <v>4.9201333333333298E-2</v>
      </c>
      <c r="B2972">
        <v>0.38417687811823997</v>
      </c>
      <c r="C2972">
        <v>0.33479724719675902</v>
      </c>
      <c r="D2972">
        <v>0.54616469619533803</v>
      </c>
      <c r="E2972">
        <v>0.50018596593682496</v>
      </c>
    </row>
    <row r="2973" spans="1:5" x14ac:dyDescent="0.2">
      <c r="A2973">
        <v>4.9228000000000001E-2</v>
      </c>
      <c r="B2973">
        <v>0.38424540843164001</v>
      </c>
      <c r="C2973">
        <v>0.334865439900559</v>
      </c>
      <c r="D2973">
        <v>0.54625392459562105</v>
      </c>
      <c r="E2973">
        <v>0.50025574119738803</v>
      </c>
    </row>
    <row r="2974" spans="1:5" x14ac:dyDescent="0.2">
      <c r="A2974">
        <v>4.9254666666666697E-2</v>
      </c>
      <c r="B2974">
        <v>0.38431384190588602</v>
      </c>
      <c r="C2974">
        <v>0.33493357839094801</v>
      </c>
      <c r="D2974">
        <v>0.546343073204823</v>
      </c>
      <c r="E2974">
        <v>0.500325485954219</v>
      </c>
    </row>
    <row r="2975" spans="1:5" x14ac:dyDescent="0.2">
      <c r="A2975">
        <v>4.9281333333333302E-2</v>
      </c>
      <c r="B2975">
        <v>0.38438217891712201</v>
      </c>
      <c r="C2975">
        <v>0.335001661823358</v>
      </c>
      <c r="D2975">
        <v>0.54643214193421796</v>
      </c>
      <c r="E2975">
        <v>0.50039520020180295</v>
      </c>
    </row>
    <row r="2976" spans="1:5" x14ac:dyDescent="0.2">
      <c r="A2976">
        <v>4.9307999999999998E-2</v>
      </c>
      <c r="B2976">
        <v>0.38445041984149197</v>
      </c>
      <c r="C2976">
        <v>0.33506968935322301</v>
      </c>
      <c r="D2976">
        <v>0.54652113069508201</v>
      </c>
      <c r="E2976">
        <v>0.50046488393462896</v>
      </c>
    </row>
    <row r="2977" spans="1:5" x14ac:dyDescent="0.2">
      <c r="A2977">
        <v>4.93346666666667E-2</v>
      </c>
      <c r="B2977">
        <v>0.38451856505513898</v>
      </c>
      <c r="C2977">
        <v>0.33513766013597301</v>
      </c>
      <c r="D2977">
        <v>0.54661003939869102</v>
      </c>
      <c r="E2977">
        <v>0.50053453714718299</v>
      </c>
    </row>
    <row r="2978" spans="1:5" x14ac:dyDescent="0.2">
      <c r="A2978">
        <v>4.9361333333333299E-2</v>
      </c>
      <c r="B2978">
        <v>0.38458661493420798</v>
      </c>
      <c r="C2978">
        <v>0.33520557332703899</v>
      </c>
      <c r="D2978">
        <v>0.54669886795631994</v>
      </c>
      <c r="E2978">
        <v>0.50060415983395401</v>
      </c>
    </row>
    <row r="2979" spans="1:5" x14ac:dyDescent="0.2">
      <c r="A2979">
        <v>4.9388000000000001E-2</v>
      </c>
      <c r="B2979">
        <v>0.38465456985484398</v>
      </c>
      <c r="C2979">
        <v>0.33527342808185501</v>
      </c>
      <c r="D2979">
        <v>0.54678761627924599</v>
      </c>
      <c r="E2979">
        <v>0.50067375198942698</v>
      </c>
    </row>
    <row r="2980" spans="1:5" x14ac:dyDescent="0.2">
      <c r="A2980">
        <v>4.9414666666666697E-2</v>
      </c>
      <c r="B2980">
        <v>0.38472243019318902</v>
      </c>
      <c r="C2980">
        <v>0.335341223555852</v>
      </c>
      <c r="D2980">
        <v>0.54687628427874302</v>
      </c>
      <c r="E2980">
        <v>0.50074331360809199</v>
      </c>
    </row>
    <row r="2981" spans="1:5" x14ac:dyDescent="0.2">
      <c r="A2981">
        <v>4.9441333333333302E-2</v>
      </c>
      <c r="B2981">
        <v>0.38479019632538802</v>
      </c>
      <c r="C2981">
        <v>0.33540895890446198</v>
      </c>
      <c r="D2981">
        <v>0.546964871866089</v>
      </c>
      <c r="E2981">
        <v>0.50081284468443299</v>
      </c>
    </row>
    <row r="2982" spans="1:5" x14ac:dyDescent="0.2">
      <c r="A2982">
        <v>4.9467999999999998E-2</v>
      </c>
      <c r="B2982">
        <v>0.38485786862758498</v>
      </c>
      <c r="C2982">
        <v>0.335476633283116</v>
      </c>
      <c r="D2982">
        <v>0.54705337895255701</v>
      </c>
      <c r="E2982">
        <v>0.50088234521293995</v>
      </c>
    </row>
    <row r="2983" spans="1:5" x14ac:dyDescent="0.2">
      <c r="A2983">
        <v>4.9494666666666701E-2</v>
      </c>
      <c r="B2983">
        <v>0.384925447475925</v>
      </c>
      <c r="C2983">
        <v>0.33554424584724601</v>
      </c>
      <c r="D2983">
        <v>0.54714180544942503</v>
      </c>
      <c r="E2983">
        <v>0.50095181518809895</v>
      </c>
    </row>
    <row r="2984" spans="1:5" x14ac:dyDescent="0.2">
      <c r="A2984">
        <v>4.9521333333333299E-2</v>
      </c>
      <c r="B2984">
        <v>0.38499293324654998</v>
      </c>
      <c r="C2984">
        <v>0.335611795752285</v>
      </c>
      <c r="D2984">
        <v>0.54723015126796704</v>
      </c>
      <c r="E2984">
        <v>0.50102125460439795</v>
      </c>
    </row>
    <row r="2985" spans="1:5" x14ac:dyDescent="0.2">
      <c r="A2985">
        <v>4.9548000000000002E-2</v>
      </c>
      <c r="B2985">
        <v>0.38506032631560499</v>
      </c>
      <c r="C2985">
        <v>0.33567928215366399</v>
      </c>
      <c r="D2985">
        <v>0.54731841631945999</v>
      </c>
      <c r="E2985">
        <v>0.50109066345632303</v>
      </c>
    </row>
    <row r="2986" spans="1:5" x14ac:dyDescent="0.2">
      <c r="A2986">
        <v>4.9574666666666697E-2</v>
      </c>
      <c r="B2986">
        <v>0.38512762705923498</v>
      </c>
      <c r="C2986">
        <v>0.33574670420681402</v>
      </c>
      <c r="D2986">
        <v>0.54740660051517798</v>
      </c>
      <c r="E2986">
        <v>0.50116004173836204</v>
      </c>
    </row>
    <row r="2987" spans="1:5" x14ac:dyDescent="0.2">
      <c r="A2987">
        <v>4.9601333333333303E-2</v>
      </c>
      <c r="B2987">
        <v>0.385194835853583</v>
      </c>
      <c r="C2987">
        <v>0.33581406106716799</v>
      </c>
      <c r="D2987">
        <v>0.54749470376639897</v>
      </c>
      <c r="E2987">
        <v>0.50122938944500195</v>
      </c>
    </row>
    <row r="2988" spans="1:5" x14ac:dyDescent="0.2">
      <c r="A2988">
        <v>4.9627999999999999E-2</v>
      </c>
      <c r="B2988">
        <v>0.385261953074793</v>
      </c>
      <c r="C2988">
        <v>0.335881351890158</v>
      </c>
      <c r="D2988">
        <v>0.54758272598439595</v>
      </c>
      <c r="E2988">
        <v>0.50129870657073095</v>
      </c>
    </row>
    <row r="2989" spans="1:5" x14ac:dyDescent="0.2">
      <c r="A2989">
        <v>4.9654666666666701E-2</v>
      </c>
      <c r="B2989">
        <v>0.38532897909900898</v>
      </c>
      <c r="C2989">
        <v>0.33594857583121501</v>
      </c>
      <c r="D2989">
        <v>0.54767066708044698</v>
      </c>
      <c r="E2989">
        <v>0.50136799311003499</v>
      </c>
    </row>
    <row r="2990" spans="1:5" x14ac:dyDescent="0.2">
      <c r="A2990">
        <v>4.96813333333333E-2</v>
      </c>
      <c r="B2990">
        <v>0.38539591430237502</v>
      </c>
      <c r="C2990">
        <v>0.33601573204577101</v>
      </c>
      <c r="D2990">
        <v>0.54775852696582605</v>
      </c>
      <c r="E2990">
        <v>0.50143724905740295</v>
      </c>
    </row>
    <row r="2991" spans="1:5" x14ac:dyDescent="0.2">
      <c r="A2991">
        <v>4.9708000000000002E-2</v>
      </c>
      <c r="B2991">
        <v>0.385462759061036</v>
      </c>
      <c r="C2991">
        <v>0.33608281968925802</v>
      </c>
      <c r="D2991">
        <v>0.54784630555181002</v>
      </c>
      <c r="E2991">
        <v>0.50150647440732099</v>
      </c>
    </row>
    <row r="2992" spans="1:5" x14ac:dyDescent="0.2">
      <c r="A2992">
        <v>4.9734666666666698E-2</v>
      </c>
      <c r="B2992">
        <v>0.38552951375113498</v>
      </c>
      <c r="C2992">
        <v>0.33614983791710801</v>
      </c>
      <c r="D2992">
        <v>0.54793400274967397</v>
      </c>
      <c r="E2992">
        <v>0.50157566915427598</v>
      </c>
    </row>
    <row r="2993" spans="1:5" x14ac:dyDescent="0.2">
      <c r="A2993">
        <v>4.9761333333333303E-2</v>
      </c>
      <c r="B2993">
        <v>0.38559617874881602</v>
      </c>
      <c r="C2993">
        <v>0.33621678588475201</v>
      </c>
      <c r="D2993">
        <v>0.54802161847069397</v>
      </c>
      <c r="E2993">
        <v>0.501644833292756</v>
      </c>
    </row>
    <row r="2994" spans="1:5" x14ac:dyDescent="0.2">
      <c r="A2994">
        <v>4.9787999999999999E-2</v>
      </c>
      <c r="B2994">
        <v>0.38566275443022402</v>
      </c>
      <c r="C2994">
        <v>0.336283662747623</v>
      </c>
      <c r="D2994">
        <v>0.54810915262614501</v>
      </c>
      <c r="E2994">
        <v>0.501713966817247</v>
      </c>
    </row>
    <row r="2995" spans="1:5" x14ac:dyDescent="0.2">
      <c r="A2995">
        <v>4.9814666666666702E-2</v>
      </c>
      <c r="B2995">
        <v>0.38572924117150198</v>
      </c>
      <c r="C2995">
        <v>0.33635046766115201</v>
      </c>
      <c r="D2995">
        <v>0.54819660512730295</v>
      </c>
      <c r="E2995">
        <v>0.50178306972223896</v>
      </c>
    </row>
    <row r="2996" spans="1:5" x14ac:dyDescent="0.2">
      <c r="A2996">
        <v>4.98413333333333E-2</v>
      </c>
      <c r="B2996">
        <v>0.38579563934879402</v>
      </c>
      <c r="C2996">
        <v>0.336417199780771</v>
      </c>
      <c r="D2996">
        <v>0.54828397588544397</v>
      </c>
      <c r="E2996">
        <v>0.50185214200221595</v>
      </c>
    </row>
    <row r="2997" spans="1:5" x14ac:dyDescent="0.2">
      <c r="A2997">
        <v>4.9868000000000003E-2</v>
      </c>
      <c r="B2997">
        <v>0.38586194933824502</v>
      </c>
      <c r="C2997">
        <v>0.33648385826191302</v>
      </c>
      <c r="D2997">
        <v>0.54837126481184395</v>
      </c>
      <c r="E2997">
        <v>0.50192118365166805</v>
      </c>
    </row>
    <row r="2998" spans="1:5" x14ac:dyDescent="0.2">
      <c r="A2998">
        <v>4.9894666666666698E-2</v>
      </c>
      <c r="B2998">
        <v>0.38592817151599901</v>
      </c>
      <c r="C2998">
        <v>0.33655044226000802</v>
      </c>
      <c r="D2998">
        <v>0.54845847181777796</v>
      </c>
      <c r="E2998">
        <v>0.50199019466507999</v>
      </c>
    </row>
    <row r="2999" spans="1:5" x14ac:dyDescent="0.2">
      <c r="A2999">
        <v>4.9921333333333297E-2</v>
      </c>
      <c r="B2999">
        <v>0.38599430625819797</v>
      </c>
      <c r="C2999">
        <v>0.33661695093048799</v>
      </c>
      <c r="D2999">
        <v>0.54854559681452097</v>
      </c>
      <c r="E2999">
        <v>0.50205917503694097</v>
      </c>
    </row>
    <row r="3000" spans="1:5" x14ac:dyDescent="0.2">
      <c r="A3000">
        <v>4.9947999999999999E-2</v>
      </c>
      <c r="B3000">
        <v>0.38606035394098898</v>
      </c>
      <c r="C3000">
        <v>0.33668338342878601</v>
      </c>
      <c r="D3000">
        <v>0.54863263971334997</v>
      </c>
      <c r="E3000">
        <v>0.50212812476173696</v>
      </c>
    </row>
    <row r="3001" spans="1:5" x14ac:dyDescent="0.2">
      <c r="A3001">
        <v>4.9974666666666702E-2</v>
      </c>
      <c r="B3001">
        <v>0.38612631494051403</v>
      </c>
      <c r="C3001">
        <v>0.336749738910333</v>
      </c>
      <c r="D3001">
        <v>0.54871960042554102</v>
      </c>
      <c r="E3001">
        <v>0.50219704383395602</v>
      </c>
    </row>
    <row r="3002" spans="1:5" x14ac:dyDescent="0.2">
      <c r="A3002">
        <v>5.0001666666666701E-2</v>
      </c>
      <c r="B3002">
        <v>0.386193012522007</v>
      </c>
      <c r="C3002">
        <v>0.33681684450451299</v>
      </c>
      <c r="D3002">
        <v>0.548807564321803</v>
      </c>
      <c r="E3002">
        <v>0.50226679315922895</v>
      </c>
    </row>
    <row r="3003" spans="1:5" x14ac:dyDescent="0.2">
      <c r="A3003">
        <v>5.0035000000000003E-2</v>
      </c>
      <c r="B3003">
        <v>0.38627523375219203</v>
      </c>
      <c r="C3003">
        <v>0.336899579512562</v>
      </c>
      <c r="D3003">
        <v>0.54891604524512805</v>
      </c>
      <c r="E3003">
        <v>0.50235286007638003</v>
      </c>
    </row>
    <row r="3004" spans="1:5" x14ac:dyDescent="0.2">
      <c r="A3004">
        <v>5.0068333333333298E-2</v>
      </c>
      <c r="B3004">
        <v>0.38635732145722801</v>
      </c>
      <c r="C3004">
        <v>0.33698218987661999</v>
      </c>
      <c r="D3004">
        <v>0.549024397299543</v>
      </c>
      <c r="E3004">
        <v>0.502438879070776</v>
      </c>
    </row>
    <row r="3005" spans="1:5" x14ac:dyDescent="0.2">
      <c r="A3005">
        <v>5.0101666666666697E-2</v>
      </c>
      <c r="B3005">
        <v>0.386439276371772</v>
      </c>
      <c r="C3005">
        <v>0.33706467394713902</v>
      </c>
      <c r="D3005">
        <v>0.54913262031176002</v>
      </c>
      <c r="E3005">
        <v>0.50252485013165205</v>
      </c>
    </row>
    <row r="3006" spans="1:5" x14ac:dyDescent="0.2">
      <c r="A3006">
        <v>5.0134999999999999E-2</v>
      </c>
      <c r="B3006">
        <v>0.386521099230478</v>
      </c>
      <c r="C3006">
        <v>0.33714703007457297</v>
      </c>
      <c r="D3006">
        <v>0.54924071410848796</v>
      </c>
      <c r="E3006">
        <v>0.502610773248239</v>
      </c>
    </row>
    <row r="3007" spans="1:5" x14ac:dyDescent="0.2">
      <c r="A3007">
        <v>5.0168333333333301E-2</v>
      </c>
      <c r="B3007">
        <v>0.38660279076800402</v>
      </c>
      <c r="C3007">
        <v>0.33722925660937397</v>
      </c>
      <c r="D3007">
        <v>0.54934867851643798</v>
      </c>
      <c r="E3007">
        <v>0.50269664840977102</v>
      </c>
    </row>
    <row r="3008" spans="1:5" x14ac:dyDescent="0.2">
      <c r="A3008">
        <v>5.02016666666667E-2</v>
      </c>
      <c r="B3008">
        <v>0.386684351719006</v>
      </c>
      <c r="C3008">
        <v>0.33731135190199402</v>
      </c>
      <c r="D3008">
        <v>0.54945651336232004</v>
      </c>
      <c r="E3008">
        <v>0.50278247560547995</v>
      </c>
    </row>
    <row r="3009" spans="1:5" x14ac:dyDescent="0.2">
      <c r="A3009">
        <v>5.0235000000000002E-2</v>
      </c>
      <c r="B3009">
        <v>0.38676578281814</v>
      </c>
      <c r="C3009">
        <v>0.33739331430288699</v>
      </c>
      <c r="D3009">
        <v>0.54956421847284398</v>
      </c>
      <c r="E3009">
        <v>0.50286825482459996</v>
      </c>
    </row>
    <row r="3010" spans="1:5" x14ac:dyDescent="0.2">
      <c r="A3010">
        <v>5.0268333333333297E-2</v>
      </c>
      <c r="B3010">
        <v>0.38684708480006302</v>
      </c>
      <c r="C3010">
        <v>0.33747514216250601</v>
      </c>
      <c r="D3010">
        <v>0.54967179367472097</v>
      </c>
      <c r="E3010">
        <v>0.50295398605636399</v>
      </c>
    </row>
    <row r="3011" spans="1:5" x14ac:dyDescent="0.2">
      <c r="A3011">
        <v>5.0301666666666703E-2</v>
      </c>
      <c r="B3011">
        <v>0.38692825839943101</v>
      </c>
      <c r="C3011">
        <v>0.33755683383130303</v>
      </c>
      <c r="D3011">
        <v>0.54977923879466095</v>
      </c>
      <c r="E3011">
        <v>0.50303966929000399</v>
      </c>
    </row>
    <row r="3012" spans="1:5" x14ac:dyDescent="0.2">
      <c r="A3012">
        <v>5.0334999999999998E-2</v>
      </c>
      <c r="B3012">
        <v>0.38700930435089997</v>
      </c>
      <c r="C3012">
        <v>0.33763838765973098</v>
      </c>
      <c r="D3012">
        <v>0.549886553659375</v>
      </c>
      <c r="E3012">
        <v>0.50312530451475301</v>
      </c>
    </row>
    <row r="3013" spans="1:5" x14ac:dyDescent="0.2">
      <c r="A3013">
        <v>5.03683333333333E-2</v>
      </c>
      <c r="B3013">
        <v>0.38709022338912602</v>
      </c>
      <c r="C3013">
        <v>0.33771980199824297</v>
      </c>
      <c r="D3013">
        <v>0.54999373809557195</v>
      </c>
      <c r="E3013">
        <v>0.50321089171984401</v>
      </c>
    </row>
    <row r="3014" spans="1:5" x14ac:dyDescent="0.2">
      <c r="A3014">
        <v>5.0401666666666699E-2</v>
      </c>
      <c r="B3014">
        <v>0.38717101624876599</v>
      </c>
      <c r="C3014">
        <v>0.33780107519729102</v>
      </c>
      <c r="D3014">
        <v>0.55010079192996197</v>
      </c>
      <c r="E3014">
        <v>0.50329643089451104</v>
      </c>
    </row>
    <row r="3015" spans="1:5" x14ac:dyDescent="0.2">
      <c r="A3015">
        <v>5.0435000000000001E-2</v>
      </c>
      <c r="B3015">
        <v>0.38725168366447599</v>
      </c>
      <c r="C3015">
        <v>0.33788220560732901</v>
      </c>
      <c r="D3015">
        <v>0.55020771498925802</v>
      </c>
      <c r="E3015">
        <v>0.50338192202798504</v>
      </c>
    </row>
    <row r="3016" spans="1:5" x14ac:dyDescent="0.2">
      <c r="A3016">
        <v>5.0468333333333303E-2</v>
      </c>
      <c r="B3016">
        <v>0.38733222637091302</v>
      </c>
      <c r="C3016">
        <v>0.337963191578809</v>
      </c>
      <c r="D3016">
        <v>0.55031450710016705</v>
      </c>
      <c r="E3016">
        <v>0.50346736510950096</v>
      </c>
    </row>
    <row r="3017" spans="1:5" x14ac:dyDescent="0.2">
      <c r="A3017">
        <v>5.0501666666666702E-2</v>
      </c>
      <c r="B3017">
        <v>0.38741264510273199</v>
      </c>
      <c r="C3017">
        <v>0.33804403146218398</v>
      </c>
      <c r="D3017">
        <v>0.550421168089402</v>
      </c>
      <c r="E3017">
        <v>0.50355276012828998</v>
      </c>
    </row>
    <row r="3018" spans="1:5" x14ac:dyDescent="0.2">
      <c r="A3018">
        <v>5.0534999999999997E-2</v>
      </c>
      <c r="B3018">
        <v>0.38749294059459</v>
      </c>
      <c r="C3018">
        <v>0.33812472360790602</v>
      </c>
      <c r="D3018">
        <v>0.55052769778367205</v>
      </c>
      <c r="E3018">
        <v>0.50363810707358603</v>
      </c>
    </row>
    <row r="3019" spans="1:5" x14ac:dyDescent="0.2">
      <c r="A3019">
        <v>5.0568333333333298E-2</v>
      </c>
      <c r="B3019">
        <v>0.38757311358114399</v>
      </c>
      <c r="C3019">
        <v>0.338205266366429</v>
      </c>
      <c r="D3019">
        <v>0.55063409600968705</v>
      </c>
      <c r="E3019">
        <v>0.50372340593462195</v>
      </c>
    </row>
    <row r="3020" spans="1:5" x14ac:dyDescent="0.2">
      <c r="A3020">
        <v>5.0601666666666698E-2</v>
      </c>
      <c r="B3020">
        <v>0.38765316479704898</v>
      </c>
      <c r="C3020">
        <v>0.33828565808820599</v>
      </c>
      <c r="D3020">
        <v>0.55074036259415804</v>
      </c>
      <c r="E3020">
        <v>0.50380865670063002</v>
      </c>
    </row>
    <row r="3021" spans="1:5" x14ac:dyDescent="0.2">
      <c r="A3021">
        <v>5.0634999999999999E-2</v>
      </c>
      <c r="B3021">
        <v>0.38773309497696201</v>
      </c>
      <c r="C3021">
        <v>0.33836589712368798</v>
      </c>
      <c r="D3021">
        <v>0.55084649736379498</v>
      </c>
      <c r="E3021">
        <v>0.50389385936084397</v>
      </c>
    </row>
    <row r="3022" spans="1:5" x14ac:dyDescent="0.2">
      <c r="A3022">
        <v>5.0668333333333301E-2</v>
      </c>
      <c r="B3022">
        <v>0.38781290485553899</v>
      </c>
      <c r="C3022">
        <v>0.33844598182333002</v>
      </c>
      <c r="D3022">
        <v>0.55095250014530905</v>
      </c>
      <c r="E3022">
        <v>0.50397901390449695</v>
      </c>
    </row>
    <row r="3023" spans="1:5" x14ac:dyDescent="0.2">
      <c r="A3023">
        <v>5.07016666666667E-2</v>
      </c>
      <c r="B3023">
        <v>0.38789259516743702</v>
      </c>
      <c r="C3023">
        <v>0.33852591053758302</v>
      </c>
      <c r="D3023">
        <v>0.55105837076540898</v>
      </c>
      <c r="E3023">
        <v>0.50406412032082004</v>
      </c>
    </row>
    <row r="3024" spans="1:5" x14ac:dyDescent="0.2">
      <c r="A3024">
        <v>5.0735000000000002E-2</v>
      </c>
      <c r="B3024">
        <v>0.38797216664731099</v>
      </c>
      <c r="C3024">
        <v>0.33860568161690102</v>
      </c>
      <c r="D3024">
        <v>0.55116410905080704</v>
      </c>
      <c r="E3024">
        <v>0.50414917859904895</v>
      </c>
    </row>
    <row r="3025" spans="1:5" x14ac:dyDescent="0.2">
      <c r="A3025">
        <v>5.0768333333333297E-2</v>
      </c>
      <c r="B3025">
        <v>0.38805162002981902</v>
      </c>
      <c r="C3025">
        <v>0.33868529341173598</v>
      </c>
      <c r="D3025">
        <v>0.55126971482821097</v>
      </c>
      <c r="E3025">
        <v>0.50423418872841397</v>
      </c>
    </row>
    <row r="3026" spans="1:5" x14ac:dyDescent="0.2">
      <c r="A3026">
        <v>5.0801666666666703E-2</v>
      </c>
      <c r="B3026">
        <v>0.388130956049616</v>
      </c>
      <c r="C3026">
        <v>0.338764744272541</v>
      </c>
      <c r="D3026">
        <v>0.55137518792433404</v>
      </c>
      <c r="E3026">
        <v>0.50431915069814903</v>
      </c>
    </row>
    <row r="3027" spans="1:5" x14ac:dyDescent="0.2">
      <c r="A3027">
        <v>5.0834999999999998E-2</v>
      </c>
      <c r="B3027">
        <v>0.388210175441359</v>
      </c>
      <c r="C3027">
        <v>0.33884403254976903</v>
      </c>
      <c r="D3027">
        <v>0.551480528165884</v>
      </c>
      <c r="E3027">
        <v>0.50440406449748698</v>
      </c>
    </row>
    <row r="3028" spans="1:5" x14ac:dyDescent="0.2">
      <c r="A3028">
        <v>5.08683333333333E-2</v>
      </c>
      <c r="B3028">
        <v>0.388289278939704</v>
      </c>
      <c r="C3028">
        <v>0.33892315659387201</v>
      </c>
      <c r="D3028">
        <v>0.55158573537957301</v>
      </c>
      <c r="E3028">
        <v>0.50448893011566198</v>
      </c>
    </row>
    <row r="3029" spans="1:5" x14ac:dyDescent="0.2">
      <c r="A3029">
        <v>5.0901666666666699E-2</v>
      </c>
      <c r="B3029">
        <v>0.38836826727930801</v>
      </c>
      <c r="C3029">
        <v>0.33900211475530401</v>
      </c>
      <c r="D3029">
        <v>0.55169080939211101</v>
      </c>
      <c r="E3029">
        <v>0.50457374754190498</v>
      </c>
    </row>
    <row r="3030" spans="1:5" x14ac:dyDescent="0.2">
      <c r="A3030">
        <v>5.0935000000000001E-2</v>
      </c>
      <c r="B3030">
        <v>0.38844714119482598</v>
      </c>
      <c r="C3030">
        <v>0.33908090538451702</v>
      </c>
      <c r="D3030">
        <v>0.55179575003020698</v>
      </c>
      <c r="E3030">
        <v>0.50465851676544904</v>
      </c>
    </row>
    <row r="3031" spans="1:5" x14ac:dyDescent="0.2">
      <c r="A3031">
        <v>5.0968333333333303E-2</v>
      </c>
      <c r="B3031">
        <v>0.38852590142091498</v>
      </c>
      <c r="C3031">
        <v>0.33915952683196399</v>
      </c>
      <c r="D3031">
        <v>0.55190055712057295</v>
      </c>
      <c r="E3031">
        <v>0.50474323777552899</v>
      </c>
    </row>
    <row r="3032" spans="1:5" x14ac:dyDescent="0.2">
      <c r="A3032">
        <v>5.1001666666666702E-2</v>
      </c>
      <c r="B3032">
        <v>0.38860454869226801</v>
      </c>
      <c r="C3032">
        <v>0.33923797744828399</v>
      </c>
      <c r="D3032">
        <v>0.552005230489925</v>
      </c>
      <c r="E3032">
        <v>0.50482791056137599</v>
      </c>
    </row>
    <row r="3033" spans="1:5" x14ac:dyDescent="0.2">
      <c r="A3033">
        <v>5.1034999999999997E-2</v>
      </c>
      <c r="B3033">
        <v>0.38868308408715302</v>
      </c>
      <c r="C3033">
        <v>0.33931625730193299</v>
      </c>
      <c r="D3033">
        <v>0.55210977002946604</v>
      </c>
      <c r="E3033">
        <v>0.504912535112224</v>
      </c>
    </row>
    <row r="3034" spans="1:5" x14ac:dyDescent="0.2">
      <c r="A3034">
        <v>5.1068333333333299E-2</v>
      </c>
      <c r="B3034">
        <v>0.38876150986717101</v>
      </c>
      <c r="C3034">
        <v>0.339394372377887</v>
      </c>
      <c r="D3034">
        <v>0.55221417585250199</v>
      </c>
      <c r="E3034">
        <v>0.50499711141730497</v>
      </c>
    </row>
    <row r="3035" spans="1:5" x14ac:dyDescent="0.2">
      <c r="A3035">
        <v>5.1101666666666698E-2</v>
      </c>
      <c r="B3035">
        <v>0.38883982854849902</v>
      </c>
      <c r="C3035">
        <v>0.33947232993394599</v>
      </c>
      <c r="D3035">
        <v>0.55231844812011599</v>
      </c>
      <c r="E3035">
        <v>0.50508163946585205</v>
      </c>
    </row>
    <row r="3036" spans="1:5" x14ac:dyDescent="0.2">
      <c r="A3036">
        <v>5.1135E-2</v>
      </c>
      <c r="B3036">
        <v>0.388918042647309</v>
      </c>
      <c r="C3036">
        <v>0.339550137227907</v>
      </c>
      <c r="D3036">
        <v>0.55242258699339497</v>
      </c>
      <c r="E3036">
        <v>0.50516611924709898</v>
      </c>
    </row>
    <row r="3037" spans="1:5" x14ac:dyDescent="0.2">
      <c r="A3037">
        <v>5.1168333333333302E-2</v>
      </c>
      <c r="B3037">
        <v>0.388996154679777</v>
      </c>
      <c r="C3037">
        <v>0.33962780151757099</v>
      </c>
      <c r="D3037">
        <v>0.55252659263342396</v>
      </c>
      <c r="E3037">
        <v>0.50525055075027803</v>
      </c>
    </row>
    <row r="3038" spans="1:5" x14ac:dyDescent="0.2">
      <c r="A3038">
        <v>5.1201666666666701E-2</v>
      </c>
      <c r="B3038">
        <v>0.38907416716207699</v>
      </c>
      <c r="C3038">
        <v>0.339705330060734</v>
      </c>
      <c r="D3038">
        <v>0.552630465201287</v>
      </c>
      <c r="E3038">
        <v>0.50533493396462204</v>
      </c>
    </row>
    <row r="3039" spans="1:5" x14ac:dyDescent="0.2">
      <c r="A3039">
        <v>5.1235000000000003E-2</v>
      </c>
      <c r="B3039">
        <v>0.38915208261038498</v>
      </c>
      <c r="C3039">
        <v>0.339782730115197</v>
      </c>
      <c r="D3039">
        <v>0.55273420485807001</v>
      </c>
      <c r="E3039">
        <v>0.50541926887936395</v>
      </c>
    </row>
    <row r="3040" spans="1:5" x14ac:dyDescent="0.2">
      <c r="A3040">
        <v>5.1268333333333298E-2</v>
      </c>
      <c r="B3040">
        <v>0.389229903540874</v>
      </c>
      <c r="C3040">
        <v>0.33986000893875701</v>
      </c>
      <c r="D3040">
        <v>0.55283781176485802</v>
      </c>
      <c r="E3040">
        <v>0.50550355548373704</v>
      </c>
    </row>
    <row r="3041" spans="1:5" x14ac:dyDescent="0.2">
      <c r="A3041">
        <v>5.1301666666666697E-2</v>
      </c>
      <c r="B3041">
        <v>0.389307632469718</v>
      </c>
      <c r="C3041">
        <v>0.33993717378921401</v>
      </c>
      <c r="D3041">
        <v>0.55294128608273696</v>
      </c>
      <c r="E3041">
        <v>0.50558779376697305</v>
      </c>
    </row>
    <row r="3042" spans="1:5" x14ac:dyDescent="0.2">
      <c r="A3042">
        <v>5.1334999999999999E-2</v>
      </c>
      <c r="B3042">
        <v>0.38938527191309402</v>
      </c>
      <c r="C3042">
        <v>0.34001423192436597</v>
      </c>
      <c r="D3042">
        <v>0.55304462797279197</v>
      </c>
      <c r="E3042">
        <v>0.50567198371830702</v>
      </c>
    </row>
    <row r="3043" spans="1:5" x14ac:dyDescent="0.2">
      <c r="A3043">
        <v>5.1368333333333301E-2</v>
      </c>
      <c r="B3043">
        <v>0.389462824387174</v>
      </c>
      <c r="C3043">
        <v>0.34009119060201098</v>
      </c>
      <c r="D3043">
        <v>0.55314783759610697</v>
      </c>
      <c r="E3043">
        <v>0.50575612532697001</v>
      </c>
    </row>
    <row r="3044" spans="1:5" x14ac:dyDescent="0.2">
      <c r="A3044">
        <v>5.14016666666667E-2</v>
      </c>
      <c r="B3044">
        <v>0.38954029240813398</v>
      </c>
      <c r="C3044">
        <v>0.34016805707994902</v>
      </c>
      <c r="D3044">
        <v>0.553250915113769</v>
      </c>
      <c r="E3044">
        <v>0.50584021858219597</v>
      </c>
    </row>
    <row r="3045" spans="1:5" x14ac:dyDescent="0.2">
      <c r="A3045">
        <v>5.1435000000000002E-2</v>
      </c>
      <c r="B3045">
        <v>0.38961767849214801</v>
      </c>
      <c r="C3045">
        <v>0.34024483861597798</v>
      </c>
      <c r="D3045">
        <v>0.55335386068686199</v>
      </c>
      <c r="E3045">
        <v>0.50592426347321695</v>
      </c>
    </row>
    <row r="3046" spans="1:5" x14ac:dyDescent="0.2">
      <c r="A3046">
        <v>5.1468333333333303E-2</v>
      </c>
      <c r="B3046">
        <v>0.38969498515539203</v>
      </c>
      <c r="C3046">
        <v>0.34032154246789698</v>
      </c>
      <c r="D3046">
        <v>0.55345667447647096</v>
      </c>
      <c r="E3046">
        <v>0.50600825998926702</v>
      </c>
    </row>
    <row r="3047" spans="1:5" x14ac:dyDescent="0.2">
      <c r="A3047">
        <v>5.1501666666666703E-2</v>
      </c>
      <c r="B3047">
        <v>0.38977221491403802</v>
      </c>
      <c r="C3047">
        <v>0.34039817589350402</v>
      </c>
      <c r="D3047">
        <v>0.55355935664368305</v>
      </c>
      <c r="E3047">
        <v>0.506092208119578</v>
      </c>
    </row>
    <row r="3048" spans="1:5" x14ac:dyDescent="0.2">
      <c r="A3048">
        <v>5.1534999999999997E-2</v>
      </c>
      <c r="B3048">
        <v>0.38984937028426297</v>
      </c>
      <c r="C3048">
        <v>0.34047474615059897</v>
      </c>
      <c r="D3048">
        <v>0.55366190734958098</v>
      </c>
      <c r="E3048">
        <v>0.50617610785338296</v>
      </c>
    </row>
    <row r="3049" spans="1:5" x14ac:dyDescent="0.2">
      <c r="A3049">
        <v>5.1568333333333299E-2</v>
      </c>
      <c r="B3049">
        <v>0.38992645378224</v>
      </c>
      <c r="C3049">
        <v>0.34055126049697998</v>
      </c>
      <c r="D3049">
        <v>0.553764326755252</v>
      </c>
      <c r="E3049">
        <v>0.50625995917991495</v>
      </c>
    </row>
    <row r="3050" spans="1:5" x14ac:dyDescent="0.2">
      <c r="A3050">
        <v>5.1601666666666698E-2</v>
      </c>
      <c r="B3050">
        <v>0.39000346792414398</v>
      </c>
      <c r="C3050">
        <v>0.34062772619044501</v>
      </c>
      <c r="D3050">
        <v>0.55386661502178003</v>
      </c>
      <c r="E3050">
        <v>0.50634376208840803</v>
      </c>
    </row>
    <row r="3051" spans="1:5" x14ac:dyDescent="0.2">
      <c r="A3051">
        <v>5.1635E-2</v>
      </c>
      <c r="B3051">
        <v>0.390080415226149</v>
      </c>
      <c r="C3051">
        <v>0.34070415048879299</v>
      </c>
      <c r="D3051">
        <v>0.55396877231025199</v>
      </c>
      <c r="E3051">
        <v>0.50642751656809304</v>
      </c>
    </row>
    <row r="3052" spans="1:5" x14ac:dyDescent="0.2">
      <c r="A3052">
        <v>5.1668333333333302E-2</v>
      </c>
      <c r="B3052">
        <v>0.39015729820443101</v>
      </c>
      <c r="C3052">
        <v>0.34078054064982399</v>
      </c>
      <c r="D3052">
        <v>0.55407079878175103</v>
      </c>
      <c r="E3052">
        <v>0.50651122260820503</v>
      </c>
    </row>
    <row r="3053" spans="1:5" x14ac:dyDescent="0.2">
      <c r="A3053">
        <v>5.1701666666666701E-2</v>
      </c>
      <c r="B3053">
        <v>0.390234119375164</v>
      </c>
      <c r="C3053">
        <v>0.340856903931335</v>
      </c>
      <c r="D3053">
        <v>0.55417269459736296</v>
      </c>
      <c r="E3053">
        <v>0.50659488019797505</v>
      </c>
    </row>
    <row r="3054" spans="1:5" x14ac:dyDescent="0.2">
      <c r="A3054">
        <v>5.1735000000000003E-2</v>
      </c>
      <c r="B3054">
        <v>0.39031088125452101</v>
      </c>
      <c r="C3054">
        <v>0.34093324759112498</v>
      </c>
      <c r="D3054">
        <v>0.55427445991817403</v>
      </c>
      <c r="E3054">
        <v>0.50667848932663695</v>
      </c>
    </row>
    <row r="3055" spans="1:5" x14ac:dyDescent="0.2">
      <c r="A3055">
        <v>5.1768333333333298E-2</v>
      </c>
      <c r="B3055">
        <v>0.39038758635867898</v>
      </c>
      <c r="C3055">
        <v>0.34100957888699301</v>
      </c>
      <c r="D3055">
        <v>0.55437609490526796</v>
      </c>
      <c r="E3055">
        <v>0.506762049983423</v>
      </c>
    </row>
    <row r="3056" spans="1:5" x14ac:dyDescent="0.2">
      <c r="A3056">
        <v>5.1801666666666697E-2</v>
      </c>
      <c r="B3056">
        <v>0.39046423720381102</v>
      </c>
      <c r="C3056">
        <v>0.34108590507673803</v>
      </c>
      <c r="D3056">
        <v>0.55447759971973198</v>
      </c>
      <c r="E3056">
        <v>0.50684556215756704</v>
      </c>
    </row>
    <row r="3057" spans="1:5" x14ac:dyDescent="0.2">
      <c r="A3057">
        <v>5.1834999999999999E-2</v>
      </c>
      <c r="B3057">
        <v>0.39054083630609299</v>
      </c>
      <c r="C3057">
        <v>0.34116223341815899</v>
      </c>
      <c r="D3057">
        <v>0.55457897452264904</v>
      </c>
      <c r="E3057">
        <v>0.50692902583830202</v>
      </c>
    </row>
    <row r="3058" spans="1:5" x14ac:dyDescent="0.2">
      <c r="A3058">
        <v>5.1868333333333301E-2</v>
      </c>
      <c r="B3058">
        <v>0.390617386181697</v>
      </c>
      <c r="C3058">
        <v>0.34123857116905398</v>
      </c>
      <c r="D3058">
        <v>0.55468021947510604</v>
      </c>
      <c r="E3058">
        <v>0.50701244101485998</v>
      </c>
    </row>
    <row r="3059" spans="1:5" x14ac:dyDescent="0.2">
      <c r="A3059">
        <v>5.19016666666667E-2</v>
      </c>
      <c r="B3059">
        <v>0.39069388934679999</v>
      </c>
      <c r="C3059">
        <v>0.34131492558722099</v>
      </c>
      <c r="D3059">
        <v>0.55478133473818803</v>
      </c>
      <c r="E3059">
        <v>0.507095807676474</v>
      </c>
    </row>
    <row r="3060" spans="1:5" x14ac:dyDescent="0.2">
      <c r="A3060">
        <v>5.1935000000000002E-2</v>
      </c>
      <c r="B3060">
        <v>0.39077034831757601</v>
      </c>
      <c r="C3060">
        <v>0.34139130393046002</v>
      </c>
      <c r="D3060">
        <v>0.55488232047297903</v>
      </c>
      <c r="E3060">
        <v>0.50717912581237801</v>
      </c>
    </row>
    <row r="3061" spans="1:5" x14ac:dyDescent="0.2">
      <c r="A3061">
        <v>5.1968333333333297E-2</v>
      </c>
      <c r="B3061">
        <v>0.39084676561019799</v>
      </c>
      <c r="C3061">
        <v>0.34146771345656901</v>
      </c>
      <c r="D3061">
        <v>0.55498317684056597</v>
      </c>
      <c r="E3061">
        <v>0.50726239541180396</v>
      </c>
    </row>
    <row r="3062" spans="1:5" x14ac:dyDescent="0.2">
      <c r="A3062">
        <v>5.2001666666666703E-2</v>
      </c>
      <c r="B3062">
        <v>0.39092314374084303</v>
      </c>
      <c r="C3062">
        <v>0.34154416142315802</v>
      </c>
      <c r="D3062">
        <v>0.555083904002033</v>
      </c>
      <c r="E3062">
        <v>0.50734561646398402</v>
      </c>
    </row>
    <row r="3063" spans="1:5" x14ac:dyDescent="0.2">
      <c r="A3063">
        <v>5.2034999999999998E-2</v>
      </c>
      <c r="B3063">
        <v>0.39099948522568401</v>
      </c>
      <c r="C3063">
        <v>0.34162065333924901</v>
      </c>
      <c r="D3063">
        <v>0.55518450211846504</v>
      </c>
      <c r="E3063">
        <v>0.50742878895815302</v>
      </c>
    </row>
    <row r="3064" spans="1:5" x14ac:dyDescent="0.2">
      <c r="A3064">
        <v>5.20683333333333E-2</v>
      </c>
      <c r="B3064">
        <v>0.39107579258089598</v>
      </c>
      <c r="C3064">
        <v>0.341697188691368</v>
      </c>
      <c r="D3064">
        <v>0.55528497135094801</v>
      </c>
      <c r="E3064">
        <v>0.50751191288354303</v>
      </c>
    </row>
    <row r="3065" spans="1:5" x14ac:dyDescent="0.2">
      <c r="A3065">
        <v>5.2101666666666699E-2</v>
      </c>
      <c r="B3065">
        <v>0.39115206832265298</v>
      </c>
      <c r="C3065">
        <v>0.34177376567042</v>
      </c>
      <c r="D3065">
        <v>0.55538531186056705</v>
      </c>
      <c r="E3065">
        <v>0.50759498822938598</v>
      </c>
    </row>
    <row r="3066" spans="1:5" x14ac:dyDescent="0.2">
      <c r="A3066">
        <v>5.2135000000000001E-2</v>
      </c>
      <c r="B3066">
        <v>0.39122831496713001</v>
      </c>
      <c r="C3066">
        <v>0.34185038246731198</v>
      </c>
      <c r="D3066">
        <v>0.55548552380840699</v>
      </c>
      <c r="E3066">
        <v>0.50767801498491705</v>
      </c>
    </row>
    <row r="3067" spans="1:5" x14ac:dyDescent="0.2">
      <c r="A3067">
        <v>5.2168333333333303E-2</v>
      </c>
      <c r="B3067">
        <v>0.391304535030502</v>
      </c>
      <c r="C3067">
        <v>0.34192703727294799</v>
      </c>
      <c r="D3067">
        <v>0.55558560735555396</v>
      </c>
      <c r="E3067">
        <v>0.50776099313936596</v>
      </c>
    </row>
    <row r="3068" spans="1:5" x14ac:dyDescent="0.2">
      <c r="A3068">
        <v>5.2201666666666702E-2</v>
      </c>
      <c r="B3068">
        <v>0.391380731028943</v>
      </c>
      <c r="C3068">
        <v>0.342003728278234</v>
      </c>
      <c r="D3068">
        <v>0.55568556266309199</v>
      </c>
      <c r="E3068">
        <v>0.50784392268196898</v>
      </c>
    </row>
    <row r="3069" spans="1:5" x14ac:dyDescent="0.2">
      <c r="A3069">
        <v>5.2234999999999997E-2</v>
      </c>
      <c r="B3069">
        <v>0.39145690547862799</v>
      </c>
      <c r="C3069">
        <v>0.34208045367407502</v>
      </c>
      <c r="D3069">
        <v>0.55578538989210702</v>
      </c>
      <c r="E3069">
        <v>0.50792680360195697</v>
      </c>
    </row>
    <row r="3070" spans="1:5" x14ac:dyDescent="0.2">
      <c r="A3070">
        <v>5.2268333333333299E-2</v>
      </c>
      <c r="B3070">
        <v>0.39153306089573198</v>
      </c>
      <c r="C3070">
        <v>0.34215721165137702</v>
      </c>
      <c r="D3070">
        <v>0.55588508920368496</v>
      </c>
      <c r="E3070">
        <v>0.50800963588856296</v>
      </c>
    </row>
    <row r="3071" spans="1:5" x14ac:dyDescent="0.2">
      <c r="A3071">
        <v>5.2301666666666698E-2</v>
      </c>
      <c r="B3071">
        <v>0.391609199796428</v>
      </c>
      <c r="C3071">
        <v>0.34223400040104501</v>
      </c>
      <c r="D3071">
        <v>0.55598466075890995</v>
      </c>
      <c r="E3071">
        <v>0.50809241953102002</v>
      </c>
    </row>
    <row r="3072" spans="1:5" x14ac:dyDescent="0.2">
      <c r="A3072">
        <v>5.2335E-2</v>
      </c>
      <c r="B3072">
        <v>0.39168532469689099</v>
      </c>
      <c r="C3072">
        <v>0.34231081811398401</v>
      </c>
      <c r="D3072">
        <v>0.55608410471886704</v>
      </c>
      <c r="E3072">
        <v>0.50817515451856199</v>
      </c>
    </row>
    <row r="3073" spans="1:5" x14ac:dyDescent="0.2">
      <c r="A3073">
        <v>5.2368333333333301E-2</v>
      </c>
      <c r="B3073">
        <v>0.391761438113297</v>
      </c>
      <c r="C3073">
        <v>0.34238766298110002</v>
      </c>
      <c r="D3073">
        <v>0.55618342124464204</v>
      </c>
      <c r="E3073">
        <v>0.50825784084042103</v>
      </c>
    </row>
    <row r="3074" spans="1:5" x14ac:dyDescent="0.2">
      <c r="A3074">
        <v>5.2401666666666701E-2</v>
      </c>
      <c r="B3074">
        <v>0.39183754256181802</v>
      </c>
      <c r="C3074">
        <v>0.342464533193298</v>
      </c>
      <c r="D3074">
        <v>0.55628261049732097</v>
      </c>
      <c r="E3074">
        <v>0.50834047848582997</v>
      </c>
    </row>
    <row r="3075" spans="1:5" x14ac:dyDescent="0.2">
      <c r="A3075">
        <v>5.2435000000000002E-2</v>
      </c>
      <c r="B3075">
        <v>0.39191364055863198</v>
      </c>
      <c r="C3075">
        <v>0.34254142694148298</v>
      </c>
      <c r="D3075">
        <v>0.55638167263798699</v>
      </c>
      <c r="E3075">
        <v>0.50842306744402199</v>
      </c>
    </row>
    <row r="3076" spans="1:5" x14ac:dyDescent="0.2">
      <c r="A3076">
        <v>5.2468333333333297E-2</v>
      </c>
      <c r="B3076">
        <v>0.39198973461990999</v>
      </c>
      <c r="C3076">
        <v>0.34261834241656203</v>
      </c>
      <c r="D3076">
        <v>0.55648060782772701</v>
      </c>
      <c r="E3076">
        <v>0.50850560770423003</v>
      </c>
    </row>
    <row r="3077" spans="1:5" x14ac:dyDescent="0.2">
      <c r="A3077">
        <v>5.2501666666666703E-2</v>
      </c>
      <c r="B3077">
        <v>0.39206582726182898</v>
      </c>
      <c r="C3077">
        <v>0.34269527780943898</v>
      </c>
      <c r="D3077">
        <v>0.55657941622762597</v>
      </c>
      <c r="E3077">
        <v>0.50858809925568604</v>
      </c>
    </row>
    <row r="3078" spans="1:5" x14ac:dyDescent="0.2">
      <c r="A3078">
        <v>5.2534999999999998E-2</v>
      </c>
      <c r="B3078">
        <v>0.392141921000563</v>
      </c>
      <c r="C3078">
        <v>0.34277223131101903</v>
      </c>
      <c r="D3078">
        <v>0.55667809799876899</v>
      </c>
      <c r="E3078">
        <v>0.50867054208762497</v>
      </c>
    </row>
    <row r="3079" spans="1:5" x14ac:dyDescent="0.2">
      <c r="A3079">
        <v>5.25683333333333E-2</v>
      </c>
      <c r="B3079">
        <v>0.39221801835228598</v>
      </c>
      <c r="C3079">
        <v>0.34284920111220901</v>
      </c>
      <c r="D3079">
        <v>0.55677665330224102</v>
      </c>
      <c r="E3079">
        <v>0.50875293618927797</v>
      </c>
    </row>
    <row r="3080" spans="1:5" x14ac:dyDescent="0.2">
      <c r="A3080">
        <v>5.2601666666666699E-2</v>
      </c>
      <c r="B3080">
        <v>0.39229412183317303</v>
      </c>
      <c r="C3080">
        <v>0.34292618540391301</v>
      </c>
      <c r="D3080">
        <v>0.55687508229912797</v>
      </c>
      <c r="E3080">
        <v>0.508835281549878</v>
      </c>
    </row>
    <row r="3081" spans="1:5" x14ac:dyDescent="0.2">
      <c r="A3081">
        <v>5.2635000000000001E-2</v>
      </c>
      <c r="B3081">
        <v>0.39237023395939902</v>
      </c>
      <c r="C3081">
        <v>0.34300318237703697</v>
      </c>
      <c r="D3081">
        <v>0.55697338515051398</v>
      </c>
      <c r="E3081">
        <v>0.50891757815865901</v>
      </c>
    </row>
    <row r="3082" spans="1:5" x14ac:dyDescent="0.2">
      <c r="A3082">
        <v>5.2668333333333303E-2</v>
      </c>
      <c r="B3082">
        <v>0.392446357247138</v>
      </c>
      <c r="C3082">
        <v>0.34308019022248698</v>
      </c>
      <c r="D3082">
        <v>0.55707156201748498</v>
      </c>
      <c r="E3082">
        <v>0.50899982600485305</v>
      </c>
    </row>
    <row r="3083" spans="1:5" x14ac:dyDescent="0.2">
      <c r="A3083">
        <v>5.2701666666666702E-2</v>
      </c>
      <c r="B3083">
        <v>0.39252249421256402</v>
      </c>
      <c r="C3083">
        <v>0.34315720713116699</v>
      </c>
      <c r="D3083">
        <v>0.557169613061126</v>
      </c>
      <c r="E3083">
        <v>0.50908202507769396</v>
      </c>
    </row>
    <row r="3084" spans="1:5" x14ac:dyDescent="0.2">
      <c r="A3084">
        <v>5.2734999999999997E-2</v>
      </c>
      <c r="B3084">
        <v>0.39259864737185202</v>
      </c>
      <c r="C3084">
        <v>0.34323423129398301</v>
      </c>
      <c r="D3084">
        <v>0.55726753844252297</v>
      </c>
      <c r="E3084">
        <v>0.50916417536641401</v>
      </c>
    </row>
    <row r="3085" spans="1:5" x14ac:dyDescent="0.2">
      <c r="A3085">
        <v>5.2768333333333299E-2</v>
      </c>
      <c r="B3085">
        <v>0.39267481924117698</v>
      </c>
      <c r="C3085">
        <v>0.34331126090184</v>
      </c>
      <c r="D3085">
        <v>0.55736533832276003</v>
      </c>
      <c r="E3085">
        <v>0.50924627686024604</v>
      </c>
    </row>
    <row r="3086" spans="1:5" x14ac:dyDescent="0.2">
      <c r="A3086">
        <v>5.2801666666666698E-2</v>
      </c>
      <c r="B3086">
        <v>0.392751012336714</v>
      </c>
      <c r="C3086">
        <v>0.34338829414564398</v>
      </c>
      <c r="D3086">
        <v>0.55746301286292299</v>
      </c>
      <c r="E3086">
        <v>0.509328329548423</v>
      </c>
    </row>
    <row r="3087" spans="1:5" x14ac:dyDescent="0.2">
      <c r="A3087">
        <v>5.2835E-2</v>
      </c>
      <c r="B3087">
        <v>0.39282722917463597</v>
      </c>
      <c r="C3087">
        <v>0.34346532921630102</v>
      </c>
      <c r="D3087">
        <v>0.557560562224097</v>
      </c>
      <c r="E3087">
        <v>0.50941033342017805</v>
      </c>
    </row>
    <row r="3088" spans="1:5" x14ac:dyDescent="0.2">
      <c r="A3088">
        <v>5.2868333333333302E-2</v>
      </c>
      <c r="B3088">
        <v>0.39290347227111799</v>
      </c>
      <c r="C3088">
        <v>0.34354236430471502</v>
      </c>
      <c r="D3088">
        <v>0.55765798656736698</v>
      </c>
      <c r="E3088">
        <v>0.50949228846474304</v>
      </c>
    </row>
    <row r="3089" spans="1:5" x14ac:dyDescent="0.2">
      <c r="A3089">
        <v>5.2901666666666701E-2</v>
      </c>
      <c r="B3089">
        <v>0.392979744142336</v>
      </c>
      <c r="C3089">
        <v>0.343619397601792</v>
      </c>
      <c r="D3089">
        <v>0.55775528605381897</v>
      </c>
      <c r="E3089">
        <v>0.50957419467135301</v>
      </c>
    </row>
    <row r="3090" spans="1:5" x14ac:dyDescent="0.2">
      <c r="A3090">
        <v>5.2935000000000003E-2</v>
      </c>
      <c r="B3090">
        <v>0.39305604730446297</v>
      </c>
      <c r="C3090">
        <v>0.34369642729843702</v>
      </c>
      <c r="D3090">
        <v>0.55785246084453699</v>
      </c>
      <c r="E3090">
        <v>0.50965605202923903</v>
      </c>
    </row>
    <row r="3091" spans="1:5" x14ac:dyDescent="0.2">
      <c r="A3091">
        <v>5.2968333333333298E-2</v>
      </c>
      <c r="B3091">
        <v>0.39313238427367397</v>
      </c>
      <c r="C3091">
        <v>0.343773451585556</v>
      </c>
      <c r="D3091">
        <v>0.55794951110060798</v>
      </c>
      <c r="E3091">
        <v>0.50973786052763503</v>
      </c>
    </row>
    <row r="3092" spans="1:5" x14ac:dyDescent="0.2">
      <c r="A3092">
        <v>5.3001666666666697E-2</v>
      </c>
      <c r="B3092">
        <v>0.39320875756606</v>
      </c>
      <c r="C3092">
        <v>0.34385046865409702</v>
      </c>
      <c r="D3092">
        <v>0.55804643698311596</v>
      </c>
      <c r="E3092">
        <v>0.50981962015577398</v>
      </c>
    </row>
    <row r="3093" spans="1:5" x14ac:dyDescent="0.2">
      <c r="A3093">
        <v>5.3034999999999999E-2</v>
      </c>
      <c r="B3093">
        <v>0.39328516891362603</v>
      </c>
      <c r="C3093">
        <v>0.34392747708593902</v>
      </c>
      <c r="D3093">
        <v>0.55814323865314597</v>
      </c>
      <c r="E3093">
        <v>0.50990133090288703</v>
      </c>
    </row>
    <row r="3094" spans="1:5" x14ac:dyDescent="0.2">
      <c r="A3094">
        <v>5.3068333333333301E-2</v>
      </c>
      <c r="B3094">
        <v>0.39336161734784197</v>
      </c>
      <c r="C3094">
        <v>0.34400447680941298</v>
      </c>
      <c r="D3094">
        <v>0.55823991627178404</v>
      </c>
      <c r="E3094">
        <v>0.50998299275821002</v>
      </c>
    </row>
    <row r="3095" spans="1:5" x14ac:dyDescent="0.2">
      <c r="A3095">
        <v>5.31016666666667E-2</v>
      </c>
      <c r="B3095">
        <v>0.39343810131920698</v>
      </c>
      <c r="C3095">
        <v>0.344081468042512</v>
      </c>
      <c r="D3095">
        <v>0.55833647000011399</v>
      </c>
      <c r="E3095">
        <v>0.51006460571097301</v>
      </c>
    </row>
    <row r="3096" spans="1:5" x14ac:dyDescent="0.2">
      <c r="A3096">
        <v>5.3135000000000002E-2</v>
      </c>
      <c r="B3096">
        <v>0.39351461927822101</v>
      </c>
      <c r="C3096">
        <v>0.344158451003229</v>
      </c>
      <c r="D3096">
        <v>0.55843289999922296</v>
      </c>
      <c r="E3096">
        <v>0.51014616975041105</v>
      </c>
    </row>
    <row r="3097" spans="1:5" x14ac:dyDescent="0.2">
      <c r="A3097">
        <v>5.3168333333333297E-2</v>
      </c>
      <c r="B3097">
        <v>0.39359116967538399</v>
      </c>
      <c r="C3097">
        <v>0.34423542590955802</v>
      </c>
      <c r="D3097">
        <v>0.55852920643019599</v>
      </c>
      <c r="E3097">
        <v>0.51022768486575598</v>
      </c>
    </row>
    <row r="3098" spans="1:5" x14ac:dyDescent="0.2">
      <c r="A3098">
        <v>5.3201666666666703E-2</v>
      </c>
      <c r="B3098">
        <v>0.393667750961195</v>
      </c>
      <c r="C3098">
        <v>0.34431239297949201</v>
      </c>
      <c r="D3098">
        <v>0.55862538945411599</v>
      </c>
      <c r="E3098">
        <v>0.51030915104623997</v>
      </c>
    </row>
    <row r="3099" spans="1:5" x14ac:dyDescent="0.2">
      <c r="A3099">
        <v>5.3234999999999998E-2</v>
      </c>
      <c r="B3099">
        <v>0.393744361586154</v>
      </c>
      <c r="C3099">
        <v>0.34438935243102298</v>
      </c>
      <c r="D3099">
        <v>0.55872144923207101</v>
      </c>
      <c r="E3099">
        <v>0.51039056828109797</v>
      </c>
    </row>
    <row r="3100" spans="1:5" x14ac:dyDescent="0.2">
      <c r="A3100">
        <v>5.32683333333333E-2</v>
      </c>
      <c r="B3100">
        <v>0.39382100000076098</v>
      </c>
      <c r="C3100">
        <v>0.34446630448214399</v>
      </c>
      <c r="D3100">
        <v>0.55881738592514496</v>
      </c>
      <c r="E3100">
        <v>0.51047193655956202</v>
      </c>
    </row>
    <row r="3101" spans="1:5" x14ac:dyDescent="0.2">
      <c r="A3101">
        <v>5.3301666666666699E-2</v>
      </c>
      <c r="B3101">
        <v>0.39389766465551601</v>
      </c>
      <c r="C3101">
        <v>0.34454324935085001</v>
      </c>
      <c r="D3101">
        <v>0.55891319969442299</v>
      </c>
      <c r="E3101">
        <v>0.51055325587086398</v>
      </c>
    </row>
    <row r="3102" spans="1:5" x14ac:dyDescent="0.2">
      <c r="A3102">
        <v>5.3335E-2</v>
      </c>
      <c r="B3102">
        <v>0.39397435400091901</v>
      </c>
      <c r="C3102">
        <v>0.34462018725513299</v>
      </c>
      <c r="D3102">
        <v>0.55900889070099002</v>
      </c>
      <c r="E3102">
        <v>0.51063452620423799</v>
      </c>
    </row>
    <row r="3103" spans="1:5" x14ac:dyDescent="0.2">
      <c r="A3103">
        <v>5.3368333333333302E-2</v>
      </c>
      <c r="B3103">
        <v>0.39405106648746901</v>
      </c>
      <c r="C3103">
        <v>0.344697118412986</v>
      </c>
      <c r="D3103">
        <v>0.55910445910593198</v>
      </c>
      <c r="E3103">
        <v>0.51071574754891702</v>
      </c>
    </row>
    <row r="3104" spans="1:5" x14ac:dyDescent="0.2">
      <c r="A3104">
        <v>5.3401666666666701E-2</v>
      </c>
      <c r="B3104">
        <v>0.39412780056566599</v>
      </c>
      <c r="C3104">
        <v>0.344774043042402</v>
      </c>
      <c r="D3104">
        <v>0.55919990507033401</v>
      </c>
      <c r="E3104">
        <v>0.51079691989413301</v>
      </c>
    </row>
    <row r="3105" spans="1:5" x14ac:dyDescent="0.2">
      <c r="A3105">
        <v>5.3435000000000003E-2</v>
      </c>
      <c r="B3105">
        <v>0.39420455468601001</v>
      </c>
      <c r="C3105">
        <v>0.344850961361375</v>
      </c>
      <c r="D3105">
        <v>0.55929522875528204</v>
      </c>
      <c r="E3105">
        <v>0.51087804322911901</v>
      </c>
    </row>
    <row r="3106" spans="1:5" x14ac:dyDescent="0.2">
      <c r="A3106">
        <v>5.3468333333333298E-2</v>
      </c>
      <c r="B3106">
        <v>0.39428132729900001</v>
      </c>
      <c r="C3106">
        <v>0.344927873587897</v>
      </c>
      <c r="D3106">
        <v>0.55939043032185898</v>
      </c>
      <c r="E3106">
        <v>0.51095911754310896</v>
      </c>
    </row>
    <row r="3107" spans="1:5" x14ac:dyDescent="0.2">
      <c r="A3107">
        <v>5.3501666666666697E-2</v>
      </c>
      <c r="B3107">
        <v>0.394358116855138</v>
      </c>
      <c r="C3107">
        <v>0.34500477993996198</v>
      </c>
      <c r="D3107">
        <v>0.55948550993115298</v>
      </c>
      <c r="E3107">
        <v>0.51104014282533505</v>
      </c>
    </row>
    <row r="3108" spans="1:5" x14ac:dyDescent="0.2">
      <c r="A3108">
        <v>5.3534999999999999E-2</v>
      </c>
      <c r="B3108">
        <v>0.39443492180492101</v>
      </c>
      <c r="C3108">
        <v>0.34508168063556299</v>
      </c>
      <c r="D3108">
        <v>0.55958046774424697</v>
      </c>
      <c r="E3108">
        <v>0.51112111906503099</v>
      </c>
    </row>
    <row r="3109" spans="1:5" x14ac:dyDescent="0.2">
      <c r="A3109">
        <v>5.3568333333333301E-2</v>
      </c>
      <c r="B3109">
        <v>0.39451174059885102</v>
      </c>
      <c r="C3109">
        <v>0.345158575892692</v>
      </c>
      <c r="D3109">
        <v>0.55967530392222797</v>
      </c>
      <c r="E3109">
        <v>0.51120204625142796</v>
      </c>
    </row>
    <row r="3110" spans="1:5" x14ac:dyDescent="0.2">
      <c r="A3110">
        <v>5.36016666666667E-2</v>
      </c>
      <c r="B3110">
        <v>0.394588571687427</v>
      </c>
      <c r="C3110">
        <v>0.34523546592934401</v>
      </c>
      <c r="D3110">
        <v>0.55977001862617903</v>
      </c>
      <c r="E3110">
        <v>0.51128292437376099</v>
      </c>
    </row>
    <row r="3111" spans="1:5" x14ac:dyDescent="0.2">
      <c r="A3111">
        <v>5.3635000000000002E-2</v>
      </c>
      <c r="B3111">
        <v>0.39466541352114798</v>
      </c>
      <c r="C3111">
        <v>0.34531235096351098</v>
      </c>
      <c r="D3111">
        <v>0.55986461201718796</v>
      </c>
      <c r="E3111">
        <v>0.51136375342126095</v>
      </c>
    </row>
    <row r="3112" spans="1:5" x14ac:dyDescent="0.2">
      <c r="A3112">
        <v>5.3668333333333297E-2</v>
      </c>
      <c r="B3112">
        <v>0.39474226455051398</v>
      </c>
      <c r="C3112">
        <v>0.34538923121318599</v>
      </c>
      <c r="D3112">
        <v>0.559959084256338</v>
      </c>
      <c r="E3112">
        <v>0.51144453338316298</v>
      </c>
    </row>
    <row r="3113" spans="1:5" x14ac:dyDescent="0.2">
      <c r="A3113">
        <v>5.3701666666666703E-2</v>
      </c>
      <c r="B3113">
        <v>0.39481912322602603</v>
      </c>
      <c r="C3113">
        <v>0.34546610689636198</v>
      </c>
      <c r="D3113">
        <v>0.56005343550471498</v>
      </c>
      <c r="E3113">
        <v>0.51152526424869704</v>
      </c>
    </row>
    <row r="3114" spans="1:5" x14ac:dyDescent="0.2">
      <c r="A3114">
        <v>5.3734999999999998E-2</v>
      </c>
      <c r="B3114">
        <v>0.39489598799818298</v>
      </c>
      <c r="C3114">
        <v>0.34554297823103303</v>
      </c>
      <c r="D3114">
        <v>0.56014766592340504</v>
      </c>
      <c r="E3114">
        <v>0.51160594600709897</v>
      </c>
    </row>
    <row r="3115" spans="1:5" x14ac:dyDescent="0.2">
      <c r="A3115">
        <v>5.37683333333333E-2</v>
      </c>
      <c r="B3115">
        <v>0.39497285731748499</v>
      </c>
      <c r="C3115">
        <v>0.34561984543519197</v>
      </c>
      <c r="D3115">
        <v>0.56024177567349198</v>
      </c>
      <c r="E3115">
        <v>0.51168657864760003</v>
      </c>
    </row>
    <row r="3116" spans="1:5" x14ac:dyDescent="0.2">
      <c r="A3116">
        <v>5.3801666666666699E-2</v>
      </c>
      <c r="B3116">
        <v>0.39504972963443202</v>
      </c>
      <c r="C3116">
        <v>0.345696708726831</v>
      </c>
      <c r="D3116">
        <v>0.56033576491606096</v>
      </c>
      <c r="E3116">
        <v>0.51176716215943396</v>
      </c>
    </row>
    <row r="3117" spans="1:5" x14ac:dyDescent="0.2">
      <c r="A3117">
        <v>5.3835000000000001E-2</v>
      </c>
      <c r="B3117">
        <v>0.39512660339952199</v>
      </c>
      <c r="C3117">
        <v>0.34577356832394501</v>
      </c>
      <c r="D3117">
        <v>0.56042963381219901</v>
      </c>
      <c r="E3117">
        <v>0.51184769653183304</v>
      </c>
    </row>
    <row r="3118" spans="1:5" x14ac:dyDescent="0.2">
      <c r="A3118">
        <v>5.3868333333333303E-2</v>
      </c>
      <c r="B3118">
        <v>0.39520347706325698</v>
      </c>
      <c r="C3118">
        <v>0.34585042444452502</v>
      </c>
      <c r="D3118">
        <v>0.56052338252299005</v>
      </c>
      <c r="E3118">
        <v>0.51192818175403099</v>
      </c>
    </row>
    <row r="3119" spans="1:5" x14ac:dyDescent="0.2">
      <c r="A3119">
        <v>5.3901666666666702E-2</v>
      </c>
      <c r="B3119">
        <v>0.39528034907613702</v>
      </c>
      <c r="C3119">
        <v>0.34592727730656597</v>
      </c>
      <c r="D3119">
        <v>0.56061701120951901</v>
      </c>
      <c r="E3119">
        <v>0.51200861781525997</v>
      </c>
    </row>
    <row r="3120" spans="1:5" x14ac:dyDescent="0.2">
      <c r="A3120">
        <v>5.3934999999999997E-2</v>
      </c>
      <c r="B3120">
        <v>0.39535721788865902</v>
      </c>
      <c r="C3120">
        <v>0.346004127128059</v>
      </c>
      <c r="D3120">
        <v>0.56071052003287203</v>
      </c>
      <c r="E3120">
        <v>0.51208900470475205</v>
      </c>
    </row>
    <row r="3121" spans="1:5" x14ac:dyDescent="0.2">
      <c r="A3121">
        <v>5.3968333333333299E-2</v>
      </c>
      <c r="B3121">
        <v>0.39543408195132601</v>
      </c>
      <c r="C3121">
        <v>0.34608097412700001</v>
      </c>
      <c r="D3121">
        <v>0.56080390915413403</v>
      </c>
      <c r="E3121">
        <v>0.51216934241174294</v>
      </c>
    </row>
    <row r="3122" spans="1:5" x14ac:dyDescent="0.2">
      <c r="A3122">
        <v>5.4001666666666698E-2</v>
      </c>
      <c r="B3122">
        <v>0.39551093971467199</v>
      </c>
      <c r="C3122">
        <v>0.346157818521379</v>
      </c>
      <c r="D3122">
        <v>0.56089717873439005</v>
      </c>
      <c r="E3122">
        <v>0.51224963092546205</v>
      </c>
    </row>
    <row r="3123" spans="1:5" x14ac:dyDescent="0.2">
      <c r="A3123">
        <v>5.4035E-2</v>
      </c>
      <c r="B3123">
        <v>0.39558778996576499</v>
      </c>
      <c r="C3123">
        <v>0.346234660529192</v>
      </c>
      <c r="D3123">
        <v>0.560990328934725</v>
      </c>
      <c r="E3123">
        <v>0.51232987023514498</v>
      </c>
    </row>
    <row r="3124" spans="1:5" x14ac:dyDescent="0.2">
      <c r="A3124">
        <v>5.4068333333333302E-2</v>
      </c>
      <c r="B3124">
        <v>0.39566463265075902</v>
      </c>
      <c r="C3124">
        <v>0.34631150036843</v>
      </c>
      <c r="D3124">
        <v>0.56108335991622504</v>
      </c>
      <c r="E3124">
        <v>0.51241006033002401</v>
      </c>
    </row>
    <row r="3125" spans="1:5" x14ac:dyDescent="0.2">
      <c r="A3125">
        <v>5.4101666666666701E-2</v>
      </c>
      <c r="B3125">
        <v>0.39574146796515902</v>
      </c>
      <c r="C3125">
        <v>0.34638833825708698</v>
      </c>
      <c r="D3125">
        <v>0.56117627183997498</v>
      </c>
      <c r="E3125">
        <v>0.51249020119933197</v>
      </c>
    </row>
    <row r="3126" spans="1:5" x14ac:dyDescent="0.2">
      <c r="A3126">
        <v>5.4135000000000003E-2</v>
      </c>
      <c r="B3126">
        <v>0.395818296104471</v>
      </c>
      <c r="C3126">
        <v>0.346465174413156</v>
      </c>
      <c r="D3126">
        <v>0.56126906486705896</v>
      </c>
      <c r="E3126">
        <v>0.51257029283230104</v>
      </c>
    </row>
    <row r="3127" spans="1:5" x14ac:dyDescent="0.2">
      <c r="A3127">
        <v>5.4168333333333298E-2</v>
      </c>
      <c r="B3127">
        <v>0.39589511726420201</v>
      </c>
      <c r="C3127">
        <v>0.34654200905463001</v>
      </c>
      <c r="D3127">
        <v>0.56136173915856402</v>
      </c>
      <c r="E3127">
        <v>0.51265033521816405</v>
      </c>
    </row>
    <row r="3128" spans="1:5" x14ac:dyDescent="0.2">
      <c r="A3128">
        <v>5.4201666666666697E-2</v>
      </c>
      <c r="B3128">
        <v>0.395971931639858</v>
      </c>
      <c r="C3128">
        <v>0.34661884239950302</v>
      </c>
      <c r="D3128">
        <v>0.56145429487557497</v>
      </c>
      <c r="E3128">
        <v>0.51273032834615595</v>
      </c>
    </row>
    <row r="3129" spans="1:5" x14ac:dyDescent="0.2">
      <c r="A3129">
        <v>5.4234999999999998E-2</v>
      </c>
      <c r="B3129">
        <v>0.39604873942694702</v>
      </c>
      <c r="C3129">
        <v>0.34669567466576601</v>
      </c>
      <c r="D3129">
        <v>0.56154673217917594</v>
      </c>
      <c r="E3129">
        <v>0.51281027220550701</v>
      </c>
    </row>
    <row r="3130" spans="1:5" x14ac:dyDescent="0.2">
      <c r="A3130">
        <v>5.42683333333333E-2</v>
      </c>
      <c r="B3130">
        <v>0.39612554082097301</v>
      </c>
      <c r="C3130">
        <v>0.34677250607141502</v>
      </c>
      <c r="D3130">
        <v>0.56163905123045299</v>
      </c>
      <c r="E3130">
        <v>0.51289016678545196</v>
      </c>
    </row>
    <row r="3131" spans="1:5" x14ac:dyDescent="0.2">
      <c r="A3131">
        <v>5.4301666666666699E-2</v>
      </c>
      <c r="B3131">
        <v>0.39620233601744298</v>
      </c>
      <c r="C3131">
        <v>0.34684933683444102</v>
      </c>
      <c r="D3131">
        <v>0.56173125219049103</v>
      </c>
      <c r="E3131">
        <v>0.51297001207522297</v>
      </c>
    </row>
    <row r="3132" spans="1:5" x14ac:dyDescent="0.2">
      <c r="A3132">
        <v>5.4335000000000001E-2</v>
      </c>
      <c r="B3132">
        <v>0.39627912521186398</v>
      </c>
      <c r="C3132">
        <v>0.34692616717283797</v>
      </c>
      <c r="D3132">
        <v>0.56182333522037597</v>
      </c>
      <c r="E3132">
        <v>0.51304980806405398</v>
      </c>
    </row>
    <row r="3133" spans="1:5" x14ac:dyDescent="0.2">
      <c r="A3133">
        <v>5.4368333333333303E-2</v>
      </c>
      <c r="B3133">
        <v>0.39635590859974301</v>
      </c>
      <c r="C3133">
        <v>0.34700299730459799</v>
      </c>
      <c r="D3133">
        <v>0.56191530048119198</v>
      </c>
      <c r="E3133">
        <v>0.51312955474117605</v>
      </c>
    </row>
    <row r="3134" spans="1:5" x14ac:dyDescent="0.2">
      <c r="A3134">
        <v>5.4401666666666702E-2</v>
      </c>
      <c r="B3134">
        <v>0.39643268637658502</v>
      </c>
      <c r="C3134">
        <v>0.34707982744771598</v>
      </c>
      <c r="D3134">
        <v>0.56200714813402497</v>
      </c>
      <c r="E3134">
        <v>0.51320925209582302</v>
      </c>
    </row>
    <row r="3135" spans="1:5" x14ac:dyDescent="0.2">
      <c r="A3135">
        <v>5.4434999999999997E-2</v>
      </c>
      <c r="B3135">
        <v>0.396509458737896</v>
      </c>
      <c r="C3135">
        <v>0.34715665782018401</v>
      </c>
      <c r="D3135">
        <v>0.56209887833996097</v>
      </c>
      <c r="E3135">
        <v>0.51328890011722805</v>
      </c>
    </row>
    <row r="3136" spans="1:5" x14ac:dyDescent="0.2">
      <c r="A3136">
        <v>5.4468333333333299E-2</v>
      </c>
      <c r="B3136">
        <v>0.39658622587918402</v>
      </c>
      <c r="C3136">
        <v>0.34723348863999498</v>
      </c>
      <c r="D3136">
        <v>0.56219049126008303</v>
      </c>
      <c r="E3136">
        <v>0.51336849879462498</v>
      </c>
    </row>
    <row r="3137" spans="1:5" x14ac:dyDescent="0.2">
      <c r="A3137">
        <v>5.4501666666666698E-2</v>
      </c>
      <c r="B3137">
        <v>0.39666298799595401</v>
      </c>
      <c r="C3137">
        <v>0.34731032012514201</v>
      </c>
      <c r="D3137">
        <v>0.56228198705547905</v>
      </c>
      <c r="E3137">
        <v>0.51344804811724398</v>
      </c>
    </row>
    <row r="3138" spans="1:5" x14ac:dyDescent="0.2">
      <c r="A3138">
        <v>5.4535E-2</v>
      </c>
      <c r="B3138">
        <v>0.39673974528371397</v>
      </c>
      <c r="C3138">
        <v>0.34738715249361901</v>
      </c>
      <c r="D3138">
        <v>0.56237336588723197</v>
      </c>
      <c r="E3138">
        <v>0.51352754807432099</v>
      </c>
    </row>
    <row r="3139" spans="1:5" x14ac:dyDescent="0.2">
      <c r="A3139">
        <v>5.4568333333333302E-2</v>
      </c>
      <c r="B3139">
        <v>0.39681649793796803</v>
      </c>
      <c r="C3139">
        <v>0.34746398596341899</v>
      </c>
      <c r="D3139">
        <v>0.56246462791642804</v>
      </c>
      <c r="E3139">
        <v>0.51360699865508697</v>
      </c>
    </row>
    <row r="3140" spans="1:5" x14ac:dyDescent="0.2">
      <c r="A3140">
        <v>5.4601666666666701E-2</v>
      </c>
      <c r="B3140">
        <v>0.396893246154224</v>
      </c>
      <c r="C3140">
        <v>0.34754082075253401</v>
      </c>
      <c r="D3140">
        <v>0.56255577330415196</v>
      </c>
      <c r="E3140">
        <v>0.51368639984877495</v>
      </c>
    </row>
    <row r="3141" spans="1:5" x14ac:dyDescent="0.2">
      <c r="A3141">
        <v>5.4635000000000003E-2</v>
      </c>
      <c r="B3141">
        <v>0.396969990127989</v>
      </c>
      <c r="C3141">
        <v>0.34761765707895897</v>
      </c>
      <c r="D3141">
        <v>0.56264680221148999</v>
      </c>
      <c r="E3141">
        <v>0.51376575164461902</v>
      </c>
    </row>
    <row r="3142" spans="1:5" x14ac:dyDescent="0.2">
      <c r="A3142">
        <v>5.4668333333333298E-2</v>
      </c>
      <c r="B3142">
        <v>0.39704673005476698</v>
      </c>
      <c r="C3142">
        <v>0.34769449516068501</v>
      </c>
      <c r="D3142">
        <v>0.56273771479952595</v>
      </c>
      <c r="E3142">
        <v>0.51384505403185099</v>
      </c>
    </row>
    <row r="3143" spans="1:5" x14ac:dyDescent="0.2">
      <c r="A3143">
        <v>5.4701666666666697E-2</v>
      </c>
      <c r="B3143">
        <v>0.39712346613006699</v>
      </c>
      <c r="C3143">
        <v>0.34777133521570602</v>
      </c>
      <c r="D3143">
        <v>0.56282851122934696</v>
      </c>
      <c r="E3143">
        <v>0.51392430699970404</v>
      </c>
    </row>
    <row r="3144" spans="1:5" x14ac:dyDescent="0.2">
      <c r="A3144">
        <v>5.4734999999999999E-2</v>
      </c>
      <c r="B3144">
        <v>0.39720019854939298</v>
      </c>
      <c r="C3144">
        <v>0.34784817746201602</v>
      </c>
      <c r="D3144">
        <v>0.56291919166203597</v>
      </c>
      <c r="E3144">
        <v>0.514003510537412</v>
      </c>
    </row>
    <row r="3145" spans="1:5" x14ac:dyDescent="0.2">
      <c r="A3145">
        <v>5.4768333333333301E-2</v>
      </c>
      <c r="B3145">
        <v>0.397276927508253</v>
      </c>
      <c r="C3145">
        <v>0.34792502211760701</v>
      </c>
      <c r="D3145">
        <v>0.56300975625867999</v>
      </c>
      <c r="E3145">
        <v>0.51408266463420604</v>
      </c>
    </row>
    <row r="3146" spans="1:5" x14ac:dyDescent="0.2">
      <c r="A3146">
        <v>5.48016666666667E-2</v>
      </c>
      <c r="B3146">
        <v>0.39735365320215299</v>
      </c>
      <c r="C3146">
        <v>0.34800186940047301</v>
      </c>
      <c r="D3146">
        <v>0.56310020518036397</v>
      </c>
      <c r="E3146">
        <v>0.514161769279321</v>
      </c>
    </row>
    <row r="3147" spans="1:5" x14ac:dyDescent="0.2">
      <c r="A3147">
        <v>5.4835000000000002E-2</v>
      </c>
      <c r="B3147">
        <v>0.39743037582659901</v>
      </c>
      <c r="C3147">
        <v>0.34807871952860597</v>
      </c>
      <c r="D3147">
        <v>0.56319053858817203</v>
      </c>
      <c r="E3147">
        <v>0.51424082446198804</v>
      </c>
    </row>
    <row r="3148" spans="1:5" x14ac:dyDescent="0.2">
      <c r="A3148">
        <v>5.4868333333333297E-2</v>
      </c>
      <c r="B3148">
        <v>0.39750709557709801</v>
      </c>
      <c r="C3148">
        <v>0.34815557271999997</v>
      </c>
      <c r="D3148">
        <v>0.56328075664319099</v>
      </c>
      <c r="E3148">
        <v>0.51431983017144201</v>
      </c>
    </row>
    <row r="3149" spans="1:5" x14ac:dyDescent="0.2">
      <c r="A3149">
        <v>5.4901666666666703E-2</v>
      </c>
      <c r="B3149">
        <v>0.39758381264915499</v>
      </c>
      <c r="C3149">
        <v>0.34823242919264802</v>
      </c>
      <c r="D3149">
        <v>0.56337085950650501</v>
      </c>
      <c r="E3149">
        <v>0.51439878639691405</v>
      </c>
    </row>
    <row r="3150" spans="1:5" x14ac:dyDescent="0.2">
      <c r="A3150">
        <v>5.4934999999999998E-2</v>
      </c>
      <c r="B3150">
        <v>0.39766052723827799</v>
      </c>
      <c r="C3150">
        <v>0.34830928916454201</v>
      </c>
      <c r="D3150">
        <v>0.56346084733919899</v>
      </c>
      <c r="E3150">
        <v>0.51447769312763703</v>
      </c>
    </row>
    <row r="3151" spans="1:5" x14ac:dyDescent="0.2">
      <c r="A3151">
        <v>5.49683333333333E-2</v>
      </c>
      <c r="B3151">
        <v>0.39773723953997198</v>
      </c>
      <c r="C3151">
        <v>0.34838615285367702</v>
      </c>
      <c r="D3151">
        <v>0.56355072030235998</v>
      </c>
      <c r="E3151">
        <v>0.51455655035284498</v>
      </c>
    </row>
    <row r="3152" spans="1:5" x14ac:dyDescent="0.2">
      <c r="A3152">
        <v>5.5001666666666699E-2</v>
      </c>
      <c r="B3152">
        <v>0.39781394974974499</v>
      </c>
      <c r="C3152">
        <v>0.34846302047803301</v>
      </c>
      <c r="D3152">
        <v>0.563640478557071</v>
      </c>
      <c r="E3152">
        <v>0.51463535806177096</v>
      </c>
    </row>
    <row r="3153" spans="1:5" x14ac:dyDescent="0.2">
      <c r="A3153">
        <v>5.5035000000000001E-2</v>
      </c>
      <c r="B3153">
        <v>0.39789065806310198</v>
      </c>
      <c r="C3153">
        <v>0.34853989214207598</v>
      </c>
      <c r="D3153">
        <v>0.56373012226441799</v>
      </c>
      <c r="E3153">
        <v>0.51471411624364705</v>
      </c>
    </row>
    <row r="3154" spans="1:5" x14ac:dyDescent="0.2">
      <c r="A3154">
        <v>5.5068333333333302E-2</v>
      </c>
      <c r="B3154">
        <v>0.397967364675549</v>
      </c>
      <c r="C3154">
        <v>0.34861676755929899</v>
      </c>
      <c r="D3154">
        <v>0.56381965158548797</v>
      </c>
      <c r="E3154">
        <v>0.51479282488770595</v>
      </c>
    </row>
    <row r="3155" spans="1:5" x14ac:dyDescent="0.2">
      <c r="A3155">
        <v>5.5101666666666702E-2</v>
      </c>
      <c r="B3155">
        <v>0.39804406978259399</v>
      </c>
      <c r="C3155">
        <v>0.348693646359091</v>
      </c>
      <c r="D3155">
        <v>0.56390906668136298</v>
      </c>
      <c r="E3155">
        <v>0.51487148398318106</v>
      </c>
    </row>
    <row r="3156" spans="1:5" x14ac:dyDescent="0.2">
      <c r="A3156">
        <v>5.5135000000000003E-2</v>
      </c>
      <c r="B3156">
        <v>0.39812077357974202</v>
      </c>
      <c r="C3156">
        <v>0.34877052817083398</v>
      </c>
      <c r="D3156">
        <v>0.56399836771313105</v>
      </c>
      <c r="E3156">
        <v>0.51495009351930598</v>
      </c>
    </row>
    <row r="3157" spans="1:5" x14ac:dyDescent="0.2">
      <c r="A3157">
        <v>5.5168333333333298E-2</v>
      </c>
      <c r="B3157">
        <v>0.39819747626250002</v>
      </c>
      <c r="C3157">
        <v>0.348847412623917</v>
      </c>
      <c r="D3157">
        <v>0.564087554841876</v>
      </c>
      <c r="E3157">
        <v>0.51502865348531301</v>
      </c>
    </row>
    <row r="3158" spans="1:5" x14ac:dyDescent="0.2">
      <c r="A3158">
        <v>5.5201666666666697E-2</v>
      </c>
      <c r="B3158">
        <v>0.39827417802637399</v>
      </c>
      <c r="C3158">
        <v>0.34892429934772301</v>
      </c>
      <c r="D3158">
        <v>0.56417662822868297</v>
      </c>
      <c r="E3158">
        <v>0.51510716387043398</v>
      </c>
    </row>
    <row r="3159" spans="1:5" x14ac:dyDescent="0.2">
      <c r="A3159">
        <v>5.5234999999999999E-2</v>
      </c>
      <c r="B3159">
        <v>0.398350879066871</v>
      </c>
      <c r="C3159">
        <v>0.34900118797163898</v>
      </c>
      <c r="D3159">
        <v>0.564265588034638</v>
      </c>
      <c r="E3159">
        <v>0.51518562466390305</v>
      </c>
    </row>
    <row r="3160" spans="1:5" x14ac:dyDescent="0.2">
      <c r="A3160">
        <v>5.5268333333333301E-2</v>
      </c>
      <c r="B3160">
        <v>0.39842757957949698</v>
      </c>
      <c r="C3160">
        <v>0.34907807812504998</v>
      </c>
      <c r="D3160">
        <v>0.564354434420825</v>
      </c>
      <c r="E3160">
        <v>0.51526403585495395</v>
      </c>
    </row>
    <row r="3161" spans="1:5" x14ac:dyDescent="0.2">
      <c r="A3161">
        <v>5.53016666666667E-2</v>
      </c>
      <c r="B3161">
        <v>0.398504279759758</v>
      </c>
      <c r="C3161">
        <v>0.34915496943734098</v>
      </c>
      <c r="D3161">
        <v>0.56444316754833102</v>
      </c>
      <c r="E3161">
        <v>0.51534239743281796</v>
      </c>
    </row>
    <row r="3162" spans="1:5" x14ac:dyDescent="0.2">
      <c r="A3162">
        <v>5.5335000000000002E-2</v>
      </c>
      <c r="B3162">
        <v>0.39858097980315998</v>
      </c>
      <c r="C3162">
        <v>0.34923186153789898</v>
      </c>
      <c r="D3162">
        <v>0.56453178757823996</v>
      </c>
      <c r="E3162">
        <v>0.51542070938672802</v>
      </c>
    </row>
    <row r="3163" spans="1:5" x14ac:dyDescent="0.2">
      <c r="A3163">
        <v>5.5368333333333297E-2</v>
      </c>
      <c r="B3163">
        <v>0.398657679905211</v>
      </c>
      <c r="C3163">
        <v>0.34930875405610901</v>
      </c>
      <c r="D3163">
        <v>0.56462029467163799</v>
      </c>
      <c r="E3163">
        <v>0.51549897170591796</v>
      </c>
    </row>
    <row r="3164" spans="1:5" x14ac:dyDescent="0.2">
      <c r="A3164">
        <v>5.5401666666666703E-2</v>
      </c>
      <c r="B3164">
        <v>0.398734380261416</v>
      </c>
      <c r="C3164">
        <v>0.34938564662135702</v>
      </c>
      <c r="D3164">
        <v>0.56470868898961002</v>
      </c>
      <c r="E3164">
        <v>0.51557718437962097</v>
      </c>
    </row>
    <row r="3165" spans="1:5" x14ac:dyDescent="0.2">
      <c r="A3165">
        <v>5.5434999999999998E-2</v>
      </c>
      <c r="B3165">
        <v>0.39881108106728203</v>
      </c>
      <c r="C3165">
        <v>0.34946253886302697</v>
      </c>
      <c r="D3165">
        <v>0.56479697069323997</v>
      </c>
      <c r="E3165">
        <v>0.51565534739706897</v>
      </c>
    </row>
    <row r="3166" spans="1:5" x14ac:dyDescent="0.2">
      <c r="A3166">
        <v>5.54683333333333E-2</v>
      </c>
      <c r="B3166">
        <v>0.39888778251831503</v>
      </c>
      <c r="C3166">
        <v>0.349539430410506</v>
      </c>
      <c r="D3166">
        <v>0.564885139943615</v>
      </c>
      <c r="E3166">
        <v>0.51573346074749504</v>
      </c>
    </row>
    <row r="3167" spans="1:5" x14ac:dyDescent="0.2">
      <c r="A3167">
        <v>5.5501666666666699E-2</v>
      </c>
      <c r="B3167">
        <v>0.398964484810021</v>
      </c>
      <c r="C3167">
        <v>0.34961632089318001</v>
      </c>
      <c r="D3167">
        <v>0.56497319690181902</v>
      </c>
      <c r="E3167">
        <v>0.51581152442013201</v>
      </c>
    </row>
    <row r="3168" spans="1:5" x14ac:dyDescent="0.2">
      <c r="A3168">
        <v>5.5535000000000001E-2</v>
      </c>
      <c r="B3168">
        <v>0.39904118813790701</v>
      </c>
      <c r="C3168">
        <v>0.34969320994043301</v>
      </c>
      <c r="D3168">
        <v>0.56506114172893795</v>
      </c>
      <c r="E3168">
        <v>0.51588953840421303</v>
      </c>
    </row>
    <row r="3169" spans="1:5" x14ac:dyDescent="0.2">
      <c r="A3169">
        <v>5.5568333333333303E-2</v>
      </c>
      <c r="B3169">
        <v>0.39911789269747999</v>
      </c>
      <c r="C3169">
        <v>0.34977009718165197</v>
      </c>
      <c r="D3169">
        <v>0.56514897458605695</v>
      </c>
      <c r="E3169">
        <v>0.51596750268897196</v>
      </c>
    </row>
    <row r="3170" spans="1:5" x14ac:dyDescent="0.2">
      <c r="A3170">
        <v>5.5601666666666702E-2</v>
      </c>
      <c r="B3170">
        <v>0.39919459868424501</v>
      </c>
      <c r="C3170">
        <v>0.34984698224622202</v>
      </c>
      <c r="D3170">
        <v>0.56523669563426004</v>
      </c>
      <c r="E3170">
        <v>0.51604541726363995</v>
      </c>
    </row>
    <row r="3171" spans="1:5" x14ac:dyDescent="0.2">
      <c r="A3171">
        <v>5.5634999999999997E-2</v>
      </c>
      <c r="B3171">
        <v>0.39927130629370899</v>
      </c>
      <c r="C3171">
        <v>0.34992386476352899</v>
      </c>
      <c r="D3171">
        <v>0.56532430503463504</v>
      </c>
      <c r="E3171">
        <v>0.51612328211745195</v>
      </c>
    </row>
    <row r="3172" spans="1:5" x14ac:dyDescent="0.2">
      <c r="A3172">
        <v>5.5668333333333299E-2</v>
      </c>
      <c r="B3172">
        <v>0.39934801572137801</v>
      </c>
      <c r="C3172">
        <v>0.35000074436295803</v>
      </c>
      <c r="D3172">
        <v>0.56541180294826499</v>
      </c>
      <c r="E3172">
        <v>0.51620109723963903</v>
      </c>
    </row>
    <row r="3173" spans="1:5" x14ac:dyDescent="0.2">
      <c r="A3173">
        <v>5.5701666666666698E-2</v>
      </c>
      <c r="B3173">
        <v>0.39942472716275901</v>
      </c>
      <c r="C3173">
        <v>0.35007762067389397</v>
      </c>
      <c r="D3173">
        <v>0.56549918953623601</v>
      </c>
      <c r="E3173">
        <v>0.51627886261943401</v>
      </c>
    </row>
    <row r="3174" spans="1:5" x14ac:dyDescent="0.2">
      <c r="A3174">
        <v>5.5735E-2</v>
      </c>
      <c r="B3174">
        <v>0.39950144081335798</v>
      </c>
      <c r="C3174">
        <v>0.35015449332572401</v>
      </c>
      <c r="D3174">
        <v>0.56558646495963305</v>
      </c>
      <c r="E3174">
        <v>0.51635657824607195</v>
      </c>
    </row>
    <row r="3175" spans="1:5" x14ac:dyDescent="0.2">
      <c r="A3175">
        <v>5.5768333333333302E-2</v>
      </c>
      <c r="B3175">
        <v>0.39957815686868098</v>
      </c>
      <c r="C3175">
        <v>0.350231361947834</v>
      </c>
      <c r="D3175">
        <v>0.56567362937954102</v>
      </c>
      <c r="E3175">
        <v>0.51643424410878302</v>
      </c>
    </row>
    <row r="3176" spans="1:5" x14ac:dyDescent="0.2">
      <c r="A3176">
        <v>5.5801666666666701E-2</v>
      </c>
      <c r="B3176">
        <v>0.39965487552423501</v>
      </c>
      <c r="C3176">
        <v>0.35030822616960799</v>
      </c>
      <c r="D3176">
        <v>0.56576068295704596</v>
      </c>
      <c r="E3176">
        <v>0.51651186019680295</v>
      </c>
    </row>
    <row r="3177" spans="1:5" x14ac:dyDescent="0.2">
      <c r="A3177">
        <v>5.5835000000000003E-2</v>
      </c>
      <c r="B3177">
        <v>0.39973159697552602</v>
      </c>
      <c r="C3177">
        <v>0.35038508562043202</v>
      </c>
      <c r="D3177">
        <v>0.56584762585323201</v>
      </c>
      <c r="E3177">
        <v>0.51658942649936201</v>
      </c>
    </row>
    <row r="3178" spans="1:5" x14ac:dyDescent="0.2">
      <c r="A3178">
        <v>5.5868333333333298E-2</v>
      </c>
      <c r="B3178">
        <v>0.399808321418061</v>
      </c>
      <c r="C3178">
        <v>0.35046193992969099</v>
      </c>
      <c r="D3178">
        <v>0.56593445822918598</v>
      </c>
      <c r="E3178">
        <v>0.51666694300569505</v>
      </c>
    </row>
    <row r="3179" spans="1:5" x14ac:dyDescent="0.2">
      <c r="A3179">
        <v>5.5901666666666697E-2</v>
      </c>
      <c r="B3179">
        <v>0.39988504904734601</v>
      </c>
      <c r="C3179">
        <v>0.35053878872677302</v>
      </c>
      <c r="D3179">
        <v>0.56602118024599102</v>
      </c>
      <c r="E3179">
        <v>0.51674440970503399</v>
      </c>
    </row>
    <row r="3180" spans="1:5" x14ac:dyDescent="0.2">
      <c r="A3180">
        <v>5.5934999999999999E-2</v>
      </c>
      <c r="B3180">
        <v>0.399961780058886</v>
      </c>
      <c r="C3180">
        <v>0.35061563164106102</v>
      </c>
      <c r="D3180">
        <v>0.56610779206473505</v>
      </c>
      <c r="E3180">
        <v>0.51682182658661202</v>
      </c>
    </row>
    <row r="3181" spans="1:5" x14ac:dyDescent="0.2">
      <c r="A3181">
        <v>5.5968333333333301E-2</v>
      </c>
      <c r="B3181">
        <v>0.40003851464819001</v>
      </c>
      <c r="C3181">
        <v>0.35069246830194201</v>
      </c>
      <c r="D3181">
        <v>0.566194293846501</v>
      </c>
      <c r="E3181">
        <v>0.51689919363966297</v>
      </c>
    </row>
    <row r="3182" spans="1:5" x14ac:dyDescent="0.2">
      <c r="A3182">
        <v>5.60016666666667E-2</v>
      </c>
      <c r="B3182">
        <v>0.40011525301074902</v>
      </c>
      <c r="C3182">
        <v>0.35076929833881798</v>
      </c>
      <c r="D3182">
        <v>0.566280685752374</v>
      </c>
      <c r="E3182">
        <v>0.516976510853418</v>
      </c>
    </row>
    <row r="3183" spans="1:5" x14ac:dyDescent="0.2">
      <c r="A3183">
        <v>5.6035000000000001E-2</v>
      </c>
      <c r="B3183">
        <v>0.400191995226098</v>
      </c>
      <c r="C3183">
        <v>0.35084612153559402</v>
      </c>
      <c r="D3183">
        <v>0.56636696794344099</v>
      </c>
      <c r="E3183">
        <v>0.51705377821711096</v>
      </c>
    </row>
    <row r="3184" spans="1:5" x14ac:dyDescent="0.2">
      <c r="A3184">
        <v>5.6068333333333303E-2</v>
      </c>
      <c r="B3184">
        <v>0.40026874097437098</v>
      </c>
      <c r="C3184">
        <v>0.35092293820831799</v>
      </c>
      <c r="D3184">
        <v>0.566453140580787</v>
      </c>
      <c r="E3184">
        <v>0.51713099571997401</v>
      </c>
    </row>
    <row r="3185" spans="1:5" x14ac:dyDescent="0.2">
      <c r="A3185">
        <v>5.6101666666666702E-2</v>
      </c>
      <c r="B3185">
        <v>0.40034548984978402</v>
      </c>
      <c r="C3185">
        <v>0.350999748787515</v>
      </c>
      <c r="D3185">
        <v>0.56653920382549605</v>
      </c>
      <c r="E3185">
        <v>0.51720816335124198</v>
      </c>
    </row>
    <row r="3186" spans="1:5" x14ac:dyDescent="0.2">
      <c r="A3186">
        <v>5.6134999999999997E-2</v>
      </c>
      <c r="B3186">
        <v>0.40042224144654998</v>
      </c>
      <c r="C3186">
        <v>0.35107655370371299</v>
      </c>
      <c r="D3186">
        <v>0.56662515783865397</v>
      </c>
      <c r="E3186">
        <v>0.51728528110014604</v>
      </c>
    </row>
    <row r="3187" spans="1:5" x14ac:dyDescent="0.2">
      <c r="A3187">
        <v>5.6168333333333299E-2</v>
      </c>
      <c r="B3187">
        <v>0.400498995358885</v>
      </c>
      <c r="C3187">
        <v>0.35115335338743803</v>
      </c>
      <c r="D3187">
        <v>0.56671100278134601</v>
      </c>
      <c r="E3187">
        <v>0.51736234895591904</v>
      </c>
    </row>
    <row r="3188" spans="1:5" x14ac:dyDescent="0.2">
      <c r="A3188">
        <v>5.6201666666666698E-2</v>
      </c>
      <c r="B3188">
        <v>0.40057575118100203</v>
      </c>
      <c r="C3188">
        <v>0.351230148269217</v>
      </c>
      <c r="D3188">
        <v>0.56679673881465698</v>
      </c>
      <c r="E3188">
        <v>0.51743936690779502</v>
      </c>
    </row>
    <row r="3189" spans="1:5" x14ac:dyDescent="0.2">
      <c r="A3189">
        <v>5.6235E-2</v>
      </c>
      <c r="B3189">
        <v>0.40065250850711598</v>
      </c>
      <c r="C3189">
        <v>0.35130693877957497</v>
      </c>
      <c r="D3189">
        <v>0.56688236609967202</v>
      </c>
      <c r="E3189">
        <v>0.51751633494500604</v>
      </c>
    </row>
    <row r="3190" spans="1:5" x14ac:dyDescent="0.2">
      <c r="A3190">
        <v>5.6268333333333302E-2</v>
      </c>
      <c r="B3190">
        <v>0.40072926693144101</v>
      </c>
      <c r="C3190">
        <v>0.35138372534904</v>
      </c>
      <c r="D3190">
        <v>0.56696788479747795</v>
      </c>
      <c r="E3190">
        <v>0.51759325305678605</v>
      </c>
    </row>
    <row r="3191" spans="1:5" x14ac:dyDescent="0.2">
      <c r="A3191">
        <v>5.6301666666666701E-2</v>
      </c>
      <c r="B3191">
        <v>0.40080602604819099</v>
      </c>
      <c r="C3191">
        <v>0.35146050840813797</v>
      </c>
      <c r="D3191">
        <v>0.56705329506915803</v>
      </c>
      <c r="E3191">
        <v>0.517670121232366</v>
      </c>
    </row>
    <row r="3192" spans="1:5" x14ac:dyDescent="0.2">
      <c r="A3192">
        <v>5.6335000000000003E-2</v>
      </c>
      <c r="B3192">
        <v>0.40088278545158201</v>
      </c>
      <c r="C3192">
        <v>0.35153728838739601</v>
      </c>
      <c r="D3192">
        <v>0.56713859707579894</v>
      </c>
      <c r="E3192">
        <v>0.51774693946098105</v>
      </c>
    </row>
    <row r="3193" spans="1:5" x14ac:dyDescent="0.2">
      <c r="A3193">
        <v>5.6368333333333298E-2</v>
      </c>
      <c r="B3193">
        <v>0.40095954473582601</v>
      </c>
      <c r="C3193">
        <v>0.35161406571734</v>
      </c>
      <c r="D3193">
        <v>0.56722379097848497</v>
      </c>
      <c r="E3193">
        <v>0.51782370773186304</v>
      </c>
    </row>
    <row r="3194" spans="1:5" x14ac:dyDescent="0.2">
      <c r="A3194">
        <v>5.6401666666666697E-2</v>
      </c>
      <c r="B3194">
        <v>0.40103630349513902</v>
      </c>
      <c r="C3194">
        <v>0.351690840828496</v>
      </c>
      <c r="D3194">
        <v>0.56730887693830201</v>
      </c>
      <c r="E3194">
        <v>0.51790042603424402</v>
      </c>
    </row>
    <row r="3195" spans="1:5" x14ac:dyDescent="0.2">
      <c r="A3195">
        <v>5.6434999999999999E-2</v>
      </c>
      <c r="B3195">
        <v>0.40111306132373498</v>
      </c>
      <c r="C3195">
        <v>0.35176761415139202</v>
      </c>
      <c r="D3195">
        <v>0.567393855116335</v>
      </c>
      <c r="E3195">
        <v>0.51797709435735895</v>
      </c>
    </row>
    <row r="3196" spans="1:5" x14ac:dyDescent="0.2">
      <c r="A3196">
        <v>5.6468333333333301E-2</v>
      </c>
      <c r="B3196">
        <v>0.40118981781582802</v>
      </c>
      <c r="C3196">
        <v>0.351844386116554</v>
      </c>
      <c r="D3196">
        <v>0.56747872567366897</v>
      </c>
      <c r="E3196">
        <v>0.51805371269043898</v>
      </c>
    </row>
    <row r="3197" spans="1:5" x14ac:dyDescent="0.2">
      <c r="A3197">
        <v>5.65016666666667E-2</v>
      </c>
      <c r="B3197">
        <v>0.40126657256563297</v>
      </c>
      <c r="C3197">
        <v>0.351921157154508</v>
      </c>
      <c r="D3197">
        <v>0.56756348877138896</v>
      </c>
      <c r="E3197">
        <v>0.51813028102271796</v>
      </c>
    </row>
    <row r="3198" spans="1:5" x14ac:dyDescent="0.2">
      <c r="A3198">
        <v>5.6535000000000002E-2</v>
      </c>
      <c r="B3198">
        <v>0.40134332516736398</v>
      </c>
      <c r="C3198">
        <v>0.35199792769577998</v>
      </c>
      <c r="D3198">
        <v>0.56764814457058099</v>
      </c>
      <c r="E3198">
        <v>0.51820679934342795</v>
      </c>
    </row>
    <row r="3199" spans="1:5" x14ac:dyDescent="0.2">
      <c r="A3199">
        <v>5.6568333333333297E-2</v>
      </c>
      <c r="B3199">
        <v>0.40142007521523498</v>
      </c>
      <c r="C3199">
        <v>0.35207469817089798</v>
      </c>
      <c r="D3199">
        <v>0.56773269323233</v>
      </c>
      <c r="E3199">
        <v>0.51828326764180299</v>
      </c>
    </row>
    <row r="3200" spans="1:5" x14ac:dyDescent="0.2">
      <c r="A3200">
        <v>5.6601666666666703E-2</v>
      </c>
      <c r="B3200">
        <v>0.40149682230346101</v>
      </c>
      <c r="C3200">
        <v>0.35215146901038802</v>
      </c>
      <c r="D3200">
        <v>0.56781713491772101</v>
      </c>
      <c r="E3200">
        <v>0.51835968590707604</v>
      </c>
    </row>
    <row r="3201" spans="1:5" x14ac:dyDescent="0.2">
      <c r="A3201">
        <v>5.6634999999999998E-2</v>
      </c>
      <c r="B3201">
        <v>0.40157356602625499</v>
      </c>
      <c r="C3201">
        <v>0.35222824064477598</v>
      </c>
      <c r="D3201">
        <v>0.56790146978783895</v>
      </c>
      <c r="E3201">
        <v>0.51843605412847804</v>
      </c>
    </row>
    <row r="3202" spans="1:5" x14ac:dyDescent="0.2">
      <c r="A3202">
        <v>5.66683333333333E-2</v>
      </c>
      <c r="B3202">
        <v>0.40165030597783402</v>
      </c>
      <c r="C3202">
        <v>0.35230501350458998</v>
      </c>
      <c r="D3202">
        <v>0.56798569800376997</v>
      </c>
      <c r="E3202">
        <v>0.51851237229524405</v>
      </c>
    </row>
    <row r="3203" spans="1:5" x14ac:dyDescent="0.2">
      <c r="A3203">
        <v>5.6701666666666699E-2</v>
      </c>
      <c r="B3203">
        <v>0.40172704175240898</v>
      </c>
      <c r="C3203">
        <v>0.35238178802035403</v>
      </c>
      <c r="D3203">
        <v>0.56806981972659798</v>
      </c>
      <c r="E3203">
        <v>0.51858864039660602</v>
      </c>
    </row>
    <row r="3204" spans="1:5" x14ac:dyDescent="0.2">
      <c r="A3204">
        <v>5.6735000000000001E-2</v>
      </c>
      <c r="B3204">
        <v>0.401803772944197</v>
      </c>
      <c r="C3204">
        <v>0.352458564622597</v>
      </c>
      <c r="D3204">
        <v>0.56815383511740902</v>
      </c>
      <c r="E3204">
        <v>0.51866485842179699</v>
      </c>
    </row>
    <row r="3205" spans="1:5" x14ac:dyDescent="0.2">
      <c r="A3205">
        <v>5.6768333333333303E-2</v>
      </c>
      <c r="B3205">
        <v>0.40188049914741097</v>
      </c>
      <c r="C3205">
        <v>0.35253534374184498</v>
      </c>
      <c r="D3205">
        <v>0.56823774433728902</v>
      </c>
      <c r="E3205">
        <v>0.51874102636005004</v>
      </c>
    </row>
    <row r="3206" spans="1:5" x14ac:dyDescent="0.2">
      <c r="A3206">
        <v>5.6801666666666702E-2</v>
      </c>
      <c r="B3206">
        <v>0.40195721995626599</v>
      </c>
      <c r="C3206">
        <v>0.352612125808623</v>
      </c>
      <c r="D3206">
        <v>0.568321547547322</v>
      </c>
      <c r="E3206">
        <v>0.51881714420059799</v>
      </c>
    </row>
    <row r="3207" spans="1:5" x14ac:dyDescent="0.2">
      <c r="A3207">
        <v>5.6834999999999997E-2</v>
      </c>
      <c r="B3207">
        <v>0.40203393496497603</v>
      </c>
      <c r="C3207">
        <v>0.35268891125345903</v>
      </c>
      <c r="D3207">
        <v>0.56840524490859401</v>
      </c>
      <c r="E3207">
        <v>0.51889321193267401</v>
      </c>
    </row>
    <row r="3208" spans="1:5" x14ac:dyDescent="0.2">
      <c r="A3208">
        <v>5.6868333333333299E-2</v>
      </c>
      <c r="B3208">
        <v>0.40211064376775602</v>
      </c>
      <c r="C3208">
        <v>0.352765700506879</v>
      </c>
      <c r="D3208">
        <v>0.56848883658218996</v>
      </c>
      <c r="E3208">
        <v>0.51896922954551095</v>
      </c>
    </row>
    <row r="3209" spans="1:5" x14ac:dyDescent="0.2">
      <c r="A3209">
        <v>5.6901666666666698E-2</v>
      </c>
      <c r="B3209">
        <v>0.402187345958819</v>
      </c>
      <c r="C3209">
        <v>0.35284249399940998</v>
      </c>
      <c r="D3209">
        <v>0.568572322729194</v>
      </c>
      <c r="E3209">
        <v>0.51904519702834095</v>
      </c>
    </row>
    <row r="3210" spans="1:5" x14ac:dyDescent="0.2">
      <c r="A3210">
        <v>5.6934999999999999E-2</v>
      </c>
      <c r="B3210">
        <v>0.40226404113238101</v>
      </c>
      <c r="C3210">
        <v>0.35291929216157802</v>
      </c>
      <c r="D3210">
        <v>0.56865570351069294</v>
      </c>
      <c r="E3210">
        <v>0.51912111437039798</v>
      </c>
    </row>
    <row r="3211" spans="1:5" x14ac:dyDescent="0.2">
      <c r="A3211">
        <v>5.6968333333333301E-2</v>
      </c>
      <c r="B3211">
        <v>0.40234072888265399</v>
      </c>
      <c r="C3211">
        <v>0.35299609542390997</v>
      </c>
      <c r="D3211">
        <v>0.56873897908777205</v>
      </c>
      <c r="E3211">
        <v>0.51919698156091398</v>
      </c>
    </row>
    <row r="3212" spans="1:5" x14ac:dyDescent="0.2">
      <c r="A3212">
        <v>5.70016666666667E-2</v>
      </c>
      <c r="B3212">
        <v>0.40241740880388899</v>
      </c>
      <c r="C3212">
        <v>0.35307290421693199</v>
      </c>
      <c r="D3212">
        <v>0.568822149621516</v>
      </c>
      <c r="E3212">
        <v>0.51927279858912201</v>
      </c>
    </row>
    <row r="3213" spans="1:5" x14ac:dyDescent="0.2">
      <c r="A3213">
        <v>5.7035000000000002E-2</v>
      </c>
      <c r="B3213">
        <v>0.40249408080721999</v>
      </c>
      <c r="C3213">
        <v>0.35314971897117098</v>
      </c>
      <c r="D3213">
        <v>0.56890521527300997</v>
      </c>
      <c r="E3213">
        <v>0.51934856544425601</v>
      </c>
    </row>
    <row r="3214" spans="1:5" x14ac:dyDescent="0.2">
      <c r="A3214">
        <v>5.7068333333333297E-2</v>
      </c>
      <c r="B3214">
        <v>0.40257074589519898</v>
      </c>
      <c r="C3214">
        <v>0.35322654011715299</v>
      </c>
      <c r="D3214">
        <v>0.56898817620333897</v>
      </c>
      <c r="E3214">
        <v>0.51942428211554803</v>
      </c>
    </row>
    <row r="3215" spans="1:5" x14ac:dyDescent="0.2">
      <c r="A3215">
        <v>5.7101666666666703E-2</v>
      </c>
      <c r="B3215">
        <v>0.40264740530517601</v>
      </c>
      <c r="C3215">
        <v>0.35330336808540502</v>
      </c>
      <c r="D3215">
        <v>0.56907103257358804</v>
      </c>
      <c r="E3215">
        <v>0.51949994859223203</v>
      </c>
    </row>
    <row r="3216" spans="1:5" x14ac:dyDescent="0.2">
      <c r="A3216">
        <v>5.7134999999999998E-2</v>
      </c>
      <c r="B3216">
        <v>0.40272406027450403</v>
      </c>
      <c r="C3216">
        <v>0.35338020330645398</v>
      </c>
      <c r="D3216">
        <v>0.569153784544843</v>
      </c>
      <c r="E3216">
        <v>0.51957556486353895</v>
      </c>
    </row>
    <row r="3217" spans="1:5" x14ac:dyDescent="0.2">
      <c r="A3217">
        <v>5.71683333333333E-2</v>
      </c>
      <c r="B3217">
        <v>0.40280071204053097</v>
      </c>
      <c r="C3217">
        <v>0.35345704621082502</v>
      </c>
      <c r="D3217">
        <v>0.56923643227818899</v>
      </c>
      <c r="E3217">
        <v>0.51965113091870296</v>
      </c>
    </row>
    <row r="3218" spans="1:5" x14ac:dyDescent="0.2">
      <c r="A3218">
        <v>5.7201666666666699E-2</v>
      </c>
      <c r="B3218">
        <v>0.40287736184060802</v>
      </c>
      <c r="C3218">
        <v>0.35353389722904599</v>
      </c>
      <c r="D3218">
        <v>0.56931897593471203</v>
      </c>
      <c r="E3218">
        <v>0.51972664674695801</v>
      </c>
    </row>
    <row r="3219" spans="1:5" x14ac:dyDescent="0.2">
      <c r="A3219">
        <v>5.7235000000000001E-2</v>
      </c>
      <c r="B3219">
        <v>0.40295401091208599</v>
      </c>
      <c r="C3219">
        <v>0.353610756791643</v>
      </c>
      <c r="D3219">
        <v>0.56940141567549596</v>
      </c>
      <c r="E3219">
        <v>0.51980211233753504</v>
      </c>
    </row>
    <row r="3220" spans="1:5" x14ac:dyDescent="0.2">
      <c r="A3220">
        <v>5.7268333333333303E-2</v>
      </c>
      <c r="B3220">
        <v>0.40303066049231601</v>
      </c>
      <c r="C3220">
        <v>0.353687625329143</v>
      </c>
      <c r="D3220">
        <v>0.56948375166162601</v>
      </c>
      <c r="E3220">
        <v>0.519877527679667</v>
      </c>
    </row>
    <row r="3221" spans="1:5" x14ac:dyDescent="0.2">
      <c r="A3221">
        <v>5.7301666666666702E-2</v>
      </c>
      <c r="B3221">
        <v>0.40310731181864801</v>
      </c>
      <c r="C3221">
        <v>0.35376450327207098</v>
      </c>
      <c r="D3221">
        <v>0.56956598405418801</v>
      </c>
      <c r="E3221">
        <v>0.51995289276258905</v>
      </c>
    </row>
    <row r="3222" spans="1:5" x14ac:dyDescent="0.2">
      <c r="A3222">
        <v>5.7334999999999997E-2</v>
      </c>
      <c r="B3222">
        <v>0.40318396612843099</v>
      </c>
      <c r="C3222">
        <v>0.35384139105095602</v>
      </c>
      <c r="D3222">
        <v>0.56964811301426799</v>
      </c>
      <c r="E3222">
        <v>0.52002820757553203</v>
      </c>
    </row>
    <row r="3223" spans="1:5" x14ac:dyDescent="0.2">
      <c r="A3223">
        <v>5.7368333333333299E-2</v>
      </c>
      <c r="B3223">
        <v>0.40326062465901802</v>
      </c>
      <c r="C3223">
        <v>0.353918289096322</v>
      </c>
      <c r="D3223">
        <v>0.56973013870294997</v>
      </c>
      <c r="E3223">
        <v>0.520103472107729</v>
      </c>
    </row>
    <row r="3224" spans="1:5" x14ac:dyDescent="0.2">
      <c r="A3224">
        <v>5.7401666666666698E-2</v>
      </c>
      <c r="B3224">
        <v>0.40333728864775797</v>
      </c>
      <c r="C3224">
        <v>0.35399519783869698</v>
      </c>
      <c r="D3224">
        <v>0.569812061281319</v>
      </c>
      <c r="E3224">
        <v>0.52017868634841402</v>
      </c>
    </row>
    <row r="3225" spans="1:5" x14ac:dyDescent="0.2">
      <c r="A3225">
        <v>5.7435E-2</v>
      </c>
      <c r="B3225">
        <v>0.40341395933200103</v>
      </c>
      <c r="C3225">
        <v>0.35407211770860703</v>
      </c>
      <c r="D3225">
        <v>0.569893880910462</v>
      </c>
      <c r="E3225">
        <v>0.52025385028681903</v>
      </c>
    </row>
    <row r="3226" spans="1:5" x14ac:dyDescent="0.2">
      <c r="A3226">
        <v>5.7468333333333302E-2</v>
      </c>
      <c r="B3226">
        <v>0.40349063794909901</v>
      </c>
      <c r="C3226">
        <v>0.35414904913657902</v>
      </c>
      <c r="D3226">
        <v>0.569975597751462</v>
      </c>
      <c r="E3226">
        <v>0.52032896391217698</v>
      </c>
    </row>
    <row r="3227" spans="1:5" x14ac:dyDescent="0.2">
      <c r="A3227">
        <v>5.7501666666666701E-2</v>
      </c>
      <c r="B3227">
        <v>0.40356732573640097</v>
      </c>
      <c r="C3227">
        <v>0.35422599255314002</v>
      </c>
      <c r="D3227">
        <v>0.57005721196540604</v>
      </c>
      <c r="E3227">
        <v>0.52040402721372103</v>
      </c>
    </row>
    <row r="3228" spans="1:5" x14ac:dyDescent="0.2">
      <c r="A3228">
        <v>5.7535000000000003E-2</v>
      </c>
      <c r="B3228">
        <v>0.40364402393125898</v>
      </c>
      <c r="C3228">
        <v>0.35430294838881499</v>
      </c>
      <c r="D3228">
        <v>0.57013872371337804</v>
      </c>
      <c r="E3228">
        <v>0.52047904018068503</v>
      </c>
    </row>
    <row r="3229" spans="1:5" x14ac:dyDescent="0.2">
      <c r="A3229">
        <v>5.7568333333333298E-2</v>
      </c>
      <c r="B3229">
        <v>0.40372073377102202</v>
      </c>
      <c r="C3229">
        <v>0.35437991707413102</v>
      </c>
      <c r="D3229">
        <v>0.57022013315646403</v>
      </c>
      <c r="E3229">
        <v>0.52055400280230002</v>
      </c>
    </row>
    <row r="3230" spans="1:5" x14ac:dyDescent="0.2">
      <c r="A3230">
        <v>5.7601666666666697E-2</v>
      </c>
      <c r="B3230">
        <v>0.403797456493041</v>
      </c>
      <c r="C3230">
        <v>0.35445689903961503</v>
      </c>
      <c r="D3230">
        <v>0.57030144045574904</v>
      </c>
      <c r="E3230">
        <v>0.52062891506779996</v>
      </c>
    </row>
    <row r="3231" spans="1:5" x14ac:dyDescent="0.2">
      <c r="A3231">
        <v>5.7634999999999999E-2</v>
      </c>
      <c r="B3231">
        <v>0.40387419333466701</v>
      </c>
      <c r="C3231">
        <v>0.354533894715794</v>
      </c>
      <c r="D3231">
        <v>0.57038264577231801</v>
      </c>
      <c r="E3231">
        <v>0.52070377696641801</v>
      </c>
    </row>
    <row r="3232" spans="1:5" x14ac:dyDescent="0.2">
      <c r="A3232">
        <v>5.7668333333333301E-2</v>
      </c>
      <c r="B3232">
        <v>0.40395094553325001</v>
      </c>
      <c r="C3232">
        <v>0.35461090453319399</v>
      </c>
      <c r="D3232">
        <v>0.57046374926725596</v>
      </c>
      <c r="E3232">
        <v>0.52077858848738701</v>
      </c>
    </row>
    <row r="3233" spans="1:5" x14ac:dyDescent="0.2">
      <c r="A3233">
        <v>5.77016666666667E-2</v>
      </c>
      <c r="B3233">
        <v>0.40402771432613999</v>
      </c>
      <c r="C3233">
        <v>0.35468792892234102</v>
      </c>
      <c r="D3233">
        <v>0.57054475110165004</v>
      </c>
      <c r="E3233">
        <v>0.52085334961993901</v>
      </c>
    </row>
    <row r="3234" spans="1:5" x14ac:dyDescent="0.2">
      <c r="A3234">
        <v>5.7735000000000002E-2</v>
      </c>
      <c r="B3234">
        <v>0.40410450095068901</v>
      </c>
      <c r="C3234">
        <v>0.35476496831376197</v>
      </c>
      <c r="D3234">
        <v>0.57062565143658295</v>
      </c>
      <c r="E3234">
        <v>0.52092806035330796</v>
      </c>
    </row>
    <row r="3235" spans="1:5" x14ac:dyDescent="0.2">
      <c r="A3235">
        <v>5.7768333333333297E-2</v>
      </c>
      <c r="B3235">
        <v>0.40418130664424601</v>
      </c>
      <c r="C3235">
        <v>0.35484202313798302</v>
      </c>
      <c r="D3235">
        <v>0.57070645043314105</v>
      </c>
      <c r="E3235">
        <v>0.52100272067672704</v>
      </c>
    </row>
    <row r="3236" spans="1:5" x14ac:dyDescent="0.2">
      <c r="A3236">
        <v>5.7801666666666703E-2</v>
      </c>
      <c r="B3236">
        <v>0.40425813264416099</v>
      </c>
      <c r="C3236">
        <v>0.35491909382553199</v>
      </c>
      <c r="D3236">
        <v>0.57078714825240895</v>
      </c>
      <c r="E3236">
        <v>0.52107733057942696</v>
      </c>
    </row>
    <row r="3237" spans="1:5" x14ac:dyDescent="0.2">
      <c r="A3237">
        <v>5.7834999999999998E-2</v>
      </c>
      <c r="B3237">
        <v>0.40433498018778702</v>
      </c>
      <c r="C3237">
        <v>0.35499618080693401</v>
      </c>
      <c r="D3237">
        <v>0.570867745055474</v>
      </c>
      <c r="E3237">
        <v>0.521151890050643</v>
      </c>
    </row>
    <row r="3238" spans="1:5" x14ac:dyDescent="0.2">
      <c r="A3238">
        <v>5.7868333333333299E-2</v>
      </c>
      <c r="B3238">
        <v>0.40441185051247203</v>
      </c>
      <c r="C3238">
        <v>0.35507328451271702</v>
      </c>
      <c r="D3238">
        <v>0.57094824100341801</v>
      </c>
      <c r="E3238">
        <v>0.52122639907960699</v>
      </c>
    </row>
    <row r="3239" spans="1:5" x14ac:dyDescent="0.2">
      <c r="A3239">
        <v>5.7901666666666698E-2</v>
      </c>
      <c r="B3239">
        <v>0.40448874485556802</v>
      </c>
      <c r="C3239">
        <v>0.35515040537340598</v>
      </c>
      <c r="D3239">
        <v>0.57102863625732903</v>
      </c>
      <c r="E3239">
        <v>0.52130085765555301</v>
      </c>
    </row>
    <row r="3240" spans="1:5" x14ac:dyDescent="0.2">
      <c r="A3240">
        <v>5.7935E-2</v>
      </c>
      <c r="B3240">
        <v>0.40456566445442399</v>
      </c>
      <c r="C3240">
        <v>0.35522754381952798</v>
      </c>
      <c r="D3240">
        <v>0.57110893097829196</v>
      </c>
      <c r="E3240">
        <v>0.52137526576771198</v>
      </c>
    </row>
    <row r="3241" spans="1:5" x14ac:dyDescent="0.2">
      <c r="A3241">
        <v>5.7968333333333302E-2</v>
      </c>
      <c r="B3241">
        <v>0.404642610546392</v>
      </c>
      <c r="C3241">
        <v>0.35530470028160999</v>
      </c>
      <c r="D3241">
        <v>0.57118912532739097</v>
      </c>
      <c r="E3241">
        <v>0.52144962340531797</v>
      </c>
    </row>
    <row r="3242" spans="1:5" x14ac:dyDescent="0.2">
      <c r="A3242">
        <v>5.8001666666666701E-2</v>
      </c>
      <c r="B3242">
        <v>0.40471958436870098</v>
      </c>
      <c r="C3242">
        <v>0.35538187519008801</v>
      </c>
      <c r="D3242">
        <v>0.57126921946571096</v>
      </c>
      <c r="E3242">
        <v>0.52152393055760404</v>
      </c>
    </row>
    <row r="3243" spans="1:5" x14ac:dyDescent="0.2">
      <c r="A3243">
        <v>5.8035000000000003E-2</v>
      </c>
      <c r="B3243">
        <v>0.40479658604361302</v>
      </c>
      <c r="C3243">
        <v>0.35545906813359601</v>
      </c>
      <c r="D3243">
        <v>0.57134921355433899</v>
      </c>
      <c r="E3243">
        <v>0.52159818721380302</v>
      </c>
    </row>
    <row r="3244" spans="1:5" x14ac:dyDescent="0.2">
      <c r="A3244">
        <v>5.8068333333333298E-2</v>
      </c>
      <c r="B3244">
        <v>0.40487361185320497</v>
      </c>
      <c r="C3244">
        <v>0.35553627580144098</v>
      </c>
      <c r="D3244">
        <v>0.57142910775435796</v>
      </c>
      <c r="E3244">
        <v>0.52167239336314797</v>
      </c>
    </row>
    <row r="3245" spans="1:5" x14ac:dyDescent="0.2">
      <c r="A3245">
        <v>5.8101666666666697E-2</v>
      </c>
      <c r="B3245">
        <v>0.404950657253418</v>
      </c>
      <c r="C3245">
        <v>0.35561349425919397</v>
      </c>
      <c r="D3245">
        <v>0.57150890222685502</v>
      </c>
      <c r="E3245">
        <v>0.52174654899487105</v>
      </c>
    </row>
    <row r="3246" spans="1:5" x14ac:dyDescent="0.2">
      <c r="A3246">
        <v>5.8134999999999999E-2</v>
      </c>
      <c r="B3246">
        <v>0.40502771770019003</v>
      </c>
      <c r="C3246">
        <v>0.35569071957242498</v>
      </c>
      <c r="D3246">
        <v>0.57158859713291499</v>
      </c>
      <c r="E3246">
        <v>0.52182065409820599</v>
      </c>
    </row>
    <row r="3247" spans="1:5" x14ac:dyDescent="0.2">
      <c r="A3247">
        <v>5.8168333333333301E-2</v>
      </c>
      <c r="B3247">
        <v>0.40510478864946098</v>
      </c>
      <c r="C3247">
        <v>0.35576794780670701</v>
      </c>
      <c r="D3247">
        <v>0.57166819263362301</v>
      </c>
      <c r="E3247">
        <v>0.52189470866238497</v>
      </c>
    </row>
    <row r="3248" spans="1:5" x14ac:dyDescent="0.2">
      <c r="A3248">
        <v>5.82016666666667E-2</v>
      </c>
      <c r="B3248">
        <v>0.40518186555717101</v>
      </c>
      <c r="C3248">
        <v>0.35584517502760998</v>
      </c>
      <c r="D3248">
        <v>0.571747688890064</v>
      </c>
      <c r="E3248">
        <v>0.52196871267664102</v>
      </c>
    </row>
    <row r="3249" spans="1:5" x14ac:dyDescent="0.2">
      <c r="A3249">
        <v>5.8235000000000002E-2</v>
      </c>
      <c r="B3249">
        <v>0.40525894387925798</v>
      </c>
      <c r="C3249">
        <v>0.35592239730070602</v>
      </c>
      <c r="D3249">
        <v>0.571827086063323</v>
      </c>
      <c r="E3249">
        <v>0.522042666130208</v>
      </c>
    </row>
    <row r="3250" spans="1:5" x14ac:dyDescent="0.2">
      <c r="A3250">
        <v>5.8268333333333297E-2</v>
      </c>
      <c r="B3250">
        <v>0.405336019071662</v>
      </c>
      <c r="C3250">
        <v>0.35599961069156599</v>
      </c>
      <c r="D3250">
        <v>0.57190638431448504</v>
      </c>
      <c r="E3250">
        <v>0.52211656901231795</v>
      </c>
    </row>
    <row r="3251" spans="1:5" x14ac:dyDescent="0.2">
      <c r="A3251">
        <v>5.8301666666666703E-2</v>
      </c>
      <c r="B3251">
        <v>0.40541308659032199</v>
      </c>
      <c r="C3251">
        <v>0.35607681126576202</v>
      </c>
      <c r="D3251">
        <v>0.57198558380463704</v>
      </c>
      <c r="E3251">
        <v>0.52219042131220395</v>
      </c>
    </row>
    <row r="3252" spans="1:5" x14ac:dyDescent="0.2">
      <c r="A3252">
        <v>5.8334999999999998E-2</v>
      </c>
      <c r="B3252">
        <v>0.40549014189117799</v>
      </c>
      <c r="C3252">
        <v>0.35615399508886397</v>
      </c>
      <c r="D3252">
        <v>0.57206468469486205</v>
      </c>
      <c r="E3252">
        <v>0.52226422301909903</v>
      </c>
    </row>
    <row r="3253" spans="1:5" x14ac:dyDescent="0.2">
      <c r="A3253">
        <v>5.83683333333333E-2</v>
      </c>
      <c r="B3253">
        <v>0.40556718043016798</v>
      </c>
      <c r="C3253">
        <v>0.35623115822644502</v>
      </c>
      <c r="D3253">
        <v>0.57214368714624697</v>
      </c>
      <c r="E3253">
        <v>0.52233797412223604</v>
      </c>
    </row>
    <row r="3254" spans="1:5" x14ac:dyDescent="0.2">
      <c r="A3254">
        <v>5.8401666666666699E-2</v>
      </c>
      <c r="B3254">
        <v>0.40564419766323201</v>
      </c>
      <c r="C3254">
        <v>0.35630829674407399</v>
      </c>
      <c r="D3254">
        <v>0.57222259131987696</v>
      </c>
      <c r="E3254">
        <v>0.52241167461084803</v>
      </c>
    </row>
    <row r="3255" spans="1:5" x14ac:dyDescent="0.2">
      <c r="A3255">
        <v>5.8435000000000001E-2</v>
      </c>
      <c r="B3255">
        <v>0.40572118904630999</v>
      </c>
      <c r="C3255">
        <v>0.35638540670732499</v>
      </c>
      <c r="D3255">
        <v>0.57230139737683505</v>
      </c>
      <c r="E3255">
        <v>0.52248532447416696</v>
      </c>
    </row>
    <row r="3256" spans="1:5" x14ac:dyDescent="0.2">
      <c r="A3256">
        <v>5.8468333333333303E-2</v>
      </c>
      <c r="B3256">
        <v>0.40579815003533998</v>
      </c>
      <c r="C3256">
        <v>0.35646248418176701</v>
      </c>
      <c r="D3256">
        <v>0.57238010547820894</v>
      </c>
      <c r="E3256">
        <v>0.52255892370142798</v>
      </c>
    </row>
    <row r="3257" spans="1:5" x14ac:dyDescent="0.2">
      <c r="A3257">
        <v>5.8501666666666702E-2</v>
      </c>
      <c r="B3257">
        <v>0.405875076086262</v>
      </c>
      <c r="C3257">
        <v>0.356539525232973</v>
      </c>
      <c r="D3257">
        <v>0.572458715785084</v>
      </c>
      <c r="E3257">
        <v>0.52263247228186105</v>
      </c>
    </row>
    <row r="3258" spans="1:5" x14ac:dyDescent="0.2">
      <c r="A3258">
        <v>5.8534999999999997E-2</v>
      </c>
      <c r="B3258">
        <v>0.40595196265501599</v>
      </c>
      <c r="C3258">
        <v>0.35661652592651299</v>
      </c>
      <c r="D3258">
        <v>0.57253722845854305</v>
      </c>
      <c r="E3258">
        <v>0.522705970204702</v>
      </c>
    </row>
    <row r="3259" spans="1:5" x14ac:dyDescent="0.2">
      <c r="A3259">
        <v>5.8568333333333299E-2</v>
      </c>
      <c r="B3259">
        <v>0.40602880519753898</v>
      </c>
      <c r="C3259">
        <v>0.356693482327959</v>
      </c>
      <c r="D3259">
        <v>0.57261564365967399</v>
      </c>
      <c r="E3259">
        <v>0.52277941745918199</v>
      </c>
    </row>
    <row r="3260" spans="1:5" x14ac:dyDescent="0.2">
      <c r="A3260">
        <v>5.8601666666666698E-2</v>
      </c>
      <c r="B3260">
        <v>0.40610559916977301</v>
      </c>
      <c r="C3260">
        <v>0.35677039050288201</v>
      </c>
      <c r="D3260">
        <v>0.57269396154955998</v>
      </c>
      <c r="E3260">
        <v>0.52285281403453399</v>
      </c>
    </row>
    <row r="3261" spans="1:5" x14ac:dyDescent="0.2">
      <c r="A3261">
        <v>5.8635E-2</v>
      </c>
      <c r="B3261">
        <v>0.40618234002765602</v>
      </c>
      <c r="C3261">
        <v>0.35684724651685401</v>
      </c>
      <c r="D3261">
        <v>0.57277218228928695</v>
      </c>
      <c r="E3261">
        <v>0.52292615991999103</v>
      </c>
    </row>
    <row r="3262" spans="1:5" x14ac:dyDescent="0.2">
      <c r="A3262">
        <v>5.8668333333333302E-2</v>
      </c>
      <c r="B3262">
        <v>0.40625902322712698</v>
      </c>
      <c r="C3262">
        <v>0.35692404643544501</v>
      </c>
      <c r="D3262">
        <v>0.57285030603994003</v>
      </c>
      <c r="E3262">
        <v>0.52299945510478696</v>
      </c>
    </row>
    <row r="3263" spans="1:5" x14ac:dyDescent="0.2">
      <c r="A3263">
        <v>5.8701666666666701E-2</v>
      </c>
      <c r="B3263">
        <v>0.40633564422412599</v>
      </c>
      <c r="C3263">
        <v>0.35700078632422699</v>
      </c>
      <c r="D3263">
        <v>0.57292833296260604</v>
      </c>
      <c r="E3263">
        <v>0.52307269957815306</v>
      </c>
    </row>
    <row r="3264" spans="1:5" x14ac:dyDescent="0.2">
      <c r="A3264">
        <v>5.8735000000000002E-2</v>
      </c>
      <c r="B3264">
        <v>0.40641219847459298</v>
      </c>
      <c r="C3264">
        <v>0.35707746224877202</v>
      </c>
      <c r="D3264">
        <v>0.57300626321836801</v>
      </c>
      <c r="E3264">
        <v>0.52314589332932404</v>
      </c>
    </row>
    <row r="3265" spans="1:5" x14ac:dyDescent="0.2">
      <c r="A3265">
        <v>5.8768333333333297E-2</v>
      </c>
      <c r="B3265">
        <v>0.40648868143446498</v>
      </c>
      <c r="C3265">
        <v>0.35715407027465101</v>
      </c>
      <c r="D3265">
        <v>0.57308409696831197</v>
      </c>
      <c r="E3265">
        <v>0.52321903634753097</v>
      </c>
    </row>
    <row r="3266" spans="1:5" x14ac:dyDescent="0.2">
      <c r="A3266">
        <v>5.8801666666666703E-2</v>
      </c>
      <c r="B3266">
        <v>0.40656508855968299</v>
      </c>
      <c r="C3266">
        <v>0.35723060646743399</v>
      </c>
      <c r="D3266">
        <v>0.57316183437352297</v>
      </c>
      <c r="E3266">
        <v>0.52329212862200902</v>
      </c>
    </row>
    <row r="3267" spans="1:5" x14ac:dyDescent="0.2">
      <c r="A3267">
        <v>5.8834999999999998E-2</v>
      </c>
      <c r="B3267">
        <v>0.40664141530618603</v>
      </c>
      <c r="C3267">
        <v>0.35730706689269298</v>
      </c>
      <c r="D3267">
        <v>0.57323947559508703</v>
      </c>
      <c r="E3267">
        <v>0.52336517014198902</v>
      </c>
    </row>
    <row r="3268" spans="1:5" x14ac:dyDescent="0.2">
      <c r="A3268">
        <v>5.88683333333333E-2</v>
      </c>
      <c r="B3268">
        <v>0.40671765712991298</v>
      </c>
      <c r="C3268">
        <v>0.35738344761600099</v>
      </c>
      <c r="D3268">
        <v>0.57331702079408797</v>
      </c>
      <c r="E3268">
        <v>0.52343816089670503</v>
      </c>
    </row>
    <row r="3269" spans="1:5" x14ac:dyDescent="0.2">
      <c r="A3269">
        <v>5.8901666666666699E-2</v>
      </c>
      <c r="B3269">
        <v>0.40679380948680399</v>
      </c>
      <c r="C3269">
        <v>0.35745974470292702</v>
      </c>
      <c r="D3269">
        <v>0.57339447013161204</v>
      </c>
      <c r="E3269">
        <v>0.52351110087538899</v>
      </c>
    </row>
    <row r="3270" spans="1:5" x14ac:dyDescent="0.2">
      <c r="A3270">
        <v>5.8935000000000001E-2</v>
      </c>
      <c r="B3270">
        <v>0.40686986783279699</v>
      </c>
      <c r="C3270">
        <v>0.357535954219043</v>
      </c>
      <c r="D3270">
        <v>0.57347182376874495</v>
      </c>
      <c r="E3270">
        <v>0.52358399006727496</v>
      </c>
    </row>
    <row r="3271" spans="1:5" x14ac:dyDescent="0.2">
      <c r="A3271">
        <v>5.8968333333333303E-2</v>
      </c>
      <c r="B3271">
        <v>0.40694582762383302</v>
      </c>
      <c r="C3271">
        <v>0.35761207222991998</v>
      </c>
      <c r="D3271">
        <v>0.57354908186657105</v>
      </c>
      <c r="E3271">
        <v>0.523656828461595</v>
      </c>
    </row>
    <row r="3272" spans="1:5" x14ac:dyDescent="0.2">
      <c r="A3272">
        <v>5.9001666666666702E-2</v>
      </c>
      <c r="B3272">
        <v>0.40702168431594499</v>
      </c>
      <c r="C3272">
        <v>0.357688094801212</v>
      </c>
      <c r="D3272">
        <v>0.57362624458617595</v>
      </c>
      <c r="E3272">
        <v>0.52372961604758295</v>
      </c>
    </row>
    <row r="3273" spans="1:5" x14ac:dyDescent="0.2">
      <c r="A3273">
        <v>5.9034999999999997E-2</v>
      </c>
      <c r="B3273">
        <v>0.40709743424220601</v>
      </c>
      <c r="C3273">
        <v>0.35776401875067698</v>
      </c>
      <c r="D3273">
        <v>0.573703312088644</v>
      </c>
      <c r="E3273">
        <v>0.52380235281447096</v>
      </c>
    </row>
    <row r="3274" spans="1:5" x14ac:dyDescent="0.2">
      <c r="A3274">
        <v>5.9068333333333299E-2</v>
      </c>
      <c r="B3274">
        <v>0.40717307675639203</v>
      </c>
      <c r="C3274">
        <v>0.35783984348648601</v>
      </c>
      <c r="D3274">
        <v>0.57378028453506202</v>
      </c>
      <c r="E3274">
        <v>0.523875038751491</v>
      </c>
    </row>
    <row r="3275" spans="1:5" x14ac:dyDescent="0.2">
      <c r="A3275">
        <v>5.9101666666666698E-2</v>
      </c>
      <c r="B3275">
        <v>0.40724861186212302</v>
      </c>
      <c r="C3275">
        <v>0.357915568974085</v>
      </c>
      <c r="D3275">
        <v>0.57385716208651405</v>
      </c>
      <c r="E3275">
        <v>0.52394767384787899</v>
      </c>
    </row>
    <row r="3276" spans="1:5" x14ac:dyDescent="0.2">
      <c r="A3276">
        <v>5.9135E-2</v>
      </c>
      <c r="B3276">
        <v>0.40732403956301799</v>
      </c>
      <c r="C3276">
        <v>0.35799119517891898</v>
      </c>
      <c r="D3276">
        <v>0.573933944904085</v>
      </c>
      <c r="E3276">
        <v>0.52402025809286501</v>
      </c>
    </row>
    <row r="3277" spans="1:5" x14ac:dyDescent="0.2">
      <c r="A3277">
        <v>5.9168333333333302E-2</v>
      </c>
      <c r="B3277">
        <v>0.40739935986269799</v>
      </c>
      <c r="C3277">
        <v>0.35806672206643397</v>
      </c>
      <c r="D3277">
        <v>0.57401063314886103</v>
      </c>
      <c r="E3277">
        <v>0.524092791475683</v>
      </c>
    </row>
    <row r="3278" spans="1:5" x14ac:dyDescent="0.2">
      <c r="A3278">
        <v>5.9201666666666701E-2</v>
      </c>
      <c r="B3278">
        <v>0.40747457276478299</v>
      </c>
      <c r="C3278">
        <v>0.35814214960207702</v>
      </c>
      <c r="D3278">
        <v>0.57408722698192804</v>
      </c>
      <c r="E3278">
        <v>0.52416527398556501</v>
      </c>
    </row>
    <row r="3279" spans="1:5" x14ac:dyDescent="0.2">
      <c r="A3279">
        <v>5.9235000000000003E-2</v>
      </c>
      <c r="B3279">
        <v>0.40754967827289301</v>
      </c>
      <c r="C3279">
        <v>0.35821747775129298</v>
      </c>
      <c r="D3279">
        <v>0.57416372656436898</v>
      </c>
      <c r="E3279">
        <v>0.52423770561174599</v>
      </c>
    </row>
    <row r="3280" spans="1:5" x14ac:dyDescent="0.2">
      <c r="A3280">
        <v>5.9268333333333298E-2</v>
      </c>
      <c r="B3280">
        <v>0.40762467639064698</v>
      </c>
      <c r="C3280">
        <v>0.35829270647952799</v>
      </c>
      <c r="D3280">
        <v>0.57424013205727198</v>
      </c>
      <c r="E3280">
        <v>0.52431008634345699</v>
      </c>
    </row>
    <row r="3281" spans="1:5" x14ac:dyDescent="0.2">
      <c r="A3281">
        <v>5.9301666666666697E-2</v>
      </c>
      <c r="B3281">
        <v>0.407699567121666</v>
      </c>
      <c r="C3281">
        <v>0.35836783575222902</v>
      </c>
      <c r="D3281">
        <v>0.57431644362171896</v>
      </c>
      <c r="E3281">
        <v>0.52438241616993198</v>
      </c>
    </row>
    <row r="3282" spans="1:5" x14ac:dyDescent="0.2">
      <c r="A3282">
        <v>5.9334999999999999E-2</v>
      </c>
      <c r="B3282">
        <v>0.407774350469569</v>
      </c>
      <c r="C3282">
        <v>0.35844286553484001</v>
      </c>
      <c r="D3282">
        <v>0.57439266141879797</v>
      </c>
      <c r="E3282">
        <v>0.52445469508040299</v>
      </c>
    </row>
    <row r="3283" spans="1:5" x14ac:dyDescent="0.2">
      <c r="A3283">
        <v>5.9368333333333301E-2</v>
      </c>
      <c r="B3283">
        <v>0.40784902643797699</v>
      </c>
      <c r="C3283">
        <v>0.35851779579280801</v>
      </c>
      <c r="D3283">
        <v>0.57446878560959302</v>
      </c>
      <c r="E3283">
        <v>0.52452692306410298</v>
      </c>
    </row>
    <row r="3284" spans="1:5" x14ac:dyDescent="0.2">
      <c r="A3284">
        <v>5.94016666666667E-2</v>
      </c>
      <c r="B3284">
        <v>0.40792359503051001</v>
      </c>
      <c r="C3284">
        <v>0.35859262649157903</v>
      </c>
      <c r="D3284">
        <v>0.57454481635518895</v>
      </c>
      <c r="E3284">
        <v>0.524599100110266</v>
      </c>
    </row>
    <row r="3285" spans="1:5" x14ac:dyDescent="0.2">
      <c r="A3285">
        <v>5.9435000000000002E-2</v>
      </c>
      <c r="B3285">
        <v>0.407998056250787</v>
      </c>
      <c r="C3285">
        <v>0.35866735759659901</v>
      </c>
      <c r="D3285">
        <v>0.57462075381667199</v>
      </c>
      <c r="E3285">
        <v>0.52467122620812401</v>
      </c>
    </row>
    <row r="3286" spans="1:5" x14ac:dyDescent="0.2">
      <c r="A3286">
        <v>5.9468333333333297E-2</v>
      </c>
      <c r="B3286">
        <v>0.40807241010242901</v>
      </c>
      <c r="C3286">
        <v>0.358741989073314</v>
      </c>
      <c r="D3286">
        <v>0.57469659815512697</v>
      </c>
      <c r="E3286">
        <v>0.52474330134691005</v>
      </c>
    </row>
    <row r="3287" spans="1:5" x14ac:dyDescent="0.2">
      <c r="A3287">
        <v>5.9501666666666703E-2</v>
      </c>
      <c r="B3287">
        <v>0.40814665658905602</v>
      </c>
      <c r="C3287">
        <v>0.35881652088716898</v>
      </c>
      <c r="D3287">
        <v>0.57477234953163903</v>
      </c>
      <c r="E3287">
        <v>0.52481532551585797</v>
      </c>
    </row>
    <row r="3288" spans="1:5" x14ac:dyDescent="0.2">
      <c r="A3288">
        <v>5.9534999999999998E-2</v>
      </c>
      <c r="B3288">
        <v>0.40822079571428699</v>
      </c>
      <c r="C3288">
        <v>0.35889095300361101</v>
      </c>
      <c r="D3288">
        <v>0.57484800810729297</v>
      </c>
      <c r="E3288">
        <v>0.52488729870419903</v>
      </c>
    </row>
    <row r="3289" spans="1:5" x14ac:dyDescent="0.2">
      <c r="A3289">
        <v>5.95683333333333E-2</v>
      </c>
      <c r="B3289">
        <v>0.40829482748174301</v>
      </c>
      <c r="C3289">
        <v>0.35896528538808498</v>
      </c>
      <c r="D3289">
        <v>0.57492357404317496</v>
      </c>
      <c r="E3289">
        <v>0.52495922090116698</v>
      </c>
    </row>
    <row r="3290" spans="1:5" x14ac:dyDescent="0.2">
      <c r="A3290">
        <v>5.9601666666666699E-2</v>
      </c>
      <c r="B3290">
        <v>0.40836875189504301</v>
      </c>
      <c r="C3290">
        <v>0.35903951800603701</v>
      </c>
      <c r="D3290">
        <v>0.57499904750036901</v>
      </c>
      <c r="E3290">
        <v>0.52503109209599497</v>
      </c>
    </row>
    <row r="3291" spans="1:5" x14ac:dyDescent="0.2">
      <c r="A3291">
        <v>5.9635000000000001E-2</v>
      </c>
      <c r="B3291">
        <v>0.40844256895780701</v>
      </c>
      <c r="C3291">
        <v>0.35911365082291302</v>
      </c>
      <c r="D3291">
        <v>0.57507442863996205</v>
      </c>
      <c r="E3291">
        <v>0.52510291227791595</v>
      </c>
    </row>
    <row r="3292" spans="1:5" x14ac:dyDescent="0.2">
      <c r="A3292">
        <v>5.9668333333333302E-2</v>
      </c>
      <c r="B3292">
        <v>0.40851627867365697</v>
      </c>
      <c r="C3292">
        <v>0.35918768380416</v>
      </c>
      <c r="D3292">
        <v>0.57514971762303801</v>
      </c>
      <c r="E3292">
        <v>0.52517468143616197</v>
      </c>
    </row>
    <row r="3293" spans="1:5" x14ac:dyDescent="0.2">
      <c r="A3293">
        <v>5.9701666666666701E-2</v>
      </c>
      <c r="B3293">
        <v>0.40858988104621002</v>
      </c>
      <c r="C3293">
        <v>0.35926161691522301</v>
      </c>
      <c r="D3293">
        <v>0.57522491461068204</v>
      </c>
      <c r="E3293">
        <v>0.52524639955996699</v>
      </c>
    </row>
    <row r="3294" spans="1:5" x14ac:dyDescent="0.2">
      <c r="A3294">
        <v>5.9735000000000003E-2</v>
      </c>
      <c r="B3294">
        <v>0.40866337607908898</v>
      </c>
      <c r="C3294">
        <v>0.359335450121547</v>
      </c>
      <c r="D3294">
        <v>0.57530001976398004</v>
      </c>
      <c r="E3294">
        <v>0.52531806663856395</v>
      </c>
    </row>
    <row r="3295" spans="1:5" x14ac:dyDescent="0.2">
      <c r="A3295">
        <v>5.9768333333333298E-2</v>
      </c>
      <c r="B3295">
        <v>0.40873676377591101</v>
      </c>
      <c r="C3295">
        <v>0.35940918338858002</v>
      </c>
      <c r="D3295">
        <v>0.57537503324401695</v>
      </c>
      <c r="E3295">
        <v>0.52538968266118402</v>
      </c>
    </row>
    <row r="3296" spans="1:5" x14ac:dyDescent="0.2">
      <c r="A3296">
        <v>5.9801666666666697E-2</v>
      </c>
      <c r="B3296">
        <v>0.40881004414029798</v>
      </c>
      <c r="C3296">
        <v>0.35948281668176602</v>
      </c>
      <c r="D3296">
        <v>0.57544995521187803</v>
      </c>
      <c r="E3296">
        <v>0.52546124761706203</v>
      </c>
    </row>
    <row r="3297" spans="1:5" x14ac:dyDescent="0.2">
      <c r="A3297">
        <v>5.9834999999999999E-2</v>
      </c>
      <c r="B3297">
        <v>0.40888321717587001</v>
      </c>
      <c r="C3297">
        <v>0.359556349966552</v>
      </c>
      <c r="D3297">
        <v>0.57552478582864897</v>
      </c>
      <c r="E3297">
        <v>0.52553276149543005</v>
      </c>
    </row>
    <row r="3298" spans="1:5" x14ac:dyDescent="0.2">
      <c r="A3298">
        <v>5.9868333333333301E-2</v>
      </c>
      <c r="B3298">
        <v>0.40895628288624603</v>
      </c>
      <c r="C3298">
        <v>0.35962978320838401</v>
      </c>
      <c r="D3298">
        <v>0.57559952525541402</v>
      </c>
      <c r="E3298">
        <v>0.525604224285522</v>
      </c>
    </row>
    <row r="3299" spans="1:5" x14ac:dyDescent="0.2">
      <c r="A3299">
        <v>5.99016666666667E-2</v>
      </c>
      <c r="B3299">
        <v>0.40902924127504697</v>
      </c>
      <c r="C3299">
        <v>0.35970311637270702</v>
      </c>
      <c r="D3299">
        <v>0.57567417365325901</v>
      </c>
      <c r="E3299">
        <v>0.52567563597656897</v>
      </c>
    </row>
    <row r="3300" spans="1:5" x14ac:dyDescent="0.2">
      <c r="A3300">
        <v>5.9935000000000002E-2</v>
      </c>
      <c r="B3300">
        <v>0.40910209234589201</v>
      </c>
      <c r="C3300">
        <v>0.359776349424968</v>
      </c>
      <c r="D3300">
        <v>0.57574873118326897</v>
      </c>
      <c r="E3300">
        <v>0.52574699655780599</v>
      </c>
    </row>
    <row r="3301" spans="1:5" x14ac:dyDescent="0.2">
      <c r="A3301">
        <v>5.9968333333333297E-2</v>
      </c>
      <c r="B3301">
        <v>0.40917483610240102</v>
      </c>
      <c r="C3301">
        <v>0.35984948233061198</v>
      </c>
      <c r="D3301">
        <v>0.57582319800652904</v>
      </c>
      <c r="E3301">
        <v>0.52581830601846402</v>
      </c>
    </row>
    <row r="3302" spans="1:5" x14ac:dyDescent="0.2">
      <c r="A3302">
        <v>6.0001666666666703E-2</v>
      </c>
      <c r="B3302">
        <v>0.40924747254819499</v>
      </c>
      <c r="C3302">
        <v>0.35992251505508499</v>
      </c>
      <c r="D3302">
        <v>0.57589757428412502</v>
      </c>
      <c r="E3302">
        <v>0.52588956434777701</v>
      </c>
    </row>
    <row r="3303" spans="1:5" x14ac:dyDescent="0.2">
      <c r="A3303">
        <v>6.0034999999999998E-2</v>
      </c>
      <c r="B3303">
        <v>0.40932000168689298</v>
      </c>
      <c r="C3303">
        <v>0.359995447563834</v>
      </c>
      <c r="D3303">
        <v>0.57597186017714197</v>
      </c>
      <c r="E3303">
        <v>0.525960771534978</v>
      </c>
    </row>
    <row r="3304" spans="1:5" x14ac:dyDescent="0.2">
      <c r="A3304">
        <v>6.00683333333333E-2</v>
      </c>
      <c r="B3304">
        <v>0.40939242352211502</v>
      </c>
      <c r="C3304">
        <v>0.36006827982230299</v>
      </c>
      <c r="D3304">
        <v>0.57604605584666502</v>
      </c>
      <c r="E3304">
        <v>0.52603192756929895</v>
      </c>
    </row>
    <row r="3305" spans="1:5" x14ac:dyDescent="0.2">
      <c r="A3305">
        <v>6.0101666666666699E-2</v>
      </c>
      <c r="B3305">
        <v>0.40946473805748201</v>
      </c>
      <c r="C3305">
        <v>0.36014101179593999</v>
      </c>
      <c r="D3305">
        <v>0.57612016145377898</v>
      </c>
      <c r="E3305">
        <v>0.52610303243997403</v>
      </c>
    </row>
    <row r="3306" spans="1:5" x14ac:dyDescent="0.2">
      <c r="A3306">
        <v>6.0135000000000001E-2</v>
      </c>
      <c r="B3306">
        <v>0.409536945296613</v>
      </c>
      <c r="C3306">
        <v>0.36021364345019002</v>
      </c>
      <c r="D3306">
        <v>0.576194177159569</v>
      </c>
      <c r="E3306">
        <v>0.52617408613623495</v>
      </c>
    </row>
    <row r="3307" spans="1:5" x14ac:dyDescent="0.2">
      <c r="A3307">
        <v>6.0168333333333303E-2</v>
      </c>
      <c r="B3307">
        <v>0.40960904524312902</v>
      </c>
      <c r="C3307">
        <v>0.36028617475049801</v>
      </c>
      <c r="D3307">
        <v>0.576268103125121</v>
      </c>
      <c r="E3307">
        <v>0.52624508864731601</v>
      </c>
    </row>
    <row r="3308" spans="1:5" x14ac:dyDescent="0.2">
      <c r="A3308">
        <v>6.0201666666666702E-2</v>
      </c>
      <c r="B3308">
        <v>0.40968103790064903</v>
      </c>
      <c r="C3308">
        <v>0.36035860566231098</v>
      </c>
      <c r="D3308">
        <v>0.57634193951152002</v>
      </c>
      <c r="E3308">
        <v>0.52631603996244902</v>
      </c>
    </row>
    <row r="3309" spans="1:5" x14ac:dyDescent="0.2">
      <c r="A3309">
        <v>6.0234999999999997E-2</v>
      </c>
      <c r="B3309">
        <v>0.409752923272793</v>
      </c>
      <c r="C3309">
        <v>0.36043093615107502</v>
      </c>
      <c r="D3309">
        <v>0.57641568647985197</v>
      </c>
      <c r="E3309">
        <v>0.52638694007086695</v>
      </c>
    </row>
    <row r="3310" spans="1:5" x14ac:dyDescent="0.2">
      <c r="A3310">
        <v>6.0268333333333299E-2</v>
      </c>
      <c r="B3310">
        <v>0.409824701363181</v>
      </c>
      <c r="C3310">
        <v>0.36050316618223499</v>
      </c>
      <c r="D3310">
        <v>0.57648934419120001</v>
      </c>
      <c r="E3310">
        <v>0.52645778896180295</v>
      </c>
    </row>
    <row r="3311" spans="1:5" x14ac:dyDescent="0.2">
      <c r="A3311">
        <v>6.0301666666666698E-2</v>
      </c>
      <c r="B3311">
        <v>0.40989637217543401</v>
      </c>
      <c r="C3311">
        <v>0.36057529572123798</v>
      </c>
      <c r="D3311">
        <v>0.57656291280665095</v>
      </c>
      <c r="E3311">
        <v>0.52652858662449098</v>
      </c>
    </row>
    <row r="3312" spans="1:5" x14ac:dyDescent="0.2">
      <c r="A3312">
        <v>6.0335E-2</v>
      </c>
      <c r="B3312">
        <v>0.40996793571317097</v>
      </c>
      <c r="C3312">
        <v>0.36064732473353001</v>
      </c>
      <c r="D3312">
        <v>0.57663639248729004</v>
      </c>
      <c r="E3312">
        <v>0.52659933304816198</v>
      </c>
    </row>
    <row r="3313" spans="1:5" x14ac:dyDescent="0.2">
      <c r="A3313">
        <v>6.0368333333333302E-2</v>
      </c>
      <c r="B3313">
        <v>0.41003939198001199</v>
      </c>
      <c r="C3313">
        <v>0.360719253184555</v>
      </c>
      <c r="D3313">
        <v>0.57670978339420298</v>
      </c>
      <c r="E3313">
        <v>0.52667002822205</v>
      </c>
    </row>
    <row r="3314" spans="1:5" x14ac:dyDescent="0.2">
      <c r="A3314">
        <v>6.0401666666666701E-2</v>
      </c>
      <c r="B3314">
        <v>0.410110740979577</v>
      </c>
      <c r="C3314">
        <v>0.36079108103976099</v>
      </c>
      <c r="D3314">
        <v>0.57678308568847303</v>
      </c>
      <c r="E3314">
        <v>0.526740672135388</v>
      </c>
    </row>
    <row r="3315" spans="1:5" x14ac:dyDescent="0.2">
      <c r="A3315">
        <v>6.0435000000000003E-2</v>
      </c>
      <c r="B3315">
        <v>0.410181982715487</v>
      </c>
      <c r="C3315">
        <v>0.36086280826459299</v>
      </c>
      <c r="D3315">
        <v>0.576856299531187</v>
      </c>
      <c r="E3315">
        <v>0.52681126477740903</v>
      </c>
    </row>
    <row r="3316" spans="1:5" x14ac:dyDescent="0.2">
      <c r="A3316">
        <v>6.0468333333333298E-2</v>
      </c>
      <c r="B3316">
        <v>0.41025311719136098</v>
      </c>
      <c r="C3316">
        <v>0.360934434824497</v>
      </c>
      <c r="D3316">
        <v>0.57692942508343004</v>
      </c>
      <c r="E3316">
        <v>0.52688180613734503</v>
      </c>
    </row>
    <row r="3317" spans="1:5" x14ac:dyDescent="0.2">
      <c r="A3317">
        <v>6.0501666666666697E-2</v>
      </c>
      <c r="B3317">
        <v>0.41032414441081899</v>
      </c>
      <c r="C3317">
        <v>0.36100596068491903</v>
      </c>
      <c r="D3317">
        <v>0.57700246250628695</v>
      </c>
      <c r="E3317">
        <v>0.52695229620442996</v>
      </c>
    </row>
    <row r="3318" spans="1:5" x14ac:dyDescent="0.2">
      <c r="A3318">
        <v>6.0534999999999999E-2</v>
      </c>
      <c r="B3318">
        <v>0.41039506437748102</v>
      </c>
      <c r="C3318">
        <v>0.361077385811305</v>
      </c>
      <c r="D3318">
        <v>0.577075411960843</v>
      </c>
      <c r="E3318">
        <v>0.52702273496789598</v>
      </c>
    </row>
    <row r="3319" spans="1:5" x14ac:dyDescent="0.2">
      <c r="A3319">
        <v>6.05683333333333E-2</v>
      </c>
      <c r="B3319">
        <v>0.41046587709496801</v>
      </c>
      <c r="C3319">
        <v>0.36114871016910099</v>
      </c>
      <c r="D3319">
        <v>0.57714827360818299</v>
      </c>
      <c r="E3319">
        <v>0.52709312241697603</v>
      </c>
    </row>
    <row r="3320" spans="1:5" x14ac:dyDescent="0.2">
      <c r="A3320">
        <v>6.0601666666666699E-2</v>
      </c>
      <c r="B3320">
        <v>0.41053658256689901</v>
      </c>
      <c r="C3320">
        <v>0.361219933723753</v>
      </c>
      <c r="D3320">
        <v>0.57722104760939297</v>
      </c>
      <c r="E3320">
        <v>0.52716345854090396</v>
      </c>
    </row>
    <row r="3321" spans="1:5" x14ac:dyDescent="0.2">
      <c r="A3321">
        <v>6.0635000000000001E-2</v>
      </c>
      <c r="B3321">
        <v>0.41060718079689301</v>
      </c>
      <c r="C3321">
        <v>0.36129105644070603</v>
      </c>
      <c r="D3321">
        <v>0.57729373412555895</v>
      </c>
      <c r="E3321">
        <v>0.52723374332891204</v>
      </c>
    </row>
    <row r="3322" spans="1:5" x14ac:dyDescent="0.2">
      <c r="A3322">
        <v>6.0668333333333303E-2</v>
      </c>
      <c r="B3322">
        <v>0.41067767178857201</v>
      </c>
      <c r="C3322">
        <v>0.36136207828540601</v>
      </c>
      <c r="D3322">
        <v>0.57736633331776399</v>
      </c>
      <c r="E3322">
        <v>0.527303976770233</v>
      </c>
    </row>
    <row r="3323" spans="1:5" x14ac:dyDescent="0.2">
      <c r="A3323">
        <v>6.0701666666666702E-2</v>
      </c>
      <c r="B3323">
        <v>0.41074805554555499</v>
      </c>
      <c r="C3323">
        <v>0.36143299922330102</v>
      </c>
      <c r="D3323">
        <v>0.577438845347094</v>
      </c>
      <c r="E3323">
        <v>0.52737415885409999</v>
      </c>
    </row>
    <row r="3324" spans="1:5" x14ac:dyDescent="0.2">
      <c r="A3324">
        <v>6.0734999999999997E-2</v>
      </c>
      <c r="B3324">
        <v>0.41081833207146301</v>
      </c>
      <c r="C3324">
        <v>0.36150381921983399</v>
      </c>
      <c r="D3324">
        <v>0.57751127037463601</v>
      </c>
      <c r="E3324">
        <v>0.52744428956974598</v>
      </c>
    </row>
    <row r="3325" spans="1:5" x14ac:dyDescent="0.2">
      <c r="A3325">
        <v>6.0768333333333299E-2</v>
      </c>
      <c r="B3325">
        <v>0.41088850136991401</v>
      </c>
      <c r="C3325">
        <v>0.36157453824045299</v>
      </c>
      <c r="D3325">
        <v>0.57758360856147295</v>
      </c>
      <c r="E3325">
        <v>0.52751436890640402</v>
      </c>
    </row>
    <row r="3326" spans="1:5" x14ac:dyDescent="0.2">
      <c r="A3326">
        <v>6.0801666666666698E-2</v>
      </c>
      <c r="B3326">
        <v>0.41095856344452902</v>
      </c>
      <c r="C3326">
        <v>0.36164515625060301</v>
      </c>
      <c r="D3326">
        <v>0.57765586006869096</v>
      </c>
      <c r="E3326">
        <v>0.52758439685330705</v>
      </c>
    </row>
    <row r="3327" spans="1:5" x14ac:dyDescent="0.2">
      <c r="A3327">
        <v>6.0835E-2</v>
      </c>
      <c r="B3327">
        <v>0.411028518298929</v>
      </c>
      <c r="C3327">
        <v>0.36171567321573</v>
      </c>
      <c r="D3327">
        <v>0.57772802505737497</v>
      </c>
      <c r="E3327">
        <v>0.52765437339968702</v>
      </c>
    </row>
    <row r="3328" spans="1:5" x14ac:dyDescent="0.2">
      <c r="A3328">
        <v>6.0868333333333302E-2</v>
      </c>
      <c r="B3328">
        <v>0.41109836593673199</v>
      </c>
      <c r="C3328">
        <v>0.36178608910128002</v>
      </c>
      <c r="D3328">
        <v>0.57780010368861101</v>
      </c>
      <c r="E3328">
        <v>0.52772429853477798</v>
      </c>
    </row>
    <row r="3329" spans="1:5" x14ac:dyDescent="0.2">
      <c r="A3329">
        <v>6.0901666666666701E-2</v>
      </c>
      <c r="B3329">
        <v>0.41116810636155998</v>
      </c>
      <c r="C3329">
        <v>0.36185640387269902</v>
      </c>
      <c r="D3329">
        <v>0.577872096123484</v>
      </c>
      <c r="E3329">
        <v>0.527794172247812</v>
      </c>
    </row>
    <row r="3330" spans="1:5" x14ac:dyDescent="0.2">
      <c r="A3330">
        <v>6.0935000000000003E-2</v>
      </c>
      <c r="B3330">
        <v>0.41123773957703103</v>
      </c>
      <c r="C3330">
        <v>0.36192661749543298</v>
      </c>
      <c r="D3330">
        <v>0.57794400252307898</v>
      </c>
      <c r="E3330">
        <v>0.52786399452802302</v>
      </c>
    </row>
    <row r="3331" spans="1:5" x14ac:dyDescent="0.2">
      <c r="A3331">
        <v>6.0968333333333298E-2</v>
      </c>
      <c r="B3331">
        <v>0.411307265586767</v>
      </c>
      <c r="C3331">
        <v>0.36199672993492799</v>
      </c>
      <c r="D3331">
        <v>0.57801582304848098</v>
      </c>
      <c r="E3331">
        <v>0.52793376536464398</v>
      </c>
    </row>
    <row r="3332" spans="1:5" x14ac:dyDescent="0.2">
      <c r="A3332">
        <v>6.1001666666666697E-2</v>
      </c>
      <c r="B3332">
        <v>0.41137668439448</v>
      </c>
      <c r="C3332">
        <v>0.362066741156719</v>
      </c>
      <c r="D3332">
        <v>0.57808755786077504</v>
      </c>
      <c r="E3332">
        <v>0.52800348474691206</v>
      </c>
    </row>
    <row r="3333" spans="1:5" x14ac:dyDescent="0.2">
      <c r="A3333">
        <v>6.1034999999999999E-2</v>
      </c>
      <c r="B3333">
        <v>0.41144599687250399</v>
      </c>
      <c r="C3333">
        <v>0.36213665195845901</v>
      </c>
      <c r="D3333">
        <v>0.57815920712104796</v>
      </c>
      <c r="E3333">
        <v>0.52807315271572897</v>
      </c>
    </row>
    <row r="3334" spans="1:5" x14ac:dyDescent="0.2">
      <c r="A3334">
        <v>6.1068333333333301E-2</v>
      </c>
      <c r="B3334">
        <v>0.41151520688487198</v>
      </c>
      <c r="C3334">
        <v>0.36220646600378098</v>
      </c>
      <c r="D3334">
        <v>0.578230770990383</v>
      </c>
      <c r="E3334">
        <v>0.52814276948993599</v>
      </c>
    </row>
    <row r="3335" spans="1:5" x14ac:dyDescent="0.2">
      <c r="A3335">
        <v>6.11016666666667E-2</v>
      </c>
      <c r="B3335">
        <v>0.41158431893922098</v>
      </c>
      <c r="C3335">
        <v>0.362276187572877</v>
      </c>
      <c r="D3335">
        <v>0.57830224962986598</v>
      </c>
      <c r="E3335">
        <v>0.52821233532665102</v>
      </c>
    </row>
    <row r="3336" spans="1:5" x14ac:dyDescent="0.2">
      <c r="A3336">
        <v>6.1135000000000002E-2</v>
      </c>
      <c r="B3336">
        <v>0.411653337543192</v>
      </c>
      <c r="C3336">
        <v>0.36234582094593798</v>
      </c>
      <c r="D3336">
        <v>0.57837364320058204</v>
      </c>
      <c r="E3336">
        <v>0.52828185048299603</v>
      </c>
    </row>
    <row r="3337" spans="1:5" x14ac:dyDescent="0.2">
      <c r="A3337">
        <v>6.1168333333333297E-2</v>
      </c>
      <c r="B3337">
        <v>0.41172226720442101</v>
      </c>
      <c r="C3337">
        <v>0.36241537040315502</v>
      </c>
      <c r="D3337">
        <v>0.578444951863617</v>
      </c>
      <c r="E3337">
        <v>0.52835131521608902</v>
      </c>
    </row>
    <row r="3338" spans="1:5" x14ac:dyDescent="0.2">
      <c r="A3338">
        <v>6.1201666666666703E-2</v>
      </c>
      <c r="B3338">
        <v>0.411791112430549</v>
      </c>
      <c r="C3338">
        <v>0.36248484022472199</v>
      </c>
      <c r="D3338">
        <v>0.57851617578005599</v>
      </c>
      <c r="E3338">
        <v>0.52842072978305099</v>
      </c>
    </row>
    <row r="3339" spans="1:5" x14ac:dyDescent="0.2">
      <c r="A3339">
        <v>6.1234999999999998E-2</v>
      </c>
      <c r="B3339">
        <v>0.41185987772921301</v>
      </c>
      <c r="C3339">
        <v>0.36255423469082898</v>
      </c>
      <c r="D3339">
        <v>0.57858731511098405</v>
      </c>
      <c r="E3339">
        <v>0.52849009444100103</v>
      </c>
    </row>
    <row r="3340" spans="1:5" x14ac:dyDescent="0.2">
      <c r="A3340">
        <v>6.12683333333333E-2</v>
      </c>
      <c r="B3340">
        <v>0.41192856760805302</v>
      </c>
      <c r="C3340">
        <v>0.36262355808166902</v>
      </c>
      <c r="D3340">
        <v>0.57865837001748699</v>
      </c>
      <c r="E3340">
        <v>0.52855940944705804</v>
      </c>
    </row>
    <row r="3341" spans="1:5" x14ac:dyDescent="0.2">
      <c r="A3341">
        <v>6.1301666666666699E-2</v>
      </c>
      <c r="B3341">
        <v>0.41199718657470602</v>
      </c>
      <c r="C3341">
        <v>0.36269281467743197</v>
      </c>
      <c r="D3341">
        <v>0.57872934066064896</v>
      </c>
      <c r="E3341">
        <v>0.52862867505834399</v>
      </c>
    </row>
    <row r="3342" spans="1:5" x14ac:dyDescent="0.2">
      <c r="A3342">
        <v>6.1335000000000001E-2</v>
      </c>
      <c r="B3342">
        <v>0.41206573913681099</v>
      </c>
      <c r="C3342">
        <v>0.36276200875831199</v>
      </c>
      <c r="D3342">
        <v>0.578800227201555</v>
      </c>
      <c r="E3342">
        <v>0.52869789153197599</v>
      </c>
    </row>
    <row r="3343" spans="1:5" x14ac:dyDescent="0.2">
      <c r="A3343">
        <v>6.1368333333333303E-2</v>
      </c>
      <c r="B3343">
        <v>0.41213422980200798</v>
      </c>
      <c r="C3343">
        <v>0.3628311446045</v>
      </c>
      <c r="D3343">
        <v>0.57887102980129201</v>
      </c>
      <c r="E3343">
        <v>0.52876705912507604</v>
      </c>
    </row>
    <row r="3344" spans="1:5" x14ac:dyDescent="0.2">
      <c r="A3344">
        <v>6.1401666666666702E-2</v>
      </c>
      <c r="B3344">
        <v>0.41220266307793402</v>
      </c>
      <c r="C3344">
        <v>0.36290022649618697</v>
      </c>
      <c r="D3344">
        <v>0.57894174862094405</v>
      </c>
      <c r="E3344">
        <v>0.52883617809476302</v>
      </c>
    </row>
    <row r="3345" spans="1:5" x14ac:dyDescent="0.2">
      <c r="A3345">
        <v>6.1434999999999997E-2</v>
      </c>
      <c r="B3345">
        <v>0.41227104347222798</v>
      </c>
      <c r="C3345">
        <v>0.362969258713565</v>
      </c>
      <c r="D3345">
        <v>0.57901238382159603</v>
      </c>
      <c r="E3345">
        <v>0.52890524869815703</v>
      </c>
    </row>
    <row r="3346" spans="1:5" x14ac:dyDescent="0.2">
      <c r="A3346">
        <v>6.1468333333333298E-2</v>
      </c>
      <c r="B3346">
        <v>0.41233937549252903</v>
      </c>
      <c r="C3346">
        <v>0.36303824553682701</v>
      </c>
      <c r="D3346">
        <v>0.57908293556433399</v>
      </c>
      <c r="E3346">
        <v>0.52897427119237805</v>
      </c>
    </row>
    <row r="3347" spans="1:5" x14ac:dyDescent="0.2">
      <c r="A3347">
        <v>6.1501666666666698E-2</v>
      </c>
      <c r="B3347">
        <v>0.41240766364647502</v>
      </c>
      <c r="C3347">
        <v>0.36310719124616297</v>
      </c>
      <c r="D3347">
        <v>0.57915340401024296</v>
      </c>
      <c r="E3347">
        <v>0.52904324583454398</v>
      </c>
    </row>
    <row r="3348" spans="1:5" x14ac:dyDescent="0.2">
      <c r="A3348">
        <v>6.1534999999999999E-2</v>
      </c>
      <c r="B3348">
        <v>0.41247591244170601</v>
      </c>
      <c r="C3348">
        <v>0.36317610012176599</v>
      </c>
      <c r="D3348">
        <v>0.57922378932040797</v>
      </c>
      <c r="E3348">
        <v>0.52911217288177703</v>
      </c>
    </row>
    <row r="3349" spans="1:5" x14ac:dyDescent="0.2">
      <c r="A3349">
        <v>6.1568333333333301E-2</v>
      </c>
      <c r="B3349">
        <v>0.41254412638585902</v>
      </c>
      <c r="C3349">
        <v>0.36324497644382803</v>
      </c>
      <c r="D3349">
        <v>0.57929409165591506</v>
      </c>
      <c r="E3349">
        <v>0.52918105259119597</v>
      </c>
    </row>
    <row r="3350" spans="1:5" x14ac:dyDescent="0.2">
      <c r="A3350">
        <v>6.16016666666667E-2</v>
      </c>
      <c r="B3350">
        <v>0.412612309986573</v>
      </c>
      <c r="C3350">
        <v>0.36331382449253902</v>
      </c>
      <c r="D3350">
        <v>0.57936431117784704</v>
      </c>
      <c r="E3350">
        <v>0.52924988521992</v>
      </c>
    </row>
    <row r="3351" spans="1:5" x14ac:dyDescent="0.2">
      <c r="A3351">
        <v>6.1635000000000002E-2</v>
      </c>
      <c r="B3351">
        <v>0.41268046775148698</v>
      </c>
      <c r="C3351">
        <v>0.36338264854809299</v>
      </c>
      <c r="D3351">
        <v>0.57943444804729205</v>
      </c>
      <c r="E3351">
        <v>0.52931867102506902</v>
      </c>
    </row>
    <row r="3352" spans="1:5" x14ac:dyDescent="0.2">
      <c r="A3352">
        <v>6.1668333333333297E-2</v>
      </c>
      <c r="B3352">
        <v>0.41274860418824</v>
      </c>
      <c r="C3352">
        <v>0.36345145289068098</v>
      </c>
      <c r="D3352">
        <v>0.57950450242533402</v>
      </c>
      <c r="E3352">
        <v>0.52938741026376401</v>
      </c>
    </row>
    <row r="3353" spans="1:5" x14ac:dyDescent="0.2">
      <c r="A3353">
        <v>6.1701666666666703E-2</v>
      </c>
      <c r="B3353">
        <v>0.41281672380446899</v>
      </c>
      <c r="C3353">
        <v>0.36352024180049403</v>
      </c>
      <c r="D3353">
        <v>0.57957447447305799</v>
      </c>
      <c r="E3353">
        <v>0.52945610319312397</v>
      </c>
    </row>
    <row r="3354" spans="1:5" x14ac:dyDescent="0.2">
      <c r="A3354">
        <v>6.1734999999999998E-2</v>
      </c>
      <c r="B3354">
        <v>0.41288483110781399</v>
      </c>
      <c r="C3354">
        <v>0.36358901955772499</v>
      </c>
      <c r="D3354">
        <v>0.57964436435154998</v>
      </c>
      <c r="E3354">
        <v>0.529524750070268</v>
      </c>
    </row>
    <row r="3355" spans="1:5" x14ac:dyDescent="0.2">
      <c r="A3355">
        <v>6.17683333333333E-2</v>
      </c>
      <c r="B3355">
        <v>0.41295293060591398</v>
      </c>
      <c r="C3355">
        <v>0.36365779044256502</v>
      </c>
      <c r="D3355">
        <v>0.57971417222189403</v>
      </c>
      <c r="E3355">
        <v>0.52959335115231698</v>
      </c>
    </row>
    <row r="3356" spans="1:5" x14ac:dyDescent="0.2">
      <c r="A3356">
        <v>6.1801666666666699E-2</v>
      </c>
      <c r="B3356">
        <v>0.41302102680640601</v>
      </c>
      <c r="C3356">
        <v>0.36372655873520598</v>
      </c>
      <c r="D3356">
        <v>0.57978389824517695</v>
      </c>
      <c r="E3356">
        <v>0.52966190669639002</v>
      </c>
    </row>
    <row r="3357" spans="1:5" x14ac:dyDescent="0.2">
      <c r="A3357">
        <v>6.1835000000000001E-2</v>
      </c>
      <c r="B3357">
        <v>0.413089124216929</v>
      </c>
      <c r="C3357">
        <v>0.36379532871583897</v>
      </c>
      <c r="D3357">
        <v>0.57985354258248301</v>
      </c>
      <c r="E3357">
        <v>0.52973041695960699</v>
      </c>
    </row>
    <row r="3358" spans="1:5" x14ac:dyDescent="0.2">
      <c r="A3358">
        <v>6.1868333333333303E-2</v>
      </c>
      <c r="B3358">
        <v>0.413157227345123</v>
      </c>
      <c r="C3358">
        <v>0.36386410466465802</v>
      </c>
      <c r="D3358">
        <v>0.579923105394897</v>
      </c>
      <c r="E3358">
        <v>0.52979888219908799</v>
      </c>
    </row>
    <row r="3359" spans="1:5" x14ac:dyDescent="0.2">
      <c r="A3359">
        <v>6.1901666666666702E-2</v>
      </c>
      <c r="B3359">
        <v>0.41322534069862499</v>
      </c>
      <c r="C3359">
        <v>0.36393289086185199</v>
      </c>
      <c r="D3359">
        <v>0.57999258684350397</v>
      </c>
      <c r="E3359">
        <v>0.52986730267195303</v>
      </c>
    </row>
    <row r="3360" spans="1:5" x14ac:dyDescent="0.2">
      <c r="A3360">
        <v>6.1934999999999997E-2</v>
      </c>
      <c r="B3360">
        <v>0.413293468785075</v>
      </c>
      <c r="C3360">
        <v>0.36400169158761497</v>
      </c>
      <c r="D3360">
        <v>0.58006198708939105</v>
      </c>
      <c r="E3360">
        <v>0.52993567863531998</v>
      </c>
    </row>
    <row r="3361" spans="1:5" x14ac:dyDescent="0.2">
      <c r="A3361">
        <v>6.1968333333333299E-2</v>
      </c>
      <c r="B3361">
        <v>0.41336161611210998</v>
      </c>
      <c r="C3361">
        <v>0.36407051112213701</v>
      </c>
      <c r="D3361">
        <v>0.58013130629364196</v>
      </c>
      <c r="E3361">
        <v>0.53000401034631095</v>
      </c>
    </row>
    <row r="3362" spans="1:5" x14ac:dyDescent="0.2">
      <c r="A3362">
        <v>6.2001666666666698E-2</v>
      </c>
      <c r="B3362">
        <v>0.41342978718725298</v>
      </c>
      <c r="C3362">
        <v>0.36413935374549899</v>
      </c>
      <c r="D3362">
        <v>0.58020054461734205</v>
      </c>
      <c r="E3362">
        <v>0.53007229806204503</v>
      </c>
    </row>
    <row r="3363" spans="1:5" x14ac:dyDescent="0.2">
      <c r="A3363">
        <v>6.2035E-2</v>
      </c>
      <c r="B3363">
        <v>0.41349798543691002</v>
      </c>
      <c r="C3363">
        <v>0.36420822269033798</v>
      </c>
      <c r="D3363">
        <v>0.58026970222157703</v>
      </c>
      <c r="E3363">
        <v>0.530140542039642</v>
      </c>
    </row>
    <row r="3364" spans="1:5" x14ac:dyDescent="0.2">
      <c r="A3364">
        <v>6.2068333333333302E-2</v>
      </c>
      <c r="B3364">
        <v>0.41356621056390003</v>
      </c>
      <c r="C3364">
        <v>0.364277117581701</v>
      </c>
      <c r="D3364">
        <v>0.58033877926743105</v>
      </c>
      <c r="E3364">
        <v>0.53020874253622097</v>
      </c>
    </row>
    <row r="3365" spans="1:5" x14ac:dyDescent="0.2">
      <c r="A3365">
        <v>6.2101666666666701E-2</v>
      </c>
      <c r="B3365">
        <v>0.413634461469989</v>
      </c>
      <c r="C3365">
        <v>0.36434603726853099</v>
      </c>
      <c r="D3365">
        <v>0.58040777591599102</v>
      </c>
      <c r="E3365">
        <v>0.53027689980890202</v>
      </c>
    </row>
    <row r="3366" spans="1:5" x14ac:dyDescent="0.2">
      <c r="A3366">
        <v>6.2135000000000003E-2</v>
      </c>
      <c r="B3366">
        <v>0.41370273705694099</v>
      </c>
      <c r="C3366">
        <v>0.36441498059977001</v>
      </c>
      <c r="D3366">
        <v>0.58047669232834098</v>
      </c>
      <c r="E3366">
        <v>0.53034501411480495</v>
      </c>
    </row>
    <row r="3367" spans="1:5" x14ac:dyDescent="0.2">
      <c r="A3367">
        <v>6.2168333333333298E-2</v>
      </c>
      <c r="B3367">
        <v>0.41377103622652101</v>
      </c>
      <c r="C3367">
        <v>0.36448394642436099</v>
      </c>
      <c r="D3367">
        <v>0.58054552866556597</v>
      </c>
      <c r="E3367">
        <v>0.53041308571104995</v>
      </c>
    </row>
    <row r="3368" spans="1:5" x14ac:dyDescent="0.2">
      <c r="A3368">
        <v>6.2201666666666697E-2</v>
      </c>
      <c r="B3368">
        <v>0.41383935788049298</v>
      </c>
      <c r="C3368">
        <v>0.36455293359124802</v>
      </c>
      <c r="D3368">
        <v>0.58061428508875201</v>
      </c>
      <c r="E3368">
        <v>0.53048111485475602</v>
      </c>
    </row>
    <row r="3369" spans="1:5" x14ac:dyDescent="0.2">
      <c r="A3369">
        <v>6.2234999999999999E-2</v>
      </c>
      <c r="B3369">
        <v>0.41390770092062201</v>
      </c>
      <c r="C3369">
        <v>0.364621940949372</v>
      </c>
      <c r="D3369">
        <v>0.58068296175898404</v>
      </c>
      <c r="E3369">
        <v>0.53054910180304304</v>
      </c>
    </row>
    <row r="3370" spans="1:5" x14ac:dyDescent="0.2">
      <c r="A3370">
        <v>6.2268333333333301E-2</v>
      </c>
      <c r="B3370">
        <v>0.413976064248673</v>
      </c>
      <c r="C3370">
        <v>0.36469096734767598</v>
      </c>
      <c r="D3370">
        <v>0.58075155883734697</v>
      </c>
      <c r="E3370">
        <v>0.53061704681303201</v>
      </c>
    </row>
    <row r="3371" spans="1:5" x14ac:dyDescent="0.2">
      <c r="A3371">
        <v>6.23016666666667E-2</v>
      </c>
      <c r="B3371">
        <v>0.41404444676641</v>
      </c>
      <c r="C3371">
        <v>0.36476001163510402</v>
      </c>
      <c r="D3371">
        <v>0.58082007648492695</v>
      </c>
      <c r="E3371">
        <v>0.53068495014184103</v>
      </c>
    </row>
    <row r="3372" spans="1:5" x14ac:dyDescent="0.2">
      <c r="A3372">
        <v>6.2335000000000002E-2</v>
      </c>
      <c r="B3372">
        <v>0.414112847375597</v>
      </c>
      <c r="C3372">
        <v>0.364829072660598</v>
      </c>
      <c r="D3372">
        <v>0.58088851486280901</v>
      </c>
      <c r="E3372">
        <v>0.53075281204659097</v>
      </c>
    </row>
    <row r="3373" spans="1:5" x14ac:dyDescent="0.2">
      <c r="A3373">
        <v>6.2368333333333303E-2</v>
      </c>
      <c r="B3373">
        <v>0.41418126497800001</v>
      </c>
      <c r="C3373">
        <v>0.36489814927310099</v>
      </c>
      <c r="D3373">
        <v>0.58095687413207697</v>
      </c>
      <c r="E3373">
        <v>0.53082063278440195</v>
      </c>
    </row>
    <row r="3374" spans="1:5" x14ac:dyDescent="0.2">
      <c r="A3374">
        <v>6.2401666666666702E-2</v>
      </c>
      <c r="B3374">
        <v>0.41424969847538301</v>
      </c>
      <c r="C3374">
        <v>0.36496724032155498</v>
      </c>
      <c r="D3374">
        <v>0.58102515445381697</v>
      </c>
      <c r="E3374">
        <v>0.53088841261239195</v>
      </c>
    </row>
    <row r="3375" spans="1:5" x14ac:dyDescent="0.2">
      <c r="A3375">
        <v>6.2434999999999997E-2</v>
      </c>
      <c r="B3375">
        <v>0.41431814676951101</v>
      </c>
      <c r="C3375">
        <v>0.36503634465490398</v>
      </c>
      <c r="D3375">
        <v>0.58109335598911505</v>
      </c>
      <c r="E3375">
        <v>0.53095615178768296</v>
      </c>
    </row>
    <row r="3376" spans="1:5" x14ac:dyDescent="0.2">
      <c r="A3376">
        <v>6.2468333333333299E-2</v>
      </c>
      <c r="B3376">
        <v>0.414386608762148</v>
      </c>
      <c r="C3376">
        <v>0.36510546112209102</v>
      </c>
      <c r="D3376">
        <v>0.58116147889905501</v>
      </c>
      <c r="E3376">
        <v>0.53102385056739299</v>
      </c>
    </row>
    <row r="3377" spans="1:5" x14ac:dyDescent="0.2">
      <c r="A3377">
        <v>6.2501666666666705E-2</v>
      </c>
      <c r="B3377">
        <v>0.41445508335505798</v>
      </c>
      <c r="C3377">
        <v>0.36517458857205698</v>
      </c>
      <c r="D3377">
        <v>0.581229523344724</v>
      </c>
      <c r="E3377">
        <v>0.53109150920864201</v>
      </c>
    </row>
    <row r="3378" spans="1:5" x14ac:dyDescent="0.2">
      <c r="A3378">
        <v>6.2534999999999993E-2</v>
      </c>
      <c r="B3378">
        <v>0.41452356945000701</v>
      </c>
      <c r="C3378">
        <v>0.36524372585374598</v>
      </c>
      <c r="D3378">
        <v>0.58129748948720505</v>
      </c>
      <c r="E3378">
        <v>0.53115912796855103</v>
      </c>
    </row>
    <row r="3379" spans="1:5" x14ac:dyDescent="0.2">
      <c r="A3379">
        <v>6.2568333333333295E-2</v>
      </c>
      <c r="B3379">
        <v>0.41459206594875903</v>
      </c>
      <c r="C3379">
        <v>0.365312871816101</v>
      </c>
      <c r="D3379">
        <v>0.58136537748758399</v>
      </c>
      <c r="E3379">
        <v>0.53122670710423903</v>
      </c>
    </row>
    <row r="3380" spans="1:5" x14ac:dyDescent="0.2">
      <c r="A3380">
        <v>6.2601666666666694E-2</v>
      </c>
      <c r="B3380">
        <v>0.41466057175307802</v>
      </c>
      <c r="C3380">
        <v>0.36538202530806402</v>
      </c>
      <c r="D3380">
        <v>0.58143318750694695</v>
      </c>
      <c r="E3380">
        <v>0.531294246872825</v>
      </c>
    </row>
    <row r="3381" spans="1:5" x14ac:dyDescent="0.2">
      <c r="A3381">
        <v>6.2634999999999996E-2</v>
      </c>
      <c r="B3381">
        <v>0.414729085764729</v>
      </c>
      <c r="C3381">
        <v>0.365451185178578</v>
      </c>
      <c r="D3381">
        <v>0.58150091970637896</v>
      </c>
      <c r="E3381">
        <v>0.53136174753142995</v>
      </c>
    </row>
    <row r="3382" spans="1:5" x14ac:dyDescent="0.2">
      <c r="A3382">
        <v>6.2668333333333298E-2</v>
      </c>
      <c r="B3382">
        <v>0.41479760688547801</v>
      </c>
      <c r="C3382">
        <v>0.36552035027658603</v>
      </c>
      <c r="D3382">
        <v>0.58156857424696495</v>
      </c>
      <c r="E3382">
        <v>0.53142920933717297</v>
      </c>
    </row>
    <row r="3383" spans="1:5" x14ac:dyDescent="0.2">
      <c r="A3383">
        <v>6.2701666666666697E-2</v>
      </c>
      <c r="B3383">
        <v>0.414866134017087</v>
      </c>
      <c r="C3383">
        <v>0.36558951945103102</v>
      </c>
      <c r="D3383">
        <v>0.58163615128978996</v>
      </c>
      <c r="E3383">
        <v>0.53149663254717505</v>
      </c>
    </row>
    <row r="3384" spans="1:5" x14ac:dyDescent="0.2">
      <c r="A3384">
        <v>6.2734999999999999E-2</v>
      </c>
      <c r="B3384">
        <v>0.41493466606132301</v>
      </c>
      <c r="C3384">
        <v>0.36565869155085501</v>
      </c>
      <c r="D3384">
        <v>0.58170365099593901</v>
      </c>
      <c r="E3384">
        <v>0.53156401741855397</v>
      </c>
    </row>
    <row r="3385" spans="1:5" x14ac:dyDescent="0.2">
      <c r="A3385">
        <v>6.2768333333333301E-2</v>
      </c>
      <c r="B3385">
        <v>0.41500320191994899</v>
      </c>
      <c r="C3385">
        <v>0.36572786542500202</v>
      </c>
      <c r="D3385">
        <v>0.58177107352649804</v>
      </c>
      <c r="E3385">
        <v>0.53163136420843105</v>
      </c>
    </row>
    <row r="3386" spans="1:5" x14ac:dyDescent="0.2">
      <c r="A3386">
        <v>6.28016666666667E-2</v>
      </c>
      <c r="B3386">
        <v>0.415071740494731</v>
      </c>
      <c r="C3386">
        <v>0.36579703992241402</v>
      </c>
      <c r="D3386">
        <v>0.58183841904255196</v>
      </c>
      <c r="E3386">
        <v>0.53169867317392505</v>
      </c>
    </row>
    <row r="3387" spans="1:5" x14ac:dyDescent="0.2">
      <c r="A3387">
        <v>6.2835000000000002E-2</v>
      </c>
      <c r="B3387">
        <v>0.41514028068743197</v>
      </c>
      <c r="C3387">
        <v>0.365866213892033</v>
      </c>
      <c r="D3387">
        <v>0.58190568770518603</v>
      </c>
      <c r="E3387">
        <v>0.53176594457215598</v>
      </c>
    </row>
    <row r="3388" spans="1:5" x14ac:dyDescent="0.2">
      <c r="A3388">
        <v>6.2868333333333304E-2</v>
      </c>
      <c r="B3388">
        <v>0.41520882139981702</v>
      </c>
      <c r="C3388">
        <v>0.36593538618280402</v>
      </c>
      <c r="D3388">
        <v>0.58197287967548506</v>
      </c>
      <c r="E3388">
        <v>0.53183317866024504</v>
      </c>
    </row>
    <row r="3389" spans="1:5" x14ac:dyDescent="0.2">
      <c r="A3389">
        <v>6.2901666666666703E-2</v>
      </c>
      <c r="B3389">
        <v>0.41527736153365202</v>
      </c>
      <c r="C3389">
        <v>0.36600455564366802</v>
      </c>
      <c r="D3389">
        <v>0.58203999511453497</v>
      </c>
      <c r="E3389">
        <v>0.53190037569531001</v>
      </c>
    </row>
    <row r="3390" spans="1:5" x14ac:dyDescent="0.2">
      <c r="A3390">
        <v>6.2935000000000005E-2</v>
      </c>
      <c r="B3390">
        <v>0.41534589999069899</v>
      </c>
      <c r="C3390">
        <v>0.36607372112356801</v>
      </c>
      <c r="D3390">
        <v>0.58210703418342002</v>
      </c>
      <c r="E3390">
        <v>0.53196753593447099</v>
      </c>
    </row>
    <row r="3391" spans="1:5" x14ac:dyDescent="0.2">
      <c r="A3391">
        <v>6.2968333333333307E-2</v>
      </c>
      <c r="B3391">
        <v>0.41541443567272601</v>
      </c>
      <c r="C3391">
        <v>0.36614288147144702</v>
      </c>
      <c r="D3391">
        <v>0.58217399704322703</v>
      </c>
      <c r="E3391">
        <v>0.53203465963484897</v>
      </c>
    </row>
    <row r="3392" spans="1:5" x14ac:dyDescent="0.2">
      <c r="A3392">
        <v>6.3001666666666706E-2</v>
      </c>
      <c r="B3392">
        <v>0.41548296748151903</v>
      </c>
      <c r="C3392">
        <v>0.36621203553627801</v>
      </c>
      <c r="D3392">
        <v>0.58224088385504003</v>
      </c>
      <c r="E3392">
        <v>0.53210174705356295</v>
      </c>
    </row>
    <row r="3393" spans="1:5" x14ac:dyDescent="0.2">
      <c r="A3393">
        <v>6.3034999999999994E-2</v>
      </c>
      <c r="B3393">
        <v>0.415551494548828</v>
      </c>
      <c r="C3393">
        <v>0.36628118245160002</v>
      </c>
      <c r="D3393">
        <v>0.58230769477994504</v>
      </c>
      <c r="E3393">
        <v>0.53216879844773202</v>
      </c>
    </row>
    <row r="3394" spans="1:5" x14ac:dyDescent="0.2">
      <c r="A3394">
        <v>6.3068333333333296E-2</v>
      </c>
      <c r="B3394">
        <v>0.41562001679842098</v>
      </c>
      <c r="C3394">
        <v>0.36635032233104398</v>
      </c>
      <c r="D3394">
        <v>0.582374429979026</v>
      </c>
      <c r="E3394">
        <v>0.53223581407447695</v>
      </c>
    </row>
    <row r="3395" spans="1:5" x14ac:dyDescent="0.2">
      <c r="A3395">
        <v>6.3101666666666695E-2</v>
      </c>
      <c r="B3395">
        <v>0.41568853432445402</v>
      </c>
      <c r="C3395">
        <v>0.36641945549909299</v>
      </c>
      <c r="D3395">
        <v>0.58244108961336905</v>
      </c>
      <c r="E3395">
        <v>0.53230279419091797</v>
      </c>
    </row>
    <row r="3396" spans="1:5" x14ac:dyDescent="0.2">
      <c r="A3396">
        <v>6.3134999999999997E-2</v>
      </c>
      <c r="B3396">
        <v>0.41575704722108497</v>
      </c>
      <c r="C3396">
        <v>0.36648858228022801</v>
      </c>
      <c r="D3396">
        <v>0.58250767384405899</v>
      </c>
      <c r="E3396">
        <v>0.53236973905417295</v>
      </c>
    </row>
    <row r="3397" spans="1:5" x14ac:dyDescent="0.2">
      <c r="A3397">
        <v>6.3168333333333299E-2</v>
      </c>
      <c r="B3397">
        <v>0.41582555558247097</v>
      </c>
      <c r="C3397">
        <v>0.36655770299893098</v>
      </c>
      <c r="D3397">
        <v>0.58257418283218199</v>
      </c>
      <c r="E3397">
        <v>0.532436648921363</v>
      </c>
    </row>
    <row r="3398" spans="1:5" x14ac:dyDescent="0.2">
      <c r="A3398">
        <v>6.3201666666666698E-2</v>
      </c>
      <c r="B3398">
        <v>0.41589405950276898</v>
      </c>
      <c r="C3398">
        <v>0.366626817979683</v>
      </c>
      <c r="D3398">
        <v>0.58264061673882295</v>
      </c>
      <c r="E3398">
        <v>0.53250352404960799</v>
      </c>
    </row>
    <row r="3399" spans="1:5" x14ac:dyDescent="0.2">
      <c r="A3399">
        <v>6.3235E-2</v>
      </c>
      <c r="B3399">
        <v>0.415962559076135</v>
      </c>
      <c r="C3399">
        <v>0.36669592754696501</v>
      </c>
      <c r="D3399">
        <v>0.58270697572506602</v>
      </c>
      <c r="E3399">
        <v>0.53257036469602803</v>
      </c>
    </row>
    <row r="3400" spans="1:5" x14ac:dyDescent="0.2">
      <c r="A3400">
        <v>6.3268333333333301E-2</v>
      </c>
      <c r="B3400">
        <v>0.416031054396727</v>
      </c>
      <c r="C3400">
        <v>0.36676503202526001</v>
      </c>
      <c r="D3400">
        <v>0.58277325995199702</v>
      </c>
      <c r="E3400">
        <v>0.532637171117741</v>
      </c>
    </row>
    <row r="3401" spans="1:5" x14ac:dyDescent="0.2">
      <c r="A3401">
        <v>6.3301666666666701E-2</v>
      </c>
      <c r="B3401">
        <v>0.41609954555870099</v>
      </c>
      <c r="C3401">
        <v>0.366834131739048</v>
      </c>
      <c r="D3401">
        <v>0.58283946958070199</v>
      </c>
      <c r="E3401">
        <v>0.53270394357186901</v>
      </c>
    </row>
    <row r="3402" spans="1:5" x14ac:dyDescent="0.2">
      <c r="A3402">
        <v>6.3335000000000002E-2</v>
      </c>
      <c r="B3402">
        <v>0.41616803265621499</v>
      </c>
      <c r="C3402">
        <v>0.36690322701281097</v>
      </c>
      <c r="D3402">
        <v>0.58290560477226505</v>
      </c>
      <c r="E3402">
        <v>0.53277068231553004</v>
      </c>
    </row>
    <row r="3403" spans="1:5" x14ac:dyDescent="0.2">
      <c r="A3403">
        <v>6.3368333333333304E-2</v>
      </c>
      <c r="B3403">
        <v>0.41623651578342502</v>
      </c>
      <c r="C3403">
        <v>0.36697231817103099</v>
      </c>
      <c r="D3403">
        <v>0.58297166568777303</v>
      </c>
      <c r="E3403">
        <v>0.53283738760584498</v>
      </c>
    </row>
    <row r="3404" spans="1:5" x14ac:dyDescent="0.2">
      <c r="A3404">
        <v>6.3401666666666703E-2</v>
      </c>
      <c r="B3404">
        <v>0.41630499503448798</v>
      </c>
      <c r="C3404">
        <v>0.36704140553818998</v>
      </c>
      <c r="D3404">
        <v>0.58303765248830897</v>
      </c>
      <c r="E3404">
        <v>0.53290405969993304</v>
      </c>
    </row>
    <row r="3405" spans="1:5" x14ac:dyDescent="0.2">
      <c r="A3405">
        <v>6.3435000000000005E-2</v>
      </c>
      <c r="B3405">
        <v>0.41637347050356199</v>
      </c>
      <c r="C3405">
        <v>0.36711048943876801</v>
      </c>
      <c r="D3405">
        <v>0.583103565334959</v>
      </c>
      <c r="E3405">
        <v>0.53297069885491399</v>
      </c>
    </row>
    <row r="3406" spans="1:5" x14ac:dyDescent="0.2">
      <c r="A3406">
        <v>6.3468333333333293E-2</v>
      </c>
      <c r="B3406">
        <v>0.41644194228480202</v>
      </c>
      <c r="C3406">
        <v>0.36717957019724701</v>
      </c>
      <c r="D3406">
        <v>0.58316940438880904</v>
      </c>
      <c r="E3406">
        <v>0.53303730532790805</v>
      </c>
    </row>
    <row r="3407" spans="1:5" x14ac:dyDescent="0.2">
      <c r="A3407">
        <v>6.3501666666666706E-2</v>
      </c>
      <c r="B3407">
        <v>0.41651041047236698</v>
      </c>
      <c r="C3407">
        <v>0.36724864813810898</v>
      </c>
      <c r="D3407">
        <v>0.58323516981094403</v>
      </c>
      <c r="E3407">
        <v>0.53310387937603398</v>
      </c>
    </row>
    <row r="3408" spans="1:5" x14ac:dyDescent="0.2">
      <c r="A3408">
        <v>6.3534999999999994E-2</v>
      </c>
      <c r="B3408">
        <v>0.41657887516041298</v>
      </c>
      <c r="C3408">
        <v>0.36731772358583598</v>
      </c>
      <c r="D3408">
        <v>0.583300861762448</v>
      </c>
      <c r="E3408">
        <v>0.53317042125641301</v>
      </c>
    </row>
    <row r="3409" spans="1:5" x14ac:dyDescent="0.2">
      <c r="A3409">
        <v>6.3568333333333296E-2</v>
      </c>
      <c r="B3409">
        <v>0.41664733644309698</v>
      </c>
      <c r="C3409">
        <v>0.36738679686490799</v>
      </c>
      <c r="D3409">
        <v>0.58336648040440797</v>
      </c>
      <c r="E3409">
        <v>0.533236931226164</v>
      </c>
    </row>
    <row r="3410" spans="1:5" x14ac:dyDescent="0.2">
      <c r="A3410">
        <v>6.3601666666666695E-2</v>
      </c>
      <c r="B3410">
        <v>0.41671579441457601</v>
      </c>
      <c r="C3410">
        <v>0.36745586829980798</v>
      </c>
      <c r="D3410">
        <v>0.58343202589790799</v>
      </c>
      <c r="E3410">
        <v>0.53330340954240696</v>
      </c>
    </row>
    <row r="3411" spans="1:5" x14ac:dyDescent="0.2">
      <c r="A3411">
        <v>6.3634999999999997E-2</v>
      </c>
      <c r="B3411">
        <v>0.41678424916900603</v>
      </c>
      <c r="C3411">
        <v>0.36752493821501597</v>
      </c>
      <c r="D3411">
        <v>0.58349749840403398</v>
      </c>
      <c r="E3411">
        <v>0.53336985646226098</v>
      </c>
    </row>
    <row r="3412" spans="1:5" x14ac:dyDescent="0.2">
      <c r="A3412">
        <v>6.3668333333333299E-2</v>
      </c>
      <c r="B3412">
        <v>0.41685270080054598</v>
      </c>
      <c r="C3412">
        <v>0.36759400693501498</v>
      </c>
      <c r="D3412">
        <v>0.58356289808387096</v>
      </c>
      <c r="E3412">
        <v>0.53343627224284695</v>
      </c>
    </row>
    <row r="3413" spans="1:5" x14ac:dyDescent="0.2">
      <c r="A3413">
        <v>6.3701666666666698E-2</v>
      </c>
      <c r="B3413">
        <v>0.41692114940335101</v>
      </c>
      <c r="C3413">
        <v>0.367663074784285</v>
      </c>
      <c r="D3413">
        <v>0.58362822509850398</v>
      </c>
      <c r="E3413">
        <v>0.53350265714128398</v>
      </c>
    </row>
    <row r="3414" spans="1:5" x14ac:dyDescent="0.2">
      <c r="A3414">
        <v>6.3735E-2</v>
      </c>
      <c r="B3414">
        <v>0.41698959507157801</v>
      </c>
      <c r="C3414">
        <v>0.36773214208730898</v>
      </c>
      <c r="D3414">
        <v>0.58369347960901796</v>
      </c>
      <c r="E3414">
        <v>0.53356901141469204</v>
      </c>
    </row>
    <row r="3415" spans="1:5" x14ac:dyDescent="0.2">
      <c r="A3415">
        <v>6.3768333333333302E-2</v>
      </c>
      <c r="B3415">
        <v>0.417058037899386</v>
      </c>
      <c r="C3415">
        <v>0.36780120916856801</v>
      </c>
      <c r="D3415">
        <v>0.58375866177649804</v>
      </c>
      <c r="E3415">
        <v>0.53363533532019103</v>
      </c>
    </row>
    <row r="3416" spans="1:5" x14ac:dyDescent="0.2">
      <c r="A3416">
        <v>6.3801666666666701E-2</v>
      </c>
      <c r="B3416">
        <v>0.41712647798093</v>
      </c>
      <c r="C3416">
        <v>0.36787027635254399</v>
      </c>
      <c r="D3416">
        <v>0.58382377176203104</v>
      </c>
      <c r="E3416">
        <v>0.53370162911490004</v>
      </c>
    </row>
    <row r="3417" spans="1:5" x14ac:dyDescent="0.2">
      <c r="A3417">
        <v>6.3835000000000003E-2</v>
      </c>
      <c r="B3417">
        <v>0.41719491541036702</v>
      </c>
      <c r="C3417">
        <v>0.36793934396371702</v>
      </c>
      <c r="D3417">
        <v>0.58388880972669999</v>
      </c>
      <c r="E3417">
        <v>0.53376789305593997</v>
      </c>
    </row>
    <row r="3418" spans="1:5" x14ac:dyDescent="0.2">
      <c r="A3418">
        <v>6.3868333333333305E-2</v>
      </c>
      <c r="B3418">
        <v>0.41726335028185502</v>
      </c>
      <c r="C3418">
        <v>0.36800841232657</v>
      </c>
      <c r="D3418">
        <v>0.58395377583159203</v>
      </c>
      <c r="E3418">
        <v>0.53383412740043001</v>
      </c>
    </row>
    <row r="3419" spans="1:5" x14ac:dyDescent="0.2">
      <c r="A3419">
        <v>6.3901666666666704E-2</v>
      </c>
      <c r="B3419">
        <v>0.41733178268955001</v>
      </c>
      <c r="C3419">
        <v>0.36807748176558402</v>
      </c>
      <c r="D3419">
        <v>0.58401867023779097</v>
      </c>
      <c r="E3419">
        <v>0.53390033240548895</v>
      </c>
    </row>
    <row r="3420" spans="1:5" x14ac:dyDescent="0.2">
      <c r="A3420">
        <v>6.3935000000000006E-2</v>
      </c>
      <c r="B3420">
        <v>0.41740021272760902</v>
      </c>
      <c r="C3420">
        <v>0.36814655260523999</v>
      </c>
      <c r="D3420">
        <v>0.58408349310638297</v>
      </c>
      <c r="E3420">
        <v>0.533966508328238</v>
      </c>
    </row>
    <row r="3421" spans="1:5" x14ac:dyDescent="0.2">
      <c r="A3421">
        <v>6.3968333333333294E-2</v>
      </c>
      <c r="B3421">
        <v>0.41746864049019</v>
      </c>
      <c r="C3421">
        <v>0.36821562517002099</v>
      </c>
      <c r="D3421">
        <v>0.58414824459845305</v>
      </c>
      <c r="E3421">
        <v>0.53403265542579703</v>
      </c>
    </row>
    <row r="3422" spans="1:5" x14ac:dyDescent="0.2">
      <c r="A3422">
        <v>6.4001666666666707E-2</v>
      </c>
      <c r="B3422">
        <v>0.41753706607144903</v>
      </c>
      <c r="C3422">
        <v>0.36828469978439698</v>
      </c>
      <c r="D3422">
        <v>0.58421292487508603</v>
      </c>
      <c r="E3422">
        <v>0.53409877395528504</v>
      </c>
    </row>
    <row r="3423" spans="1:5" x14ac:dyDescent="0.2">
      <c r="A3423">
        <v>6.4034999999999995E-2</v>
      </c>
      <c r="B3423">
        <v>0.417605489565543</v>
      </c>
      <c r="C3423">
        <v>0.36835377668185298</v>
      </c>
      <c r="D3423">
        <v>0.58427753409736805</v>
      </c>
      <c r="E3423">
        <v>0.53416486417382103</v>
      </c>
    </row>
    <row r="3424" spans="1:5" x14ac:dyDescent="0.2">
      <c r="A3424">
        <v>6.4068333333333297E-2</v>
      </c>
      <c r="B3424">
        <v>0.41767391106662799</v>
      </c>
      <c r="C3424">
        <v>0.36842285578249301</v>
      </c>
      <c r="D3424">
        <v>0.58434207242638303</v>
      </c>
      <c r="E3424">
        <v>0.53423092633852598</v>
      </c>
    </row>
    <row r="3425" spans="1:5" x14ac:dyDescent="0.2">
      <c r="A3425">
        <v>6.4101666666666696E-2</v>
      </c>
      <c r="B3425">
        <v>0.41774233066886302</v>
      </c>
      <c r="C3425">
        <v>0.36849193693900301</v>
      </c>
      <c r="D3425">
        <v>0.58440654002321701</v>
      </c>
      <c r="E3425">
        <v>0.53429696070652</v>
      </c>
    </row>
    <row r="3426" spans="1:5" x14ac:dyDescent="0.2">
      <c r="A3426">
        <v>6.4134999999999998E-2</v>
      </c>
      <c r="B3426">
        <v>0.41781074846640398</v>
      </c>
      <c r="C3426">
        <v>0.36856102000407098</v>
      </c>
      <c r="D3426">
        <v>0.58447093704895503</v>
      </c>
      <c r="E3426">
        <v>0.53436296753492196</v>
      </c>
    </row>
    <row r="3427" spans="1:5" x14ac:dyDescent="0.2">
      <c r="A3427">
        <v>6.4168333333333299E-2</v>
      </c>
      <c r="B3427">
        <v>0.41787916455340801</v>
      </c>
      <c r="C3427">
        <v>0.368630104830384</v>
      </c>
      <c r="D3427">
        <v>0.584535263664682</v>
      </c>
      <c r="E3427">
        <v>0.53442894708085198</v>
      </c>
    </row>
    <row r="3428" spans="1:5" x14ac:dyDescent="0.2">
      <c r="A3428">
        <v>6.4201666666666699E-2</v>
      </c>
      <c r="B3428">
        <v>0.41794757902403101</v>
      </c>
      <c r="C3428">
        <v>0.368699191270627</v>
      </c>
      <c r="D3428">
        <v>0.58459952003148397</v>
      </c>
      <c r="E3428">
        <v>0.53449489960143004</v>
      </c>
    </row>
    <row r="3429" spans="1:5" x14ac:dyDescent="0.2">
      <c r="A3429">
        <v>6.4235E-2</v>
      </c>
      <c r="B3429">
        <v>0.418015991972431</v>
      </c>
      <c r="C3429">
        <v>0.368768279177487</v>
      </c>
      <c r="D3429">
        <v>0.58466370631044595</v>
      </c>
      <c r="E3429">
        <v>0.53456082535377503</v>
      </c>
    </row>
    <row r="3430" spans="1:5" x14ac:dyDescent="0.2">
      <c r="A3430">
        <v>6.4268333333333302E-2</v>
      </c>
      <c r="B3430">
        <v>0.41808440349276499</v>
      </c>
      <c r="C3430">
        <v>0.368837368403652</v>
      </c>
      <c r="D3430">
        <v>0.584727822662652</v>
      </c>
      <c r="E3430">
        <v>0.53462672459500804</v>
      </c>
    </row>
    <row r="3431" spans="1:5" x14ac:dyDescent="0.2">
      <c r="A3431">
        <v>6.4301666666666701E-2</v>
      </c>
      <c r="B3431">
        <v>0.41815281367918899</v>
      </c>
      <c r="C3431">
        <v>0.368906458801808</v>
      </c>
      <c r="D3431">
        <v>0.58479186924918902</v>
      </c>
      <c r="E3431">
        <v>0.53469259758224696</v>
      </c>
    </row>
    <row r="3432" spans="1:5" x14ac:dyDescent="0.2">
      <c r="A3432">
        <v>6.4335000000000003E-2</v>
      </c>
      <c r="B3432">
        <v>0.41822122262586098</v>
      </c>
      <c r="C3432">
        <v>0.36897555022464101</v>
      </c>
      <c r="D3432">
        <v>0.58485584623114195</v>
      </c>
      <c r="E3432">
        <v>0.53475844457261401</v>
      </c>
    </row>
    <row r="3433" spans="1:5" x14ac:dyDescent="0.2">
      <c r="A3433">
        <v>6.4368333333333305E-2</v>
      </c>
      <c r="B3433">
        <v>0.41828963042693801</v>
      </c>
      <c r="C3433">
        <v>0.36904464252483798</v>
      </c>
      <c r="D3433">
        <v>0.58491975376959504</v>
      </c>
      <c r="E3433">
        <v>0.53482426582322695</v>
      </c>
    </row>
    <row r="3434" spans="1:5" x14ac:dyDescent="0.2">
      <c r="A3434">
        <v>6.4401666666666704E-2</v>
      </c>
      <c r="B3434">
        <v>0.41835803717657499</v>
      </c>
      <c r="C3434">
        <v>0.36911373555508697</v>
      </c>
      <c r="D3434">
        <v>0.58498359202563399</v>
      </c>
      <c r="E3434">
        <v>0.534890061591207</v>
      </c>
    </row>
    <row r="3435" spans="1:5" x14ac:dyDescent="0.2">
      <c r="A3435">
        <v>6.4435000000000006E-2</v>
      </c>
      <c r="B3435">
        <v>0.418426442968931</v>
      </c>
      <c r="C3435">
        <v>0.36918282916807299</v>
      </c>
      <c r="D3435">
        <v>0.58504736116034395</v>
      </c>
      <c r="E3435">
        <v>0.53495583213367204</v>
      </c>
    </row>
    <row r="3436" spans="1:5" x14ac:dyDescent="0.2">
      <c r="A3436">
        <v>6.4468333333333294E-2</v>
      </c>
      <c r="B3436">
        <v>0.41849484789816299</v>
      </c>
      <c r="C3436">
        <v>0.36925192321648398</v>
      </c>
      <c r="D3436">
        <v>0.58511106133481094</v>
      </c>
      <c r="E3436">
        <v>0.53502157770774394</v>
      </c>
    </row>
    <row r="3437" spans="1:5" x14ac:dyDescent="0.2">
      <c r="A3437">
        <v>6.4501666666666693E-2</v>
      </c>
      <c r="B3437">
        <v>0.41856325205842598</v>
      </c>
      <c r="C3437">
        <v>0.369321017553006</v>
      </c>
      <c r="D3437">
        <v>0.58517469271011902</v>
      </c>
      <c r="E3437">
        <v>0.53508729857054105</v>
      </c>
    </row>
    <row r="3438" spans="1:5" x14ac:dyDescent="0.2">
      <c r="A3438">
        <v>6.4534999999999995E-2</v>
      </c>
      <c r="B3438">
        <v>0.41863165554387899</v>
      </c>
      <c r="C3438">
        <v>0.36939011203032501</v>
      </c>
      <c r="D3438">
        <v>0.58523825544735497</v>
      </c>
      <c r="E3438">
        <v>0.535152994979184</v>
      </c>
    </row>
    <row r="3439" spans="1:5" x14ac:dyDescent="0.2">
      <c r="A3439">
        <v>6.4568333333333297E-2</v>
      </c>
      <c r="B3439">
        <v>0.41870005844867803</v>
      </c>
      <c r="C3439">
        <v>0.36945920650112901</v>
      </c>
      <c r="D3439">
        <v>0.58530174970760196</v>
      </c>
      <c r="E3439">
        <v>0.53521866719079203</v>
      </c>
    </row>
    <row r="3440" spans="1:5" x14ac:dyDescent="0.2">
      <c r="A3440">
        <v>6.4601666666666696E-2</v>
      </c>
      <c r="B3440">
        <v>0.41876846086698</v>
      </c>
      <c r="C3440">
        <v>0.36952830081810401</v>
      </c>
      <c r="D3440">
        <v>0.58536517565194601</v>
      </c>
      <c r="E3440">
        <v>0.53528431546248501</v>
      </c>
    </row>
    <row r="3441" spans="1:5" x14ac:dyDescent="0.2">
      <c r="A3441">
        <v>6.4634999999999998E-2</v>
      </c>
      <c r="B3441">
        <v>0.41883686289294197</v>
      </c>
      <c r="C3441">
        <v>0.369597394833937</v>
      </c>
      <c r="D3441">
        <v>0.58542853344147305</v>
      </c>
      <c r="E3441">
        <v>0.53534994005138303</v>
      </c>
    </row>
    <row r="3442" spans="1:5" x14ac:dyDescent="0.2">
      <c r="A3442">
        <v>6.46683333333333E-2</v>
      </c>
      <c r="B3442">
        <v>0.41890526462071997</v>
      </c>
      <c r="C3442">
        <v>0.369666488401315</v>
      </c>
      <c r="D3442">
        <v>0.58549182323726801</v>
      </c>
      <c r="E3442">
        <v>0.53541554121460599</v>
      </c>
    </row>
    <row r="3443" spans="1:5" x14ac:dyDescent="0.2">
      <c r="A3443">
        <v>6.4701666666666699E-2</v>
      </c>
      <c r="B3443">
        <v>0.41897366614447301</v>
      </c>
      <c r="C3443">
        <v>0.369735581372924</v>
      </c>
      <c r="D3443">
        <v>0.58555504520041601</v>
      </c>
      <c r="E3443">
        <v>0.53548111920927299</v>
      </c>
    </row>
    <row r="3444" spans="1:5" x14ac:dyDescent="0.2">
      <c r="A3444">
        <v>6.4735000000000001E-2</v>
      </c>
      <c r="B3444">
        <v>0.41904206755835599</v>
      </c>
      <c r="C3444">
        <v>0.36980467360145097</v>
      </c>
      <c r="D3444">
        <v>0.585618199492002</v>
      </c>
      <c r="E3444">
        <v>0.53554667429250402</v>
      </c>
    </row>
    <row r="3445" spans="1:5" x14ac:dyDescent="0.2">
      <c r="A3445">
        <v>6.4768333333333303E-2</v>
      </c>
      <c r="B3445">
        <v>0.41911046895652698</v>
      </c>
      <c r="C3445">
        <v>0.36987376493958302</v>
      </c>
      <c r="D3445">
        <v>0.585681286273112</v>
      </c>
      <c r="E3445">
        <v>0.53561220672141896</v>
      </c>
    </row>
    <row r="3446" spans="1:5" x14ac:dyDescent="0.2">
      <c r="A3446">
        <v>6.4801666666666702E-2</v>
      </c>
      <c r="B3446">
        <v>0.419178870433143</v>
      </c>
      <c r="C3446">
        <v>0.36994285524000597</v>
      </c>
      <c r="D3446">
        <v>0.58574430570483005</v>
      </c>
      <c r="E3446">
        <v>0.53567771675313702</v>
      </c>
    </row>
    <row r="3447" spans="1:5" x14ac:dyDescent="0.2">
      <c r="A3447">
        <v>6.4835000000000004E-2</v>
      </c>
      <c r="B3447">
        <v>0.41924727208236001</v>
      </c>
      <c r="C3447">
        <v>0.37001194435540702</v>
      </c>
      <c r="D3447">
        <v>0.58580725794824196</v>
      </c>
      <c r="E3447">
        <v>0.53574320464477898</v>
      </c>
    </row>
    <row r="3448" spans="1:5" x14ac:dyDescent="0.2">
      <c r="A3448">
        <v>6.4868333333333306E-2</v>
      </c>
      <c r="B3448">
        <v>0.41931567399833602</v>
      </c>
      <c r="C3448">
        <v>0.37008103213847299</v>
      </c>
      <c r="D3448">
        <v>0.58587014316443398</v>
      </c>
      <c r="E3448">
        <v>0.53580867065346405</v>
      </c>
    </row>
    <row r="3449" spans="1:5" x14ac:dyDescent="0.2">
      <c r="A3449">
        <v>6.4901666666666705E-2</v>
      </c>
      <c r="B3449">
        <v>0.419384076275227</v>
      </c>
      <c r="C3449">
        <v>0.37015011844189</v>
      </c>
      <c r="D3449">
        <v>0.58593296151448904</v>
      </c>
      <c r="E3449">
        <v>0.53587411503631199</v>
      </c>
    </row>
    <row r="3450" spans="1:5" x14ac:dyDescent="0.2">
      <c r="A3450">
        <v>6.4935000000000007E-2</v>
      </c>
      <c r="B3450">
        <v>0.41945247900719101</v>
      </c>
      <c r="C3450">
        <v>0.370219203118345</v>
      </c>
      <c r="D3450">
        <v>0.58599571315949495</v>
      </c>
      <c r="E3450">
        <v>0.53593953805044303</v>
      </c>
    </row>
    <row r="3451" spans="1:5" x14ac:dyDescent="0.2">
      <c r="A3451">
        <v>6.4968333333333295E-2</v>
      </c>
      <c r="B3451">
        <v>0.41952088228838402</v>
      </c>
      <c r="C3451">
        <v>0.37028828602052599</v>
      </c>
      <c r="D3451">
        <v>0.58605839826053496</v>
      </c>
      <c r="E3451">
        <v>0.53600493995297604</v>
      </c>
    </row>
    <row r="3452" spans="1:5" x14ac:dyDescent="0.2">
      <c r="A3452">
        <v>6.5001666666666694E-2</v>
      </c>
      <c r="B3452">
        <v>0.41958928621296399</v>
      </c>
      <c r="C3452">
        <v>0.37035736700112598</v>
      </c>
      <c r="D3452">
        <v>0.58612101697869501</v>
      </c>
      <c r="E3452">
        <v>0.53607032100103202</v>
      </c>
    </row>
    <row r="3453" spans="1:5" x14ac:dyDescent="0.2">
      <c r="A3453">
        <v>6.5034999999999996E-2</v>
      </c>
      <c r="B3453">
        <v>0.41965769088718902</v>
      </c>
      <c r="C3453">
        <v>0.37042644599239999</v>
      </c>
      <c r="D3453">
        <v>0.58618356947506101</v>
      </c>
      <c r="E3453">
        <v>0.53613568145172996</v>
      </c>
    </row>
    <row r="3454" spans="1:5" x14ac:dyDescent="0.2">
      <c r="A3454">
        <v>6.5068333333333297E-2</v>
      </c>
      <c r="B3454">
        <v>0.41972609645898101</v>
      </c>
      <c r="C3454">
        <v>0.37049552320061502</v>
      </c>
      <c r="D3454">
        <v>0.58624605591071699</v>
      </c>
      <c r="E3454">
        <v>0.53620102156218896</v>
      </c>
    </row>
    <row r="3455" spans="1:5" x14ac:dyDescent="0.2">
      <c r="A3455">
        <v>6.5101666666666697E-2</v>
      </c>
      <c r="B3455">
        <v>0.41979450308522998</v>
      </c>
      <c r="C3455">
        <v>0.37056459889098697</v>
      </c>
      <c r="D3455">
        <v>0.58630847644674899</v>
      </c>
      <c r="E3455">
        <v>0.53626634158953002</v>
      </c>
    </row>
    <row r="3456" spans="1:5" x14ac:dyDescent="0.2">
      <c r="A3456">
        <v>6.5134999999999998E-2</v>
      </c>
      <c r="B3456">
        <v>0.41986291092282302</v>
      </c>
      <c r="C3456">
        <v>0.37063367332873198</v>
      </c>
      <c r="D3456">
        <v>0.58637083124424205</v>
      </c>
      <c r="E3456">
        <v>0.536331641790873</v>
      </c>
    </row>
    <row r="3457" spans="1:5" x14ac:dyDescent="0.2">
      <c r="A3457">
        <v>6.51683333333333E-2</v>
      </c>
      <c r="B3457">
        <v>0.41993132012864898</v>
      </c>
      <c r="C3457">
        <v>0.37070274677906601</v>
      </c>
      <c r="D3457">
        <v>0.58643312046428098</v>
      </c>
      <c r="E3457">
        <v>0.53639692242333603</v>
      </c>
    </row>
    <row r="3458" spans="1:5" x14ac:dyDescent="0.2">
      <c r="A3458">
        <v>6.5201666666666699E-2</v>
      </c>
      <c r="B3458">
        <v>0.41999973085959602</v>
      </c>
      <c r="C3458">
        <v>0.370771819507206</v>
      </c>
      <c r="D3458">
        <v>0.58649534426795202</v>
      </c>
      <c r="E3458">
        <v>0.53646218374404098</v>
      </c>
    </row>
    <row r="3459" spans="1:5" x14ac:dyDescent="0.2">
      <c r="A3459">
        <v>6.5235000000000001E-2</v>
      </c>
      <c r="B3459">
        <v>0.42006814327255199</v>
      </c>
      <c r="C3459">
        <v>0.37084089177836699</v>
      </c>
      <c r="D3459">
        <v>0.586557502816339</v>
      </c>
      <c r="E3459">
        <v>0.53652742601010595</v>
      </c>
    </row>
    <row r="3460" spans="1:5" x14ac:dyDescent="0.2">
      <c r="A3460">
        <v>6.5268333333333303E-2</v>
      </c>
      <c r="B3460">
        <v>0.42013655752440598</v>
      </c>
      <c r="C3460">
        <v>0.37090996385776598</v>
      </c>
      <c r="D3460">
        <v>0.58661959627052795</v>
      </c>
      <c r="E3460">
        <v>0.53659264947865204</v>
      </c>
    </row>
    <row r="3461" spans="1:5" x14ac:dyDescent="0.2">
      <c r="A3461">
        <v>6.5301666666666702E-2</v>
      </c>
      <c r="B3461">
        <v>0.42020497377204502</v>
      </c>
      <c r="C3461">
        <v>0.37097903601061899</v>
      </c>
      <c r="D3461">
        <v>0.58668162479160502</v>
      </c>
      <c r="E3461">
        <v>0.53665785440679703</v>
      </c>
    </row>
    <row r="3462" spans="1:5" x14ac:dyDescent="0.2">
      <c r="A3462">
        <v>6.5335000000000004E-2</v>
      </c>
      <c r="B3462">
        <v>0.42027339217235898</v>
      </c>
      <c r="C3462">
        <v>0.37104810850214098</v>
      </c>
      <c r="D3462">
        <v>0.586743588540653</v>
      </c>
      <c r="E3462">
        <v>0.53672304105166302</v>
      </c>
    </row>
    <row r="3463" spans="1:5" x14ac:dyDescent="0.2">
      <c r="A3463">
        <v>6.5368333333333306E-2</v>
      </c>
      <c r="B3463">
        <v>0.42034181288223499</v>
      </c>
      <c r="C3463">
        <v>0.37111718159755003</v>
      </c>
      <c r="D3463">
        <v>0.58680548767875995</v>
      </c>
      <c r="E3463">
        <v>0.536788209670369</v>
      </c>
    </row>
    <row r="3464" spans="1:5" x14ac:dyDescent="0.2">
      <c r="A3464">
        <v>6.5401666666666705E-2</v>
      </c>
      <c r="B3464">
        <v>0.42041023605856098</v>
      </c>
      <c r="C3464">
        <v>0.37118625556206097</v>
      </c>
      <c r="D3464">
        <v>0.586867322367009</v>
      </c>
      <c r="E3464">
        <v>0.53685336052003396</v>
      </c>
    </row>
    <row r="3465" spans="1:5" x14ac:dyDescent="0.2">
      <c r="A3465">
        <v>6.5434999999999993E-2</v>
      </c>
      <c r="B3465">
        <v>0.42047866185822702</v>
      </c>
      <c r="C3465">
        <v>0.37125533066089</v>
      </c>
      <c r="D3465">
        <v>0.58692909276648597</v>
      </c>
      <c r="E3465">
        <v>0.53691849385777801</v>
      </c>
    </row>
    <row r="3466" spans="1:5" x14ac:dyDescent="0.2">
      <c r="A3466">
        <v>6.5468333333333295E-2</v>
      </c>
      <c r="B3466">
        <v>0.420547090438119</v>
      </c>
      <c r="C3466">
        <v>0.37132440715925402</v>
      </c>
      <c r="D3466">
        <v>0.586990799038277</v>
      </c>
      <c r="E3466">
        <v>0.53698360994072203</v>
      </c>
    </row>
    <row r="3467" spans="1:5" x14ac:dyDescent="0.2">
      <c r="A3467">
        <v>6.5501666666666694E-2</v>
      </c>
      <c r="B3467">
        <v>0.42061552195512603</v>
      </c>
      <c r="C3467">
        <v>0.37139348532236799</v>
      </c>
      <c r="D3467">
        <v>0.58705244134346601</v>
      </c>
      <c r="E3467">
        <v>0.53704870902598401</v>
      </c>
    </row>
    <row r="3468" spans="1:5" x14ac:dyDescent="0.2">
      <c r="A3468">
        <v>6.5534999999999996E-2</v>
      </c>
      <c r="B3468">
        <v>0.420683956566137</v>
      </c>
      <c r="C3468">
        <v>0.37146256541544997</v>
      </c>
      <c r="D3468">
        <v>0.58711401984313905</v>
      </c>
      <c r="E3468">
        <v>0.53711379137068505</v>
      </c>
    </row>
    <row r="3469" spans="1:5" x14ac:dyDescent="0.2">
      <c r="A3469">
        <v>6.5568333333333298E-2</v>
      </c>
      <c r="B3469">
        <v>0.42075239442804002</v>
      </c>
      <c r="C3469">
        <v>0.371531647703714</v>
      </c>
      <c r="D3469">
        <v>0.58717553469838102</v>
      </c>
      <c r="E3469">
        <v>0.53717885723194503</v>
      </c>
    </row>
    <row r="3470" spans="1:5" x14ac:dyDescent="0.2">
      <c r="A3470">
        <v>6.5601666666666697E-2</v>
      </c>
      <c r="B3470">
        <v>0.42082083569772299</v>
      </c>
      <c r="C3470">
        <v>0.37160073245237701</v>
      </c>
      <c r="D3470">
        <v>0.58723698607027697</v>
      </c>
      <c r="E3470">
        <v>0.53724390686688195</v>
      </c>
    </row>
    <row r="3471" spans="1:5" x14ac:dyDescent="0.2">
      <c r="A3471">
        <v>6.5634999999999999E-2</v>
      </c>
      <c r="B3471">
        <v>0.42088928053207503</v>
      </c>
      <c r="C3471">
        <v>0.37166981992665499</v>
      </c>
      <c r="D3471">
        <v>0.58729837411991204</v>
      </c>
      <c r="E3471">
        <v>0.53730894053261802</v>
      </c>
    </row>
    <row r="3472" spans="1:5" x14ac:dyDescent="0.2">
      <c r="A3472">
        <v>6.5668333333333301E-2</v>
      </c>
      <c r="B3472">
        <v>0.42095772908798201</v>
      </c>
      <c r="C3472">
        <v>0.37173891039176499</v>
      </c>
      <c r="D3472">
        <v>0.58735969900837304</v>
      </c>
      <c r="E3472">
        <v>0.53737395848627101</v>
      </c>
    </row>
    <row r="3473" spans="1:5" x14ac:dyDescent="0.2">
      <c r="A3473">
        <v>6.57016666666667E-2</v>
      </c>
      <c r="B3473">
        <v>0.42102618152233501</v>
      </c>
      <c r="C3473">
        <v>0.37180800411292197</v>
      </c>
      <c r="D3473">
        <v>0.58742096089674301</v>
      </c>
      <c r="E3473">
        <v>0.53743896098496102</v>
      </c>
    </row>
    <row r="3474" spans="1:5" x14ac:dyDescent="0.2">
      <c r="A3474">
        <v>6.5735000000000002E-2</v>
      </c>
      <c r="B3474">
        <v>0.42109463799202101</v>
      </c>
      <c r="C3474">
        <v>0.37187710135534202</v>
      </c>
      <c r="D3474">
        <v>0.58748215994610797</v>
      </c>
      <c r="E3474">
        <v>0.53750394828580905</v>
      </c>
    </row>
    <row r="3475" spans="1:5" x14ac:dyDescent="0.2">
      <c r="A3475">
        <v>6.5768333333333304E-2</v>
      </c>
      <c r="B3475">
        <v>0.42116309865392798</v>
      </c>
      <c r="C3475">
        <v>0.37194620238424198</v>
      </c>
      <c r="D3475">
        <v>0.58754329631755398</v>
      </c>
      <c r="E3475">
        <v>0.53756892064593398</v>
      </c>
    </row>
    <row r="3476" spans="1:5" x14ac:dyDescent="0.2">
      <c r="A3476">
        <v>6.5801666666666703E-2</v>
      </c>
      <c r="B3476">
        <v>0.42123156366494402</v>
      </c>
      <c r="C3476">
        <v>0.37201530746483802</v>
      </c>
      <c r="D3476">
        <v>0.58760437017216505</v>
      </c>
      <c r="E3476">
        <v>0.53763387832245602</v>
      </c>
    </row>
    <row r="3477" spans="1:5" x14ac:dyDescent="0.2">
      <c r="A3477">
        <v>6.5835000000000005E-2</v>
      </c>
      <c r="B3477">
        <v>0.42130003318195902</v>
      </c>
      <c r="C3477">
        <v>0.372084416862346</v>
      </c>
      <c r="D3477">
        <v>0.587665381671027</v>
      </c>
      <c r="E3477">
        <v>0.53769882157249405</v>
      </c>
    </row>
    <row r="3478" spans="1:5" x14ac:dyDescent="0.2">
      <c r="A3478">
        <v>6.5868333333333307E-2</v>
      </c>
      <c r="B3478">
        <v>0.42136850736185899</v>
      </c>
      <c r="C3478">
        <v>0.37215353084198199</v>
      </c>
      <c r="D3478">
        <v>0.58772633097522498</v>
      </c>
      <c r="E3478">
        <v>0.53776375065316895</v>
      </c>
    </row>
    <row r="3479" spans="1:5" x14ac:dyDescent="0.2">
      <c r="A3479">
        <v>6.5901666666666706E-2</v>
      </c>
      <c r="B3479">
        <v>0.42143698636153398</v>
      </c>
      <c r="C3479">
        <v>0.37222264966896301</v>
      </c>
      <c r="D3479">
        <v>0.58778721824584501</v>
      </c>
      <c r="E3479">
        <v>0.53782866582159905</v>
      </c>
    </row>
    <row r="3480" spans="1:5" x14ac:dyDescent="0.2">
      <c r="A3480">
        <v>6.5934999999999994E-2</v>
      </c>
      <c r="B3480">
        <v>0.421505470337871</v>
      </c>
      <c r="C3480">
        <v>0.37229177360850402</v>
      </c>
      <c r="D3480">
        <v>0.58784804364397103</v>
      </c>
      <c r="E3480">
        <v>0.53789356733490601</v>
      </c>
    </row>
    <row r="3481" spans="1:5" x14ac:dyDescent="0.2">
      <c r="A3481">
        <v>6.5968333333333296E-2</v>
      </c>
      <c r="B3481">
        <v>0.42157395944775899</v>
      </c>
      <c r="C3481">
        <v>0.37236090292582102</v>
      </c>
      <c r="D3481">
        <v>0.58790880733068895</v>
      </c>
      <c r="E3481">
        <v>0.53795845545020804</v>
      </c>
    </row>
    <row r="3482" spans="1:5" x14ac:dyDescent="0.2">
      <c r="A3482">
        <v>6.6001666666666695E-2</v>
      </c>
      <c r="B3482">
        <v>0.42164245384806398</v>
      </c>
      <c r="C3482">
        <v>0.372430037886117</v>
      </c>
      <c r="D3482">
        <v>0.58796950946708304</v>
      </c>
      <c r="E3482">
        <v>0.53802333042462602</v>
      </c>
    </row>
    <row r="3483" spans="1:5" x14ac:dyDescent="0.2">
      <c r="A3483">
        <v>6.6034999999999996E-2</v>
      </c>
      <c r="B3483">
        <v>0.42171095348580201</v>
      </c>
      <c r="C3483">
        <v>0.37249917863096499</v>
      </c>
      <c r="D3483">
        <v>0.58803015021423999</v>
      </c>
      <c r="E3483">
        <v>0.53808819251527895</v>
      </c>
    </row>
    <row r="3484" spans="1:5" x14ac:dyDescent="0.2">
      <c r="A3484">
        <v>6.6068333333333298E-2</v>
      </c>
      <c r="B3484">
        <v>0.421779457585231</v>
      </c>
      <c r="C3484">
        <v>0.37256832487612301</v>
      </c>
      <c r="D3484">
        <v>0.58809072973324505</v>
      </c>
      <c r="E3484">
        <v>0.53815304197928604</v>
      </c>
    </row>
    <row r="3485" spans="1:5" x14ac:dyDescent="0.2">
      <c r="A3485">
        <v>6.6101666666666697E-2</v>
      </c>
      <c r="B3485">
        <v>0.42184796521512002</v>
      </c>
      <c r="C3485">
        <v>0.372637476245747</v>
      </c>
      <c r="D3485">
        <v>0.58815124818518205</v>
      </c>
      <c r="E3485">
        <v>0.53821787907376895</v>
      </c>
    </row>
    <row r="3486" spans="1:5" x14ac:dyDescent="0.2">
      <c r="A3486">
        <v>6.6134999999999999E-2</v>
      </c>
      <c r="B3486">
        <v>0.42191647544423899</v>
      </c>
      <c r="C3486">
        <v>0.37270663236399298</v>
      </c>
      <c r="D3486">
        <v>0.58821170573113701</v>
      </c>
      <c r="E3486">
        <v>0.538282704055846</v>
      </c>
    </row>
    <row r="3487" spans="1:5" x14ac:dyDescent="0.2">
      <c r="A3487">
        <v>6.6168333333333301E-2</v>
      </c>
      <c r="B3487">
        <v>0.42198498734135798</v>
      </c>
      <c r="C3487">
        <v>0.372775792855015</v>
      </c>
      <c r="D3487">
        <v>0.58827210253219497</v>
      </c>
      <c r="E3487">
        <v>0.53834751718263696</v>
      </c>
    </row>
    <row r="3488" spans="1:5" x14ac:dyDescent="0.2">
      <c r="A3488">
        <v>6.62016666666667E-2</v>
      </c>
      <c r="B3488">
        <v>0.422053499975244</v>
      </c>
      <c r="C3488">
        <v>0.37284495734296802</v>
      </c>
      <c r="D3488">
        <v>0.58833243874944097</v>
      </c>
      <c r="E3488">
        <v>0.53841231871126205</v>
      </c>
    </row>
    <row r="3489" spans="1:5" x14ac:dyDescent="0.2">
      <c r="A3489">
        <v>6.6235000000000002E-2</v>
      </c>
      <c r="B3489">
        <v>0.42212201241466901</v>
      </c>
      <c r="C3489">
        <v>0.37291412545200803</v>
      </c>
      <c r="D3489">
        <v>0.58839271454396103</v>
      </c>
      <c r="E3489">
        <v>0.53847710889884104</v>
      </c>
    </row>
    <row r="3490" spans="1:5" x14ac:dyDescent="0.2">
      <c r="A3490">
        <v>6.6268333333333304E-2</v>
      </c>
      <c r="B3490">
        <v>0.42219052372840199</v>
      </c>
      <c r="C3490">
        <v>0.37298329680629</v>
      </c>
      <c r="D3490">
        <v>0.58845293007683996</v>
      </c>
      <c r="E3490">
        <v>0.53854188800249403</v>
      </c>
    </row>
    <row r="3491" spans="1:5" x14ac:dyDescent="0.2">
      <c r="A3491">
        <v>6.6301666666666703E-2</v>
      </c>
      <c r="B3491">
        <v>0.422259032985211</v>
      </c>
      <c r="C3491">
        <v>0.37305247102996902</v>
      </c>
      <c r="D3491">
        <v>0.58851308550916304</v>
      </c>
      <c r="E3491">
        <v>0.53860665627934001</v>
      </c>
    </row>
    <row r="3492" spans="1:5" x14ac:dyDescent="0.2">
      <c r="A3492">
        <v>6.6335000000000005E-2</v>
      </c>
      <c r="B3492">
        <v>0.42232753925386701</v>
      </c>
      <c r="C3492">
        <v>0.37312164774720002</v>
      </c>
      <c r="D3492">
        <v>0.58857318100201605</v>
      </c>
      <c r="E3492">
        <v>0.53867141398649898</v>
      </c>
    </row>
    <row r="3493" spans="1:5" x14ac:dyDescent="0.2">
      <c r="A3493">
        <v>6.6368333333333293E-2</v>
      </c>
      <c r="B3493">
        <v>0.42239604160313898</v>
      </c>
      <c r="C3493">
        <v>0.37319082658213798</v>
      </c>
      <c r="D3493">
        <v>0.58863321671648206</v>
      </c>
      <c r="E3493">
        <v>0.53873616138109104</v>
      </c>
    </row>
    <row r="3494" spans="1:5" x14ac:dyDescent="0.2">
      <c r="A3494">
        <v>6.6401666666666706E-2</v>
      </c>
      <c r="B3494">
        <v>0.42246453910179599</v>
      </c>
      <c r="C3494">
        <v>0.37326000715893898</v>
      </c>
      <c r="D3494">
        <v>0.58869319281364896</v>
      </c>
      <c r="E3494">
        <v>0.53880089872023595</v>
      </c>
    </row>
    <row r="3495" spans="1:5" x14ac:dyDescent="0.2">
      <c r="A3495">
        <v>6.6434999999999994E-2</v>
      </c>
      <c r="B3495">
        <v>0.42253303081860699</v>
      </c>
      <c r="C3495">
        <v>0.373329189101757</v>
      </c>
      <c r="D3495">
        <v>0.58875310945460002</v>
      </c>
      <c r="E3495">
        <v>0.53886562626105305</v>
      </c>
    </row>
    <row r="3496" spans="1:5" x14ac:dyDescent="0.2">
      <c r="A3496">
        <v>6.6468333333333296E-2</v>
      </c>
      <c r="B3496">
        <v>0.42260151582234301</v>
      </c>
      <c r="C3496">
        <v>0.37339837203474902</v>
      </c>
      <c r="D3496">
        <v>0.58881296680042206</v>
      </c>
      <c r="E3496">
        <v>0.538930344260663</v>
      </c>
    </row>
    <row r="3497" spans="1:5" x14ac:dyDescent="0.2">
      <c r="A3497">
        <v>6.6501666666666695E-2</v>
      </c>
      <c r="B3497">
        <v>0.42266999318177301</v>
      </c>
      <c r="C3497">
        <v>0.37346755558206801</v>
      </c>
      <c r="D3497">
        <v>0.58887276501219898</v>
      </c>
      <c r="E3497">
        <v>0.538995052976184</v>
      </c>
    </row>
    <row r="3498" spans="1:5" x14ac:dyDescent="0.2">
      <c r="A3498">
        <v>6.6534999999999997E-2</v>
      </c>
      <c r="B3498">
        <v>0.422738461965666</v>
      </c>
      <c r="C3498">
        <v>0.37353673936787002</v>
      </c>
      <c r="D3498">
        <v>0.58893250425101695</v>
      </c>
      <c r="E3498">
        <v>0.53905975266473705</v>
      </c>
    </row>
    <row r="3499" spans="1:5" x14ac:dyDescent="0.2">
      <c r="A3499">
        <v>6.6568333333333299E-2</v>
      </c>
      <c r="B3499">
        <v>0.42280692124279101</v>
      </c>
      <c r="C3499">
        <v>0.37360592301631101</v>
      </c>
      <c r="D3499">
        <v>0.58899218467796099</v>
      </c>
      <c r="E3499">
        <v>0.53912444358344203</v>
      </c>
    </row>
    <row r="3500" spans="1:5" x14ac:dyDescent="0.2">
      <c r="A3500">
        <v>6.6601666666666698E-2</v>
      </c>
      <c r="B3500">
        <v>0.422875370081918</v>
      </c>
      <c r="C3500">
        <v>0.37367510615154498</v>
      </c>
      <c r="D3500">
        <v>0.58905180645411603</v>
      </c>
      <c r="E3500">
        <v>0.53918912598941804</v>
      </c>
    </row>
    <row r="3501" spans="1:5" x14ac:dyDescent="0.2">
      <c r="A3501">
        <v>6.6635E-2</v>
      </c>
      <c r="B3501">
        <v>0.42294380755181699</v>
      </c>
      <c r="C3501">
        <v>0.373744288397727</v>
      </c>
      <c r="D3501">
        <v>0.58911136974056699</v>
      </c>
      <c r="E3501">
        <v>0.53925380013978497</v>
      </c>
    </row>
    <row r="3502" spans="1:5" x14ac:dyDescent="0.2">
      <c r="A3502">
        <v>6.6668333333333302E-2</v>
      </c>
      <c r="B3502">
        <v>0.42301223272125599</v>
      </c>
      <c r="C3502">
        <v>0.373813469379013</v>
      </c>
      <c r="D3502">
        <v>0.58917087469840002</v>
      </c>
      <c r="E3502">
        <v>0.53931846629166202</v>
      </c>
    </row>
    <row r="3503" spans="1:5" x14ac:dyDescent="0.2">
      <c r="A3503">
        <v>6.6701666666666701E-2</v>
      </c>
      <c r="B3503">
        <v>0.42308064465900602</v>
      </c>
      <c r="C3503">
        <v>0.37388264871955901</v>
      </c>
      <c r="D3503">
        <v>0.58923032148869903</v>
      </c>
      <c r="E3503">
        <v>0.53938312470217098</v>
      </c>
    </row>
    <row r="3504" spans="1:5" x14ac:dyDescent="0.2">
      <c r="A3504">
        <v>6.6735000000000003E-2</v>
      </c>
      <c r="B3504">
        <v>0.423149042433836</v>
      </c>
      <c r="C3504">
        <v>0.37395182604351801</v>
      </c>
      <c r="D3504">
        <v>0.58928971027255095</v>
      </c>
      <c r="E3504">
        <v>0.53944777562843005</v>
      </c>
    </row>
    <row r="3505" spans="1:5" x14ac:dyDescent="0.2">
      <c r="A3505">
        <v>6.6768333333333305E-2</v>
      </c>
      <c r="B3505">
        <v>0.42321742511451499</v>
      </c>
      <c r="C3505">
        <v>0.37402100097504598</v>
      </c>
      <c r="D3505">
        <v>0.58934904121104004</v>
      </c>
      <c r="E3505">
        <v>0.539512419327559</v>
      </c>
    </row>
    <row r="3506" spans="1:5" x14ac:dyDescent="0.2">
      <c r="A3506">
        <v>6.6801666666666704E-2</v>
      </c>
      <c r="B3506">
        <v>0.42328579176981201</v>
      </c>
      <c r="C3506">
        <v>0.37409017313829901</v>
      </c>
      <c r="D3506">
        <v>0.58940831446525099</v>
      </c>
      <c r="E3506">
        <v>0.53957705605667805</v>
      </c>
    </row>
    <row r="3507" spans="1:5" x14ac:dyDescent="0.2">
      <c r="A3507">
        <v>6.6835000000000006E-2</v>
      </c>
      <c r="B3507">
        <v>0.42335414146849798</v>
      </c>
      <c r="C3507">
        <v>0.37415934215743102</v>
      </c>
      <c r="D3507">
        <v>0.58946753019627096</v>
      </c>
      <c r="E3507">
        <v>0.53964168607290597</v>
      </c>
    </row>
    <row r="3508" spans="1:5" x14ac:dyDescent="0.2">
      <c r="A3508">
        <v>6.6868333333333294E-2</v>
      </c>
      <c r="B3508">
        <v>0.42342247327934102</v>
      </c>
      <c r="C3508">
        <v>0.37422850765659799</v>
      </c>
      <c r="D3508">
        <v>0.58952668856518298</v>
      </c>
      <c r="E3508">
        <v>0.53970630963336397</v>
      </c>
    </row>
    <row r="3509" spans="1:5" x14ac:dyDescent="0.2">
      <c r="A3509">
        <v>6.6901666666666706E-2</v>
      </c>
      <c r="B3509">
        <v>0.42349078627111197</v>
      </c>
      <c r="C3509">
        <v>0.374297669259955</v>
      </c>
      <c r="D3509">
        <v>0.58958578973307296</v>
      </c>
      <c r="E3509">
        <v>0.53977092699517204</v>
      </c>
    </row>
    <row r="3510" spans="1:5" x14ac:dyDescent="0.2">
      <c r="A3510">
        <v>6.6934999999999995E-2</v>
      </c>
      <c r="B3510">
        <v>0.42355907951257898</v>
      </c>
      <c r="C3510">
        <v>0.37436682659165699</v>
      </c>
      <c r="D3510">
        <v>0.58964483386102695</v>
      </c>
      <c r="E3510">
        <v>0.53983553841544796</v>
      </c>
    </row>
    <row r="3511" spans="1:5" x14ac:dyDescent="0.2">
      <c r="A3511">
        <v>6.6968333333333296E-2</v>
      </c>
      <c r="B3511">
        <v>0.42362735207251101</v>
      </c>
      <c r="C3511">
        <v>0.37443597927585898</v>
      </c>
      <c r="D3511">
        <v>0.58970382111012998</v>
      </c>
      <c r="E3511">
        <v>0.53990014415131304</v>
      </c>
    </row>
    <row r="3512" spans="1:5" x14ac:dyDescent="0.2">
      <c r="A3512">
        <v>6.7001666666666695E-2</v>
      </c>
      <c r="B3512">
        <v>0.42369560301977299</v>
      </c>
      <c r="C3512">
        <v>0.374505126936716</v>
      </c>
      <c r="D3512">
        <v>0.58976275164146597</v>
      </c>
      <c r="E3512">
        <v>0.53996474445988696</v>
      </c>
    </row>
    <row r="3513" spans="1:5" x14ac:dyDescent="0.2">
      <c r="A3513">
        <v>6.7034999999999997E-2</v>
      </c>
      <c r="B3513">
        <v>0.423763832291015</v>
      </c>
      <c r="C3513">
        <v>0.37457426919838399</v>
      </c>
      <c r="D3513">
        <v>0.58982162561612095</v>
      </c>
      <c r="E3513">
        <v>0.54002933959828903</v>
      </c>
    </row>
    <row r="3514" spans="1:5" x14ac:dyDescent="0.2">
      <c r="A3514">
        <v>6.7068333333333299E-2</v>
      </c>
      <c r="B3514">
        <v>0.42383204281172498</v>
      </c>
      <c r="C3514">
        <v>0.37464340568501697</v>
      </c>
      <c r="D3514">
        <v>0.58988044319518096</v>
      </c>
      <c r="E3514">
        <v>0.54009392982363902</v>
      </c>
    </row>
    <row r="3515" spans="1:5" x14ac:dyDescent="0.2">
      <c r="A3515">
        <v>6.7101666666666698E-2</v>
      </c>
      <c r="B3515">
        <v>0.42390023815038302</v>
      </c>
      <c r="C3515">
        <v>0.37471253602077098</v>
      </c>
      <c r="D3515">
        <v>0.58993920453973103</v>
      </c>
      <c r="E3515">
        <v>0.54015851539305604</v>
      </c>
    </row>
    <row r="3516" spans="1:5" x14ac:dyDescent="0.2">
      <c r="A3516">
        <v>6.7135E-2</v>
      </c>
      <c r="B3516">
        <v>0.42396842187546602</v>
      </c>
      <c r="C3516">
        <v>0.37478165982980099</v>
      </c>
      <c r="D3516">
        <v>0.58999790981085498</v>
      </c>
      <c r="E3516">
        <v>0.54022309656366196</v>
      </c>
    </row>
    <row r="3517" spans="1:5" x14ac:dyDescent="0.2">
      <c r="A3517">
        <v>6.7168333333333302E-2</v>
      </c>
      <c r="B3517">
        <v>0.42403659755545298</v>
      </c>
      <c r="C3517">
        <v>0.37485077673626199</v>
      </c>
      <c r="D3517">
        <v>0.59005655916963895</v>
      </c>
      <c r="E3517">
        <v>0.54028767359257501</v>
      </c>
    </row>
    <row r="3518" spans="1:5" x14ac:dyDescent="0.2">
      <c r="A3518">
        <v>6.7201666666666701E-2</v>
      </c>
      <c r="B3518">
        <v>0.42410476875882203</v>
      </c>
      <c r="C3518">
        <v>0.37491988636431001</v>
      </c>
      <c r="D3518">
        <v>0.59011515277716897</v>
      </c>
      <c r="E3518">
        <v>0.54035224673691495</v>
      </c>
    </row>
    <row r="3519" spans="1:5" x14ac:dyDescent="0.2">
      <c r="A3519">
        <v>6.7235000000000003E-2</v>
      </c>
      <c r="B3519">
        <v>0.42417293905405201</v>
      </c>
      <c r="C3519">
        <v>0.37498898833809902</v>
      </c>
      <c r="D3519">
        <v>0.59017369079452897</v>
      </c>
      <c r="E3519">
        <v>0.540416816253802</v>
      </c>
    </row>
    <row r="3520" spans="1:5" x14ac:dyDescent="0.2">
      <c r="A3520">
        <v>6.7268333333333305E-2</v>
      </c>
      <c r="B3520">
        <v>0.42424111200962</v>
      </c>
      <c r="C3520">
        <v>0.375058082281784</v>
      </c>
      <c r="D3520">
        <v>0.59023217338280498</v>
      </c>
      <c r="E3520">
        <v>0.54048138240035604</v>
      </c>
    </row>
    <row r="3521" spans="1:5" x14ac:dyDescent="0.2">
      <c r="A3521">
        <v>6.7301666666666704E-2</v>
      </c>
      <c r="B3521">
        <v>0.42430929119400701</v>
      </c>
      <c r="C3521">
        <v>0.37512716781952099</v>
      </c>
      <c r="D3521">
        <v>0.59029060070308104</v>
      </c>
      <c r="E3521">
        <v>0.54054594543369605</v>
      </c>
    </row>
    <row r="3522" spans="1:5" x14ac:dyDescent="0.2">
      <c r="A3522">
        <v>6.7335000000000006E-2</v>
      </c>
      <c r="B3522">
        <v>0.42437748017568899</v>
      </c>
      <c r="C3522">
        <v>0.37519624457546502</v>
      </c>
      <c r="D3522">
        <v>0.59034897291644395</v>
      </c>
      <c r="E3522">
        <v>0.54061050561094304</v>
      </c>
    </row>
    <row r="3523" spans="1:5" x14ac:dyDescent="0.2">
      <c r="A3523">
        <v>6.7368333333333294E-2</v>
      </c>
      <c r="B3523">
        <v>0.42444568252314502</v>
      </c>
      <c r="C3523">
        <v>0.37526531217377201</v>
      </c>
      <c r="D3523">
        <v>0.59040729018397897</v>
      </c>
      <c r="E3523">
        <v>0.54067506318921499</v>
      </c>
    </row>
    <row r="3524" spans="1:5" x14ac:dyDescent="0.2">
      <c r="A3524">
        <v>6.7401666666666707E-2</v>
      </c>
      <c r="B3524">
        <v>0.42451390180485499</v>
      </c>
      <c r="C3524">
        <v>0.37533437023859501</v>
      </c>
      <c r="D3524">
        <v>0.59046555266677003</v>
      </c>
      <c r="E3524">
        <v>0.54073961842563401</v>
      </c>
    </row>
    <row r="3525" spans="1:5" x14ac:dyDescent="0.2">
      <c r="A3525">
        <v>6.7434999999999995E-2</v>
      </c>
      <c r="B3525">
        <v>0.42458214158929503</v>
      </c>
      <c r="C3525">
        <v>0.37540341839409103</v>
      </c>
      <c r="D3525">
        <v>0.59052376052590205</v>
      </c>
      <c r="E3525">
        <v>0.54080417157731797</v>
      </c>
    </row>
    <row r="3526" spans="1:5" x14ac:dyDescent="0.2">
      <c r="A3526">
        <v>6.7468333333333297E-2</v>
      </c>
      <c r="B3526">
        <v>0.42465040544494498</v>
      </c>
      <c r="C3526">
        <v>0.375472456264414</v>
      </c>
      <c r="D3526">
        <v>0.59058191392246295</v>
      </c>
      <c r="E3526">
        <v>0.54086872290138699</v>
      </c>
    </row>
    <row r="3527" spans="1:5" x14ac:dyDescent="0.2">
      <c r="A3527">
        <v>6.7501666666666696E-2</v>
      </c>
      <c r="B3527">
        <v>0.42471869694028203</v>
      </c>
      <c r="C3527">
        <v>0.37554148347372002</v>
      </c>
      <c r="D3527">
        <v>0.59064001301753499</v>
      </c>
      <c r="E3527">
        <v>0.54093327265496105</v>
      </c>
    </row>
    <row r="3528" spans="1:5" x14ac:dyDescent="0.2">
      <c r="A3528">
        <v>6.7534999999999998E-2</v>
      </c>
      <c r="B3528">
        <v>0.42478701964378601</v>
      </c>
      <c r="C3528">
        <v>0.375610499646163</v>
      </c>
      <c r="D3528">
        <v>0.59069805797220498</v>
      </c>
      <c r="E3528">
        <v>0.54099782109516004</v>
      </c>
    </row>
    <row r="3529" spans="1:5" x14ac:dyDescent="0.2">
      <c r="A3529">
        <v>6.75683333333333E-2</v>
      </c>
      <c r="B3529">
        <v>0.42485537712393501</v>
      </c>
      <c r="C3529">
        <v>0.37567950440589998</v>
      </c>
      <c r="D3529">
        <v>0.59075604894755795</v>
      </c>
      <c r="E3529">
        <v>0.54106236847910405</v>
      </c>
    </row>
    <row r="3530" spans="1:5" x14ac:dyDescent="0.2">
      <c r="A3530">
        <v>6.7601666666666699E-2</v>
      </c>
      <c r="B3530">
        <v>0.42492377294920602</v>
      </c>
      <c r="C3530">
        <v>0.37574849737708499</v>
      </c>
      <c r="D3530">
        <v>0.59081398610467795</v>
      </c>
      <c r="E3530">
        <v>0.54112691506391297</v>
      </c>
    </row>
    <row r="3531" spans="1:5" x14ac:dyDescent="0.2">
      <c r="A3531">
        <v>6.7635000000000001E-2</v>
      </c>
      <c r="B3531">
        <v>0.42499221068807902</v>
      </c>
      <c r="C3531">
        <v>0.37581747818387301</v>
      </c>
      <c r="D3531">
        <v>0.59087186960465199</v>
      </c>
      <c r="E3531">
        <v>0.54119146110670502</v>
      </c>
    </row>
    <row r="3532" spans="1:5" x14ac:dyDescent="0.2">
      <c r="A3532">
        <v>6.7668333333333303E-2</v>
      </c>
      <c r="B3532">
        <v>0.42506069390903201</v>
      </c>
      <c r="C3532">
        <v>0.37588644645042002</v>
      </c>
      <c r="D3532">
        <v>0.59092969960856501</v>
      </c>
      <c r="E3532">
        <v>0.54125600686460196</v>
      </c>
    </row>
    <row r="3533" spans="1:5" x14ac:dyDescent="0.2">
      <c r="A3533">
        <v>6.7701666666666702E-2</v>
      </c>
      <c r="B3533">
        <v>0.425129226180544</v>
      </c>
      <c r="C3533">
        <v>0.37595540180088</v>
      </c>
      <c r="D3533">
        <v>0.59098747627750103</v>
      </c>
      <c r="E3533">
        <v>0.541320552594722</v>
      </c>
    </row>
    <row r="3534" spans="1:5" x14ac:dyDescent="0.2">
      <c r="A3534">
        <v>6.7735000000000004E-2</v>
      </c>
      <c r="B3534">
        <v>0.425197811071092</v>
      </c>
      <c r="C3534">
        <v>0.37602434385940903</v>
      </c>
      <c r="D3534">
        <v>0.59104519977254699</v>
      </c>
      <c r="E3534">
        <v>0.54138509855418604</v>
      </c>
    </row>
    <row r="3535" spans="1:5" x14ac:dyDescent="0.2">
      <c r="A3535">
        <v>6.7768333333333305E-2</v>
      </c>
      <c r="B3535">
        <v>0.42526645214915498</v>
      </c>
      <c r="C3535">
        <v>0.37609327225016198</v>
      </c>
      <c r="D3535">
        <v>0.59110287025478603</v>
      </c>
      <c r="E3535">
        <v>0.54144964500011294</v>
      </c>
    </row>
    <row r="3536" spans="1:5" x14ac:dyDescent="0.2">
      <c r="A3536">
        <v>6.7801666666666704E-2</v>
      </c>
      <c r="B3536">
        <v>0.42533515298321101</v>
      </c>
      <c r="C3536">
        <v>0.376162186597294</v>
      </c>
      <c r="D3536">
        <v>0.59116048788530495</v>
      </c>
      <c r="E3536">
        <v>0.54151419218962304</v>
      </c>
    </row>
    <row r="3537" spans="1:5" x14ac:dyDescent="0.2">
      <c r="A3537">
        <v>6.7835000000000006E-2</v>
      </c>
      <c r="B3537">
        <v>0.42540391714173997</v>
      </c>
      <c r="C3537">
        <v>0.37623108652496101</v>
      </c>
      <c r="D3537">
        <v>0.59121805282518802</v>
      </c>
      <c r="E3537">
        <v>0.541578740379836</v>
      </c>
    </row>
    <row r="3538" spans="1:5" x14ac:dyDescent="0.2">
      <c r="A3538">
        <v>6.7868333333333294E-2</v>
      </c>
      <c r="B3538">
        <v>0.42547274819321901</v>
      </c>
      <c r="C3538">
        <v>0.37629997165731699</v>
      </c>
      <c r="D3538">
        <v>0.59127556523552205</v>
      </c>
      <c r="E3538">
        <v>0.54164328982787202</v>
      </c>
    </row>
    <row r="3539" spans="1:5" x14ac:dyDescent="0.2">
      <c r="A3539">
        <v>6.7901666666666693E-2</v>
      </c>
      <c r="B3539">
        <v>0.42554164970612601</v>
      </c>
      <c r="C3539">
        <v>0.37636884161851702</v>
      </c>
      <c r="D3539">
        <v>0.59133302527738996</v>
      </c>
      <c r="E3539">
        <v>0.54170784079084999</v>
      </c>
    </row>
    <row r="3540" spans="1:5" x14ac:dyDescent="0.2">
      <c r="A3540">
        <v>6.7934999999999995E-2</v>
      </c>
      <c r="B3540">
        <v>0.425610625248941</v>
      </c>
      <c r="C3540">
        <v>0.37643769603271698</v>
      </c>
      <c r="D3540">
        <v>0.591390433111879</v>
      </c>
      <c r="E3540">
        <v>0.54177239352589002</v>
      </c>
    </row>
    <row r="3541" spans="1:5" x14ac:dyDescent="0.2">
      <c r="A3541">
        <v>6.7968333333333297E-2</v>
      </c>
      <c r="B3541">
        <v>0.42567967839014098</v>
      </c>
      <c r="C3541">
        <v>0.37650653452407201</v>
      </c>
      <c r="D3541">
        <v>0.59144778890007299</v>
      </c>
      <c r="E3541">
        <v>0.54183694829011197</v>
      </c>
    </row>
    <row r="3542" spans="1:5" x14ac:dyDescent="0.2">
      <c r="A3542">
        <v>6.8001666666666696E-2</v>
      </c>
      <c r="B3542">
        <v>0.42574881269801701</v>
      </c>
      <c r="C3542">
        <v>0.37657535671681802</v>
      </c>
      <c r="D3542">
        <v>0.59150509280305896</v>
      </c>
      <c r="E3542">
        <v>0.54190150534063597</v>
      </c>
    </row>
    <row r="3543" spans="1:5" x14ac:dyDescent="0.2">
      <c r="A3543">
        <v>6.8034999999999998E-2</v>
      </c>
      <c r="B3543">
        <v>0.42581803000167101</v>
      </c>
      <c r="C3543">
        <v>0.37664416298140002</v>
      </c>
      <c r="D3543">
        <v>0.59156234498191995</v>
      </c>
      <c r="E3543">
        <v>0.54196606493458099</v>
      </c>
    </row>
    <row r="3544" spans="1:5" x14ac:dyDescent="0.2">
      <c r="A3544">
        <v>6.80683333333333E-2</v>
      </c>
      <c r="B3544">
        <v>0.42588732614008201</v>
      </c>
      <c r="C3544">
        <v>0.37671295625836798</v>
      </c>
      <c r="D3544">
        <v>0.59161954559774199</v>
      </c>
      <c r="E3544">
        <v>0.54203062732906704</v>
      </c>
    </row>
    <row r="3545" spans="1:5" x14ac:dyDescent="0.2">
      <c r="A3545">
        <v>6.8101666666666699E-2</v>
      </c>
      <c r="B3545">
        <v>0.42595669566357303</v>
      </c>
      <c r="C3545">
        <v>0.37678174004117398</v>
      </c>
      <c r="D3545">
        <v>0.591676694811611</v>
      </c>
      <c r="E3545">
        <v>0.54209519278121399</v>
      </c>
    </row>
    <row r="3546" spans="1:5" x14ac:dyDescent="0.2">
      <c r="A3546">
        <v>6.8135000000000001E-2</v>
      </c>
      <c r="B3546">
        <v>0.42602613312246801</v>
      </c>
      <c r="C3546">
        <v>0.376850517823274</v>
      </c>
      <c r="D3546">
        <v>0.59173379278461202</v>
      </c>
      <c r="E3546">
        <v>0.54215976154814205</v>
      </c>
    </row>
    <row r="3547" spans="1:5" x14ac:dyDescent="0.2">
      <c r="A3547">
        <v>6.8168333333333303E-2</v>
      </c>
      <c r="B3547">
        <v>0.42609563306708997</v>
      </c>
      <c r="C3547">
        <v>0.376919293098123</v>
      </c>
      <c r="D3547">
        <v>0.59179083967782897</v>
      </c>
      <c r="E3547">
        <v>0.542224333886971</v>
      </c>
    </row>
    <row r="3548" spans="1:5" x14ac:dyDescent="0.2">
      <c r="A3548">
        <v>6.8201666666666702E-2</v>
      </c>
      <c r="B3548">
        <v>0.42616519004775999</v>
      </c>
      <c r="C3548">
        <v>0.37698806935917401</v>
      </c>
      <c r="D3548">
        <v>0.591847835652349</v>
      </c>
      <c r="E3548">
        <v>0.54228891005482005</v>
      </c>
    </row>
    <row r="3549" spans="1:5" x14ac:dyDescent="0.2">
      <c r="A3549">
        <v>6.8235000000000004E-2</v>
      </c>
      <c r="B3549">
        <v>0.42623479861480301</v>
      </c>
      <c r="C3549">
        <v>0.37705685009988199</v>
      </c>
      <c r="D3549">
        <v>0.59190478086925602</v>
      </c>
      <c r="E3549">
        <v>0.54235349030880897</v>
      </c>
    </row>
    <row r="3550" spans="1:5" x14ac:dyDescent="0.2">
      <c r="A3550">
        <v>6.8268333333333306E-2</v>
      </c>
      <c r="B3550">
        <v>0.426304453318541</v>
      </c>
      <c r="C3550">
        <v>0.37712563881370198</v>
      </c>
      <c r="D3550">
        <v>0.59196167548963596</v>
      </c>
      <c r="E3550">
        <v>0.54241807490605798</v>
      </c>
    </row>
    <row r="3551" spans="1:5" x14ac:dyDescent="0.2">
      <c r="A3551">
        <v>6.8301666666666705E-2</v>
      </c>
      <c r="B3551">
        <v>0.42637414870929702</v>
      </c>
      <c r="C3551">
        <v>0.377194438994089</v>
      </c>
      <c r="D3551">
        <v>0.59201851967457397</v>
      </c>
      <c r="E3551">
        <v>0.54248266410368695</v>
      </c>
    </row>
    <row r="3552" spans="1:5" x14ac:dyDescent="0.2">
      <c r="A3552">
        <v>6.8335000000000007E-2</v>
      </c>
      <c r="B3552">
        <v>0.42644387933739403</v>
      </c>
      <c r="C3552">
        <v>0.37726325413449602</v>
      </c>
      <c r="D3552">
        <v>0.59207531358515497</v>
      </c>
      <c r="E3552">
        <v>0.54254725815881499</v>
      </c>
    </row>
    <row r="3553" spans="1:5" x14ac:dyDescent="0.2">
      <c r="A3553">
        <v>6.8368333333333295E-2</v>
      </c>
      <c r="B3553">
        <v>0.42651363975315498</v>
      </c>
      <c r="C3553">
        <v>0.37733208772837801</v>
      </c>
      <c r="D3553">
        <v>0.59213205738246399</v>
      </c>
      <c r="E3553">
        <v>0.54261185732856199</v>
      </c>
    </row>
    <row r="3554" spans="1:5" x14ac:dyDescent="0.2">
      <c r="A3554">
        <v>6.8401666666666694E-2</v>
      </c>
      <c r="B3554">
        <v>0.42658342450690301</v>
      </c>
      <c r="C3554">
        <v>0.37740094326918999</v>
      </c>
      <c r="D3554">
        <v>0.59218875122758696</v>
      </c>
      <c r="E3554">
        <v>0.54267646187004803</v>
      </c>
    </row>
    <row r="3555" spans="1:5" x14ac:dyDescent="0.2">
      <c r="A3555">
        <v>6.8434999999999996E-2</v>
      </c>
      <c r="B3555">
        <v>0.42665322814896001</v>
      </c>
      <c r="C3555">
        <v>0.377469824250386</v>
      </c>
      <c r="D3555">
        <v>0.59224539528160802</v>
      </c>
      <c r="E3555">
        <v>0.54274107204039201</v>
      </c>
    </row>
    <row r="3556" spans="1:5" x14ac:dyDescent="0.2">
      <c r="A3556">
        <v>6.8468333333333298E-2</v>
      </c>
      <c r="B3556">
        <v>0.42672304522965099</v>
      </c>
      <c r="C3556">
        <v>0.377538734165421</v>
      </c>
      <c r="D3556">
        <v>0.59230198970561398</v>
      </c>
      <c r="E3556">
        <v>0.54280568809671603</v>
      </c>
    </row>
    <row r="3557" spans="1:5" x14ac:dyDescent="0.2">
      <c r="A3557">
        <v>6.8501666666666697E-2</v>
      </c>
      <c r="B3557">
        <v>0.42679287029929702</v>
      </c>
      <c r="C3557">
        <v>0.37760767650775001</v>
      </c>
      <c r="D3557">
        <v>0.592358534660689</v>
      </c>
      <c r="E3557">
        <v>0.54287031029613697</v>
      </c>
    </row>
    <row r="3558" spans="1:5" x14ac:dyDescent="0.2">
      <c r="A3558">
        <v>6.8534999999999999E-2</v>
      </c>
      <c r="B3558">
        <v>0.42686269790822201</v>
      </c>
      <c r="C3558">
        <v>0.37767665477082601</v>
      </c>
      <c r="D3558">
        <v>0.59241503030791798</v>
      </c>
      <c r="E3558">
        <v>0.54293493889577604</v>
      </c>
    </row>
    <row r="3559" spans="1:5" x14ac:dyDescent="0.2">
      <c r="A3559">
        <v>6.8568333333333301E-2</v>
      </c>
      <c r="B3559">
        <v>0.42693252260674902</v>
      </c>
      <c r="C3559">
        <v>0.37774567244810497</v>
      </c>
      <c r="D3559">
        <v>0.59247147680838697</v>
      </c>
      <c r="E3559">
        <v>0.54299957415275402</v>
      </c>
    </row>
    <row r="3560" spans="1:5" x14ac:dyDescent="0.2">
      <c r="A3560">
        <v>6.86016666666667E-2</v>
      </c>
      <c r="B3560">
        <v>0.42700233894520001</v>
      </c>
      <c r="C3560">
        <v>0.37781473303303997</v>
      </c>
      <c r="D3560">
        <v>0.59252787432318099</v>
      </c>
      <c r="E3560">
        <v>0.543064216324189</v>
      </c>
    </row>
    <row r="3561" spans="1:5" x14ac:dyDescent="0.2">
      <c r="A3561">
        <v>6.8635000000000002E-2</v>
      </c>
      <c r="B3561">
        <v>0.42707214147389799</v>
      </c>
      <c r="C3561">
        <v>0.37788384001908598</v>
      </c>
      <c r="D3561">
        <v>0.59258422301338498</v>
      </c>
      <c r="E3561">
        <v>0.54312886566720098</v>
      </c>
    </row>
    <row r="3562" spans="1:5" x14ac:dyDescent="0.2">
      <c r="A3562">
        <v>6.8668333333333303E-2</v>
      </c>
      <c r="B3562">
        <v>0.42714192474316698</v>
      </c>
      <c r="C3562">
        <v>0.37795299689969902</v>
      </c>
      <c r="D3562">
        <v>0.59264052304008397</v>
      </c>
      <c r="E3562">
        <v>0.54319352243890995</v>
      </c>
    </row>
    <row r="3563" spans="1:5" x14ac:dyDescent="0.2">
      <c r="A3563">
        <v>6.8701666666666703E-2</v>
      </c>
      <c r="B3563">
        <v>0.42721168330332998</v>
      </c>
      <c r="C3563">
        <v>0.37802220716833201</v>
      </c>
      <c r="D3563">
        <v>0.59269677456436398</v>
      </c>
      <c r="E3563">
        <v>0.54325818689643601</v>
      </c>
    </row>
    <row r="3564" spans="1:5" x14ac:dyDescent="0.2">
      <c r="A3564">
        <v>6.8735000000000004E-2</v>
      </c>
      <c r="B3564">
        <v>0.42728141170470901</v>
      </c>
      <c r="C3564">
        <v>0.37809147431843898</v>
      </c>
      <c r="D3564">
        <v>0.59275297774730995</v>
      </c>
      <c r="E3564">
        <v>0.54332285929689905</v>
      </c>
    </row>
    <row r="3565" spans="1:5" x14ac:dyDescent="0.2">
      <c r="A3565">
        <v>6.8768333333333306E-2</v>
      </c>
      <c r="B3565">
        <v>0.42735110449762698</v>
      </c>
      <c r="C3565">
        <v>0.378160801843476</v>
      </c>
      <c r="D3565">
        <v>0.59280913275000702</v>
      </c>
      <c r="E3565">
        <v>0.54338753989741795</v>
      </c>
    </row>
    <row r="3566" spans="1:5" x14ac:dyDescent="0.2">
      <c r="A3566">
        <v>6.8801666666666705E-2</v>
      </c>
      <c r="B3566">
        <v>0.427420756232407</v>
      </c>
      <c r="C3566">
        <v>0.37823019323689699</v>
      </c>
      <c r="D3566">
        <v>0.59286523973354099</v>
      </c>
      <c r="E3566">
        <v>0.54345222895511403</v>
      </c>
    </row>
    <row r="3567" spans="1:5" x14ac:dyDescent="0.2">
      <c r="A3567">
        <v>6.8834999999999993E-2</v>
      </c>
      <c r="B3567">
        <v>0.42749036145937302</v>
      </c>
      <c r="C3567">
        <v>0.37829965199215598</v>
      </c>
      <c r="D3567">
        <v>0.59292129885899603</v>
      </c>
      <c r="E3567">
        <v>0.54351692672710505</v>
      </c>
    </row>
    <row r="3568" spans="1:5" x14ac:dyDescent="0.2">
      <c r="A3568">
        <v>6.8868333333333295E-2</v>
      </c>
      <c r="B3568">
        <v>0.42755991472884702</v>
      </c>
      <c r="C3568">
        <v>0.37836918160270799</v>
      </c>
      <c r="D3568">
        <v>0.59297731028745704</v>
      </c>
      <c r="E3568">
        <v>0.54358163347051203</v>
      </c>
    </row>
    <row r="3569" spans="1:5" x14ac:dyDescent="0.2">
      <c r="A3569">
        <v>6.8901666666666694E-2</v>
      </c>
      <c r="B3569">
        <v>0.427629410591152</v>
      </c>
      <c r="C3569">
        <v>0.378438785562007</v>
      </c>
      <c r="D3569">
        <v>0.59303327418001095</v>
      </c>
      <c r="E3569">
        <v>0.54364634944245505</v>
      </c>
    </row>
    <row r="3570" spans="1:5" x14ac:dyDescent="0.2">
      <c r="A3570">
        <v>6.8934999999999996E-2</v>
      </c>
      <c r="B3570">
        <v>0.42769884359660998</v>
      </c>
      <c r="C3570">
        <v>0.37850846736350902</v>
      </c>
      <c r="D3570">
        <v>0.59308919069774202</v>
      </c>
      <c r="E3570">
        <v>0.54371107490005299</v>
      </c>
    </row>
    <row r="3571" spans="1:5" x14ac:dyDescent="0.2">
      <c r="A3571">
        <v>6.8968333333333298E-2</v>
      </c>
      <c r="B3571">
        <v>0.42776820829554602</v>
      </c>
      <c r="C3571">
        <v>0.37857823050066602</v>
      </c>
      <c r="D3571">
        <v>0.59314506000173595</v>
      </c>
      <c r="E3571">
        <v>0.54377581010042597</v>
      </c>
    </row>
    <row r="3572" spans="1:5" x14ac:dyDescent="0.2">
      <c r="A3572">
        <v>6.9001666666666697E-2</v>
      </c>
      <c r="B3572">
        <v>0.42783749923828202</v>
      </c>
      <c r="C3572">
        <v>0.37864807846656801</v>
      </c>
      <c r="D3572">
        <v>0.59320088225307699</v>
      </c>
      <c r="E3572">
        <v>0.54384055530069297</v>
      </c>
    </row>
    <row r="3573" spans="1:5" x14ac:dyDescent="0.2">
      <c r="A3573">
        <v>6.9034999999999999E-2</v>
      </c>
      <c r="B3573">
        <v>0.42790671097513999</v>
      </c>
      <c r="C3573">
        <v>0.37871801135431898</v>
      </c>
      <c r="D3573">
        <v>0.59325665761285096</v>
      </c>
      <c r="E3573">
        <v>0.54390531075797599</v>
      </c>
    </row>
    <row r="3574" spans="1:5" x14ac:dyDescent="0.2">
      <c r="A3574">
        <v>6.9068333333333301E-2</v>
      </c>
      <c r="B3574">
        <v>0.42797583805644501</v>
      </c>
      <c r="C3574">
        <v>0.37878801754680003</v>
      </c>
      <c r="D3574">
        <v>0.593312386242143</v>
      </c>
      <c r="E3574">
        <v>0.54397007672939202</v>
      </c>
    </row>
    <row r="3575" spans="1:5" x14ac:dyDescent="0.2">
      <c r="A3575">
        <v>6.91016666666667E-2</v>
      </c>
      <c r="B3575">
        <v>0.42804487503251798</v>
      </c>
      <c r="C3575">
        <v>0.37885808290766398</v>
      </c>
      <c r="D3575">
        <v>0.59336806830203903</v>
      </c>
      <c r="E3575">
        <v>0.54403485347206304</v>
      </c>
    </row>
    <row r="3576" spans="1:5" x14ac:dyDescent="0.2">
      <c r="A3576">
        <v>6.9135000000000002E-2</v>
      </c>
      <c r="B3576">
        <v>0.42811381645368302</v>
      </c>
      <c r="C3576">
        <v>0.37892819330056399</v>
      </c>
      <c r="D3576">
        <v>0.59342370395362298</v>
      </c>
      <c r="E3576">
        <v>0.54409964124310795</v>
      </c>
    </row>
    <row r="3577" spans="1:5" x14ac:dyDescent="0.2">
      <c r="A3577">
        <v>6.9168333333333304E-2</v>
      </c>
      <c r="B3577">
        <v>0.42818265687026202</v>
      </c>
      <c r="C3577">
        <v>0.378998334589154</v>
      </c>
      <c r="D3577">
        <v>0.593479293357981</v>
      </c>
      <c r="E3577">
        <v>0.54416444029964595</v>
      </c>
    </row>
    <row r="3578" spans="1:5" x14ac:dyDescent="0.2">
      <c r="A3578">
        <v>6.9201666666666703E-2</v>
      </c>
      <c r="B3578">
        <v>0.42825139083257902</v>
      </c>
      <c r="C3578">
        <v>0.37906849263708903</v>
      </c>
      <c r="D3578">
        <v>0.593534836676199</v>
      </c>
      <c r="E3578">
        <v>0.54422925089879803</v>
      </c>
    </row>
    <row r="3579" spans="1:5" x14ac:dyDescent="0.2">
      <c r="A3579">
        <v>6.9235000000000005E-2</v>
      </c>
      <c r="B3579">
        <v>0.428320012890956</v>
      </c>
      <c r="C3579">
        <v>0.37913865330802099</v>
      </c>
      <c r="D3579">
        <v>0.59359033406936001</v>
      </c>
      <c r="E3579">
        <v>0.54429407329768298</v>
      </c>
    </row>
    <row r="3580" spans="1:5" x14ac:dyDescent="0.2">
      <c r="A3580">
        <v>6.9268333333333307E-2</v>
      </c>
      <c r="B3580">
        <v>0.428388517595717</v>
      </c>
      <c r="C3580">
        <v>0.37920880246560601</v>
      </c>
      <c r="D3580">
        <v>0.59364578569855098</v>
      </c>
      <c r="E3580">
        <v>0.544358907753421</v>
      </c>
    </row>
    <row r="3581" spans="1:5" x14ac:dyDescent="0.2">
      <c r="A3581">
        <v>6.9301666666666706E-2</v>
      </c>
      <c r="B3581">
        <v>0.42845689949718502</v>
      </c>
      <c r="C3581">
        <v>0.379278925973495</v>
      </c>
      <c r="D3581">
        <v>0.59370119172485702</v>
      </c>
      <c r="E3581">
        <v>0.54442375452313196</v>
      </c>
    </row>
    <row r="3582" spans="1:5" x14ac:dyDescent="0.2">
      <c r="A3582">
        <v>6.9334999999999994E-2</v>
      </c>
      <c r="B3582">
        <v>0.42852515314568101</v>
      </c>
      <c r="C3582">
        <v>0.37934900969534402</v>
      </c>
      <c r="D3582">
        <v>0.59375655230936297</v>
      </c>
      <c r="E3582">
        <v>0.54448861386393599</v>
      </c>
    </row>
    <row r="3583" spans="1:5" x14ac:dyDescent="0.2">
      <c r="A3583">
        <v>6.9368333333333296E-2</v>
      </c>
      <c r="B3583">
        <v>0.42859327309153</v>
      </c>
      <c r="C3583">
        <v>0.37941903949480499</v>
      </c>
      <c r="D3583">
        <v>0.59381186761315397</v>
      </c>
      <c r="E3583">
        <v>0.54455348603295095</v>
      </c>
    </row>
    <row r="3584" spans="1:5" x14ac:dyDescent="0.2">
      <c r="A3584">
        <v>6.9401666666666695E-2</v>
      </c>
      <c r="B3584">
        <v>0.42866125388505399</v>
      </c>
      <c r="C3584">
        <v>0.37948900123553297</v>
      </c>
      <c r="D3584">
        <v>0.59386713779731604</v>
      </c>
      <c r="E3584">
        <v>0.54461837128729895</v>
      </c>
    </row>
    <row r="3585" spans="1:5" x14ac:dyDescent="0.2">
      <c r="A3585">
        <v>6.9434999999999997E-2</v>
      </c>
      <c r="B3585">
        <v>0.428729090076577</v>
      </c>
      <c r="C3585">
        <v>0.379558880781182</v>
      </c>
      <c r="D3585">
        <v>0.593922363022933</v>
      </c>
      <c r="E3585">
        <v>0.54468326988409799</v>
      </c>
    </row>
    <row r="3586" spans="1:5" x14ac:dyDescent="0.2">
      <c r="A3586">
        <v>6.9468333333333299E-2</v>
      </c>
      <c r="B3586">
        <v>0.42879677621641998</v>
      </c>
      <c r="C3586">
        <v>0.37962866399540401</v>
      </c>
      <c r="D3586">
        <v>0.59397754345109099</v>
      </c>
      <c r="E3586">
        <v>0.54474818208047004</v>
      </c>
    </row>
    <row r="3587" spans="1:5" x14ac:dyDescent="0.2">
      <c r="A3587">
        <v>6.9501666666666698E-2</v>
      </c>
      <c r="B3587">
        <v>0.42886430685490801</v>
      </c>
      <c r="C3587">
        <v>0.37969833674185499</v>
      </c>
      <c r="D3587">
        <v>0.59403267924287595</v>
      </c>
      <c r="E3587">
        <v>0.54481310813353201</v>
      </c>
    </row>
    <row r="3588" spans="1:5" x14ac:dyDescent="0.2">
      <c r="A3588">
        <v>6.9535E-2</v>
      </c>
      <c r="B3588">
        <v>0.42893167654236197</v>
      </c>
      <c r="C3588">
        <v>0.379767884884187</v>
      </c>
      <c r="D3588">
        <v>0.59408777055937101</v>
      </c>
      <c r="E3588">
        <v>0.54487804830040598</v>
      </c>
    </row>
    <row r="3589" spans="1:5" x14ac:dyDescent="0.2">
      <c r="A3589">
        <v>6.9568333333333301E-2</v>
      </c>
      <c r="B3589">
        <v>0.428998879829107</v>
      </c>
      <c r="C3589">
        <v>0.37983729428605401</v>
      </c>
      <c r="D3589">
        <v>0.59414281756166398</v>
      </c>
      <c r="E3589">
        <v>0.54494300283821095</v>
      </c>
    </row>
    <row r="3590" spans="1:5" x14ac:dyDescent="0.2">
      <c r="A3590">
        <v>6.9601666666666701E-2</v>
      </c>
      <c r="B3590">
        <v>0.42906591126546401</v>
      </c>
      <c r="C3590">
        <v>0.37990655081111102</v>
      </c>
      <c r="D3590">
        <v>0.59419782041083802</v>
      </c>
      <c r="E3590">
        <v>0.54500797200406603</v>
      </c>
    </row>
    <row r="3591" spans="1:5" x14ac:dyDescent="0.2">
      <c r="A3591">
        <v>6.9635000000000002E-2</v>
      </c>
      <c r="B3591">
        <v>0.42913276540175799</v>
      </c>
      <c r="C3591">
        <v>0.37997564032301001</v>
      </c>
      <c r="D3591">
        <v>0.59425277926797904</v>
      </c>
      <c r="E3591">
        <v>0.54507295605509198</v>
      </c>
    </row>
    <row r="3592" spans="1:5" x14ac:dyDescent="0.2">
      <c r="A3592">
        <v>6.9668333333333304E-2</v>
      </c>
      <c r="B3592">
        <v>0.42919943678831002</v>
      </c>
      <c r="C3592">
        <v>0.38004454868540599</v>
      </c>
      <c r="D3592">
        <v>0.59430769429417296</v>
      </c>
      <c r="E3592">
        <v>0.54513795524840802</v>
      </c>
    </row>
    <row r="3593" spans="1:5" x14ac:dyDescent="0.2">
      <c r="A3593">
        <v>6.9701666666666703E-2</v>
      </c>
      <c r="B3593">
        <v>0.429265919975443</v>
      </c>
      <c r="C3593">
        <v>0.38011326176195198</v>
      </c>
      <c r="D3593">
        <v>0.59436256565050405</v>
      </c>
      <c r="E3593">
        <v>0.54520296984113403</v>
      </c>
    </row>
    <row r="3594" spans="1:5" x14ac:dyDescent="0.2">
      <c r="A3594">
        <v>6.9735000000000005E-2</v>
      </c>
      <c r="B3594">
        <v>0.429332209513482</v>
      </c>
      <c r="C3594">
        <v>0.380181765416302</v>
      </c>
      <c r="D3594">
        <v>0.594417393498058</v>
      </c>
      <c r="E3594">
        <v>0.54526800009039</v>
      </c>
    </row>
    <row r="3595" spans="1:5" x14ac:dyDescent="0.2">
      <c r="A3595">
        <v>6.9768333333333293E-2</v>
      </c>
      <c r="B3595">
        <v>0.42939829995274797</v>
      </c>
      <c r="C3595">
        <v>0.380250045512111</v>
      </c>
      <c r="D3595">
        <v>0.59447217799791996</v>
      </c>
      <c r="E3595">
        <v>0.54533304625329504</v>
      </c>
    </row>
    <row r="3596" spans="1:5" x14ac:dyDescent="0.2">
      <c r="A3596">
        <v>6.9801666666666706E-2</v>
      </c>
      <c r="B3596">
        <v>0.42946418584356499</v>
      </c>
      <c r="C3596">
        <v>0.38031808791303101</v>
      </c>
      <c r="D3596">
        <v>0.59452691931117496</v>
      </c>
      <c r="E3596">
        <v>0.54539810858697002</v>
      </c>
    </row>
    <row r="3597" spans="1:5" x14ac:dyDescent="0.2">
      <c r="A3597">
        <v>6.9834999999999994E-2</v>
      </c>
      <c r="B3597">
        <v>0.42952986173625501</v>
      </c>
      <c r="C3597">
        <v>0.38038587848271599</v>
      </c>
      <c r="D3597">
        <v>0.59458161759890904</v>
      </c>
      <c r="E3597">
        <v>0.54546318734853305</v>
      </c>
    </row>
    <row r="3598" spans="1:5" x14ac:dyDescent="0.2">
      <c r="A3598">
        <v>6.9868333333333296E-2</v>
      </c>
      <c r="B3598">
        <v>0.42959532218114099</v>
      </c>
      <c r="C3598">
        <v>0.38045340308482001</v>
      </c>
      <c r="D3598">
        <v>0.59463627302220601</v>
      </c>
      <c r="E3598">
        <v>0.54552828279510601</v>
      </c>
    </row>
    <row r="3599" spans="1:5" x14ac:dyDescent="0.2">
      <c r="A3599">
        <v>6.9901666666666695E-2</v>
      </c>
      <c r="B3599">
        <v>0.429660561728547</v>
      </c>
      <c r="C3599">
        <v>0.38052064758299697</v>
      </c>
      <c r="D3599">
        <v>0.59469088574215201</v>
      </c>
      <c r="E3599">
        <v>0.54559339518380801</v>
      </c>
    </row>
    <row r="3600" spans="1:5" x14ac:dyDescent="0.2">
      <c r="A3600">
        <v>6.9934999999999997E-2</v>
      </c>
      <c r="B3600">
        <v>0.42972557492879598</v>
      </c>
      <c r="C3600">
        <v>0.38058759784090102</v>
      </c>
      <c r="D3600">
        <v>0.59474545591983297</v>
      </c>
      <c r="E3600">
        <v>0.54565852477175703</v>
      </c>
    </row>
    <row r="3601" spans="1:5" x14ac:dyDescent="0.2">
      <c r="A3601">
        <v>6.9968333333333299E-2</v>
      </c>
      <c r="B3601">
        <v>0.42979035633220902</v>
      </c>
      <c r="C3601">
        <v>0.38065423972218498</v>
      </c>
      <c r="D3601">
        <v>0.59479998371633203</v>
      </c>
      <c r="E3601">
        <v>0.54572367181607495</v>
      </c>
    </row>
    <row r="3602" spans="1:5" x14ac:dyDescent="0.2">
      <c r="A3602">
        <v>7.0001666666666698E-2</v>
      </c>
      <c r="B3602">
        <v>0.42985490048939901</v>
      </c>
      <c r="C3602">
        <v>0.380720559091065</v>
      </c>
      <c r="D3602">
        <v>0.594854469292737</v>
      </c>
      <c r="E3602">
        <v>0.545788836573881</v>
      </c>
    </row>
    <row r="3603" spans="1:5" x14ac:dyDescent="0.2">
      <c r="A3603">
        <v>7.0035E-2</v>
      </c>
      <c r="B3603">
        <v>0.42991920461368499</v>
      </c>
      <c r="C3603">
        <v>0.38078654701124298</v>
      </c>
      <c r="D3603">
        <v>0.59490891281013103</v>
      </c>
      <c r="E3603">
        <v>0.54585401930229505</v>
      </c>
    </row>
    <row r="3604" spans="1:5" x14ac:dyDescent="0.2">
      <c r="A3604">
        <v>7.0068333333333302E-2</v>
      </c>
      <c r="B3604">
        <v>0.42998327508930601</v>
      </c>
      <c r="C3604">
        <v>0.380852212454521</v>
      </c>
      <c r="D3604">
        <v>0.59496331442960004</v>
      </c>
      <c r="E3604">
        <v>0.54591922025843598</v>
      </c>
    </row>
    <row r="3605" spans="1:5" x14ac:dyDescent="0.2">
      <c r="A3605">
        <v>7.0101666666666701E-2</v>
      </c>
      <c r="B3605">
        <v>0.430047120273443</v>
      </c>
      <c r="C3605">
        <v>0.38091756824527201</v>
      </c>
      <c r="D3605">
        <v>0.59501767431222996</v>
      </c>
      <c r="E3605">
        <v>0.54598443969942401</v>
      </c>
    </row>
    <row r="3606" spans="1:5" x14ac:dyDescent="0.2">
      <c r="A3606">
        <v>7.0135000000000003E-2</v>
      </c>
      <c r="B3606">
        <v>0.43011074852327802</v>
      </c>
      <c r="C3606">
        <v>0.38098262720787202</v>
      </c>
      <c r="D3606">
        <v>0.59507199261910504</v>
      </c>
      <c r="E3606">
        <v>0.54604967788237901</v>
      </c>
    </row>
    <row r="3607" spans="1:5" x14ac:dyDescent="0.2">
      <c r="A3607">
        <v>7.0168333333333305E-2</v>
      </c>
      <c r="B3607">
        <v>0.43017416819599102</v>
      </c>
      <c r="C3607">
        <v>0.38104740216669503</v>
      </c>
      <c r="D3607">
        <v>0.59512626951131098</v>
      </c>
      <c r="E3607">
        <v>0.54611493506442199</v>
      </c>
    </row>
    <row r="3608" spans="1:5" x14ac:dyDescent="0.2">
      <c r="A3608">
        <v>7.0201666666666704E-2</v>
      </c>
      <c r="B3608">
        <v>0.43023738764876301</v>
      </c>
      <c r="C3608">
        <v>0.38111190594611699</v>
      </c>
      <c r="D3608">
        <v>0.59518050514993304</v>
      </c>
      <c r="E3608">
        <v>0.54618021150267004</v>
      </c>
    </row>
    <row r="3609" spans="1:5" x14ac:dyDescent="0.2">
      <c r="A3609">
        <v>7.0235000000000006E-2</v>
      </c>
      <c r="B3609">
        <v>0.43030041523877499</v>
      </c>
      <c r="C3609">
        <v>0.38117615137051297</v>
      </c>
      <c r="D3609">
        <v>0.59523469969605602</v>
      </c>
      <c r="E3609">
        <v>0.54624550745424505</v>
      </c>
    </row>
    <row r="3610" spans="1:5" x14ac:dyDescent="0.2">
      <c r="A3610">
        <v>7.0268333333333294E-2</v>
      </c>
      <c r="B3610">
        <v>0.43036325932320901</v>
      </c>
      <c r="C3610">
        <v>0.38124015126425698</v>
      </c>
      <c r="D3610">
        <v>0.59528885331076498</v>
      </c>
      <c r="E3610">
        <v>0.546310823176267</v>
      </c>
    </row>
    <row r="3611" spans="1:5" x14ac:dyDescent="0.2">
      <c r="A3611">
        <v>7.0301666666666707E-2</v>
      </c>
      <c r="B3611">
        <v>0.43042592825924603</v>
      </c>
      <c r="C3611">
        <v>0.38130391845172401</v>
      </c>
      <c r="D3611">
        <v>0.59534296615514704</v>
      </c>
      <c r="E3611">
        <v>0.54637615892585401</v>
      </c>
    </row>
    <row r="3612" spans="1:5" x14ac:dyDescent="0.2">
      <c r="A3612">
        <v>7.0334999999999995E-2</v>
      </c>
      <c r="B3612">
        <v>0.43048843040406498</v>
      </c>
      <c r="C3612">
        <v>0.38136746575729003</v>
      </c>
      <c r="D3612">
        <v>0.59539703839028502</v>
      </c>
      <c r="E3612">
        <v>0.54644151496012705</v>
      </c>
    </row>
    <row r="3613" spans="1:5" x14ac:dyDescent="0.2">
      <c r="A3613">
        <v>7.0368333333333297E-2</v>
      </c>
      <c r="B3613">
        <v>0.43055077411484999</v>
      </c>
      <c r="C3613">
        <v>0.38143080600533003</v>
      </c>
      <c r="D3613">
        <v>0.59545107017726495</v>
      </c>
      <c r="E3613">
        <v>0.54650689153620502</v>
      </c>
    </row>
    <row r="3614" spans="1:5" x14ac:dyDescent="0.2">
      <c r="A3614">
        <v>7.0401666666666696E-2</v>
      </c>
      <c r="B3614">
        <v>0.43061296774878</v>
      </c>
      <c r="C3614">
        <v>0.38149395202021702</v>
      </c>
      <c r="D3614">
        <v>0.59550506167717299</v>
      </c>
      <c r="E3614">
        <v>0.54657228891120802</v>
      </c>
    </row>
    <row r="3615" spans="1:5" x14ac:dyDescent="0.2">
      <c r="A3615">
        <v>7.0434999999999998E-2</v>
      </c>
      <c r="B3615">
        <v>0.43067501966303601</v>
      </c>
      <c r="C3615">
        <v>0.38155691662632801</v>
      </c>
      <c r="D3615">
        <v>0.59555901305109304</v>
      </c>
      <c r="E3615">
        <v>0.54663770734225703</v>
      </c>
    </row>
    <row r="3616" spans="1:5" x14ac:dyDescent="0.2">
      <c r="A3616">
        <v>7.04683333333333E-2</v>
      </c>
      <c r="B3616">
        <v>0.43073693821480102</v>
      </c>
      <c r="C3616">
        <v>0.38161971264803601</v>
      </c>
      <c r="D3616">
        <v>0.59561292446011105</v>
      </c>
      <c r="E3616">
        <v>0.54670314708647005</v>
      </c>
    </row>
    <row r="3617" spans="1:5" x14ac:dyDescent="0.2">
      <c r="A3617">
        <v>7.0501666666666699E-2</v>
      </c>
      <c r="B3617">
        <v>0.43079873176125399</v>
      </c>
      <c r="C3617">
        <v>0.38168235290971803</v>
      </c>
      <c r="D3617">
        <v>0.59566679606531203</v>
      </c>
      <c r="E3617">
        <v>0.54676860840096797</v>
      </c>
    </row>
    <row r="3618" spans="1:5" x14ac:dyDescent="0.2">
      <c r="A3618">
        <v>7.0535E-2</v>
      </c>
      <c r="B3618">
        <v>0.43086040865957698</v>
      </c>
      <c r="C3618">
        <v>0.381744850235748</v>
      </c>
      <c r="D3618">
        <v>0.59572062802778203</v>
      </c>
      <c r="E3618">
        <v>0.54683409154286999</v>
      </c>
    </row>
    <row r="3619" spans="1:5" x14ac:dyDescent="0.2">
      <c r="A3619">
        <v>7.0568333333333302E-2</v>
      </c>
      <c r="B3619">
        <v>0.43092197726694997</v>
      </c>
      <c r="C3619">
        <v>0.381807217450501</v>
      </c>
      <c r="D3619">
        <v>0.59577442050860496</v>
      </c>
      <c r="E3619">
        <v>0.546899596769296</v>
      </c>
    </row>
    <row r="3620" spans="1:5" x14ac:dyDescent="0.2">
      <c r="A3620">
        <v>7.0601666666666701E-2</v>
      </c>
      <c r="B3620">
        <v>0.43098344594055599</v>
      </c>
      <c r="C3620">
        <v>0.38186946737835198</v>
      </c>
      <c r="D3620">
        <v>0.59582817366886598</v>
      </c>
      <c r="E3620">
        <v>0.54696512433736499</v>
      </c>
    </row>
    <row r="3621" spans="1:5" x14ac:dyDescent="0.2">
      <c r="A3621">
        <v>7.0635000000000003E-2</v>
      </c>
      <c r="B3621">
        <v>0.43104482303757402</v>
      </c>
      <c r="C3621">
        <v>0.38193161284367499</v>
      </c>
      <c r="D3621">
        <v>0.595881887669652</v>
      </c>
      <c r="E3621">
        <v>0.54703067450419895</v>
      </c>
    </row>
    <row r="3622" spans="1:5" x14ac:dyDescent="0.2">
      <c r="A3622">
        <v>7.0668333333333305E-2</v>
      </c>
      <c r="B3622">
        <v>0.43110611691518702</v>
      </c>
      <c r="C3622">
        <v>0.381993666670846</v>
      </c>
      <c r="D3622">
        <v>0.59593556267204695</v>
      </c>
      <c r="E3622">
        <v>0.54709624752691599</v>
      </c>
    </row>
    <row r="3623" spans="1:5" x14ac:dyDescent="0.2">
      <c r="A3623">
        <v>7.0701666666666704E-2</v>
      </c>
      <c r="B3623">
        <v>0.43116733593057399</v>
      </c>
      <c r="C3623">
        <v>0.38205564168424</v>
      </c>
      <c r="D3623">
        <v>0.59598919883713597</v>
      </c>
      <c r="E3623">
        <v>0.54716184366263598</v>
      </c>
    </row>
    <row r="3624" spans="1:5" x14ac:dyDescent="0.2">
      <c r="A3624">
        <v>7.0735000000000006E-2</v>
      </c>
      <c r="B3624">
        <v>0.43122848844091699</v>
      </c>
      <c r="C3624">
        <v>0.382117550708232</v>
      </c>
      <c r="D3624">
        <v>0.59604279632600499</v>
      </c>
      <c r="E3624">
        <v>0.54722746316847903</v>
      </c>
    </row>
    <row r="3625" spans="1:5" x14ac:dyDescent="0.2">
      <c r="A3625">
        <v>7.0768333333333294E-2</v>
      </c>
      <c r="B3625">
        <v>0.43128958280339802</v>
      </c>
      <c r="C3625">
        <v>0.38217940656719601</v>
      </c>
      <c r="D3625">
        <v>0.59609635529973903</v>
      </c>
      <c r="E3625">
        <v>0.54729310630156403</v>
      </c>
    </row>
    <row r="3626" spans="1:5" x14ac:dyDescent="0.2">
      <c r="A3626">
        <v>7.0801666666666693E-2</v>
      </c>
      <c r="B3626">
        <v>0.43135062737519703</v>
      </c>
      <c r="C3626">
        <v>0.38224122208550798</v>
      </c>
      <c r="D3626">
        <v>0.59614987591942303</v>
      </c>
      <c r="E3626">
        <v>0.54735877331901195</v>
      </c>
    </row>
    <row r="3627" spans="1:5" x14ac:dyDescent="0.2">
      <c r="A3627">
        <v>7.0834999999999995E-2</v>
      </c>
      <c r="B3627">
        <v>0.43141163051349501</v>
      </c>
      <c r="C3627">
        <v>0.38230301008754197</v>
      </c>
      <c r="D3627">
        <v>0.59620335834614302</v>
      </c>
      <c r="E3627">
        <v>0.54742446447794202</v>
      </c>
    </row>
    <row r="3628" spans="1:5" x14ac:dyDescent="0.2">
      <c r="A3628">
        <v>7.0868333333333297E-2</v>
      </c>
      <c r="B3628">
        <v>0.43147260057547299</v>
      </c>
      <c r="C3628">
        <v>0.38236478339767399</v>
      </c>
      <c r="D3628">
        <v>0.59625680274098303</v>
      </c>
      <c r="E3628">
        <v>0.547490180035475</v>
      </c>
    </row>
    <row r="3629" spans="1:5" x14ac:dyDescent="0.2">
      <c r="A3629">
        <v>7.0901666666666696E-2</v>
      </c>
      <c r="B3629">
        <v>0.431533545918312</v>
      </c>
      <c r="C3629">
        <v>0.38242655484027699</v>
      </c>
      <c r="D3629">
        <v>0.59631020926502898</v>
      </c>
      <c r="E3629">
        <v>0.54755592024872901</v>
      </c>
    </row>
    <row r="3630" spans="1:5" x14ac:dyDescent="0.2">
      <c r="A3630">
        <v>7.0934999999999998E-2</v>
      </c>
      <c r="B3630">
        <v>0.431594474899194</v>
      </c>
      <c r="C3630">
        <v>0.38248833723972903</v>
      </c>
      <c r="D3630">
        <v>0.59636357807936602</v>
      </c>
      <c r="E3630">
        <v>0.54762168537482403</v>
      </c>
    </row>
    <row r="3631" spans="1:5" x14ac:dyDescent="0.2">
      <c r="A3631">
        <v>7.09683333333333E-2</v>
      </c>
      <c r="B3631">
        <v>0.431655395875299</v>
      </c>
      <c r="C3631">
        <v>0.382550143420402</v>
      </c>
      <c r="D3631">
        <v>0.59641690934507896</v>
      </c>
      <c r="E3631">
        <v>0.54768747567088105</v>
      </c>
    </row>
    <row r="3632" spans="1:5" x14ac:dyDescent="0.2">
      <c r="A3632">
        <v>7.1001666666666699E-2</v>
      </c>
      <c r="B3632">
        <v>0.43171631720363501</v>
      </c>
      <c r="C3632">
        <v>0.38261198620638998</v>
      </c>
      <c r="D3632">
        <v>0.59647020322325395</v>
      </c>
      <c r="E3632">
        <v>0.54775329139401097</v>
      </c>
    </row>
    <row r="3633" spans="1:5" x14ac:dyDescent="0.2">
      <c r="A3633">
        <v>7.1035000000000001E-2</v>
      </c>
      <c r="B3633">
        <v>0.431777245632188</v>
      </c>
      <c r="C3633">
        <v>0.38267387580516998</v>
      </c>
      <c r="D3633">
        <v>0.59652345987497502</v>
      </c>
      <c r="E3633">
        <v>0.54781913272572103</v>
      </c>
    </row>
    <row r="3634" spans="1:5" x14ac:dyDescent="0.2">
      <c r="A3634">
        <v>7.1068333333333303E-2</v>
      </c>
      <c r="B3634">
        <v>0.431838182367143</v>
      </c>
      <c r="C3634">
        <v>0.38273581341206298</v>
      </c>
      <c r="D3634">
        <v>0.59657667946132897</v>
      </c>
      <c r="E3634">
        <v>0.547884999587122</v>
      </c>
    </row>
    <row r="3635" spans="1:5" x14ac:dyDescent="0.2">
      <c r="A3635">
        <v>7.1101666666666702E-2</v>
      </c>
      <c r="B3635">
        <v>0.43189912742247999</v>
      </c>
      <c r="C3635">
        <v>0.382797798283603</v>
      </c>
      <c r="D3635">
        <v>0.59662986214339897</v>
      </c>
      <c r="E3635">
        <v>0.54795089184330503</v>
      </c>
    </row>
    <row r="3636" spans="1:5" x14ac:dyDescent="0.2">
      <c r="A3636">
        <v>7.1135000000000004E-2</v>
      </c>
      <c r="B3636">
        <v>0.43196008081217702</v>
      </c>
      <c r="C3636">
        <v>0.38285982967632298</v>
      </c>
      <c r="D3636">
        <v>0.59668300808227204</v>
      </c>
      <c r="E3636">
        <v>0.54801680935936103</v>
      </c>
    </row>
    <row r="3637" spans="1:5" x14ac:dyDescent="0.2">
      <c r="A3637">
        <v>7.1168333333333306E-2</v>
      </c>
      <c r="B3637">
        <v>0.43202104255021201</v>
      </c>
      <c r="C3637">
        <v>0.38292190684675598</v>
      </c>
      <c r="D3637">
        <v>0.59673611743903299</v>
      </c>
      <c r="E3637">
        <v>0.54808275200038103</v>
      </c>
    </row>
    <row r="3638" spans="1:5" x14ac:dyDescent="0.2">
      <c r="A3638">
        <v>7.1201666666666705E-2</v>
      </c>
      <c r="B3638">
        <v>0.43208201265056301</v>
      </c>
      <c r="C3638">
        <v>0.38298402905143503</v>
      </c>
      <c r="D3638">
        <v>0.59678919037476696</v>
      </c>
      <c r="E3638">
        <v>0.54814871963145795</v>
      </c>
    </row>
    <row r="3639" spans="1:5" x14ac:dyDescent="0.2">
      <c r="A3639">
        <v>7.1235000000000007E-2</v>
      </c>
      <c r="B3639">
        <v>0.432142991127207</v>
      </c>
      <c r="C3639">
        <v>0.38304619554689401</v>
      </c>
      <c r="D3639">
        <v>0.596842227050559</v>
      </c>
      <c r="E3639">
        <v>0.54821471211768102</v>
      </c>
    </row>
    <row r="3640" spans="1:5" x14ac:dyDescent="0.2">
      <c r="A3640">
        <v>7.1268333333333295E-2</v>
      </c>
      <c r="B3640">
        <v>0.43220397799412402</v>
      </c>
      <c r="C3640">
        <v>0.38310840558966602</v>
      </c>
      <c r="D3640">
        <v>0.59689522762749403</v>
      </c>
      <c r="E3640">
        <v>0.54828072932414296</v>
      </c>
    </row>
    <row r="3641" spans="1:5" x14ac:dyDescent="0.2">
      <c r="A3641">
        <v>7.1301666666666694E-2</v>
      </c>
      <c r="B3641">
        <v>0.43226497326529101</v>
      </c>
      <c r="C3641">
        <v>0.38317065843628401</v>
      </c>
      <c r="D3641">
        <v>0.59694819226665796</v>
      </c>
      <c r="E3641">
        <v>0.54834677111593499</v>
      </c>
    </row>
    <row r="3642" spans="1:5" x14ac:dyDescent="0.2">
      <c r="A3642">
        <v>7.1334999999999996E-2</v>
      </c>
      <c r="B3642">
        <v>0.432325976954687</v>
      </c>
      <c r="C3642">
        <v>0.383232953343282</v>
      </c>
      <c r="D3642">
        <v>0.59700112112913495</v>
      </c>
      <c r="E3642">
        <v>0.54841283735814705</v>
      </c>
    </row>
    <row r="3643" spans="1:5" x14ac:dyDescent="0.2">
      <c r="A3643">
        <v>7.1368333333333298E-2</v>
      </c>
      <c r="B3643">
        <v>0.43238698907628897</v>
      </c>
      <c r="C3643">
        <v>0.383295289567192</v>
      </c>
      <c r="D3643">
        <v>0.59705401437601202</v>
      </c>
      <c r="E3643">
        <v>0.54847892791587205</v>
      </c>
    </row>
    <row r="3644" spans="1:5" x14ac:dyDescent="0.2">
      <c r="A3644">
        <v>7.1401666666666697E-2</v>
      </c>
      <c r="B3644">
        <v>0.43244800964407598</v>
      </c>
      <c r="C3644">
        <v>0.38335766636454899</v>
      </c>
      <c r="D3644">
        <v>0.59710687216837299</v>
      </c>
      <c r="E3644">
        <v>0.54854504265420001</v>
      </c>
    </row>
    <row r="3645" spans="1:5" x14ac:dyDescent="0.2">
      <c r="A3645">
        <v>7.1434999999999998E-2</v>
      </c>
      <c r="B3645">
        <v>0.432509038672025</v>
      </c>
      <c r="C3645">
        <v>0.38342008299188501</v>
      </c>
      <c r="D3645">
        <v>0.59715969466730301</v>
      </c>
      <c r="E3645">
        <v>0.54861118143822396</v>
      </c>
    </row>
    <row r="3646" spans="1:5" x14ac:dyDescent="0.2">
      <c r="A3646">
        <v>7.14683333333333E-2</v>
      </c>
      <c r="B3646">
        <v>0.43257007617411503</v>
      </c>
      <c r="C3646">
        <v>0.38348253870573401</v>
      </c>
      <c r="D3646">
        <v>0.59721248203388799</v>
      </c>
      <c r="E3646">
        <v>0.54867734413303304</v>
      </c>
    </row>
    <row r="3647" spans="1:5" x14ac:dyDescent="0.2">
      <c r="A3647">
        <v>7.1501666666666699E-2</v>
      </c>
      <c r="B3647">
        <v>0.43263112216432398</v>
      </c>
      <c r="C3647">
        <v>0.38354503276262902</v>
      </c>
      <c r="D3647">
        <v>0.59726523442921398</v>
      </c>
      <c r="E3647">
        <v>0.54874353060371905</v>
      </c>
    </row>
    <row r="3648" spans="1:5" x14ac:dyDescent="0.2">
      <c r="A3648">
        <v>7.1535000000000001E-2</v>
      </c>
      <c r="B3648">
        <v>0.43269217665663101</v>
      </c>
      <c r="C3648">
        <v>0.38360756441910199</v>
      </c>
      <c r="D3648">
        <v>0.597317952014364</v>
      </c>
      <c r="E3648">
        <v>0.54880974071537503</v>
      </c>
    </row>
    <row r="3649" spans="1:5" x14ac:dyDescent="0.2">
      <c r="A3649">
        <v>7.1568333333333303E-2</v>
      </c>
      <c r="B3649">
        <v>0.432753239665012</v>
      </c>
      <c r="C3649">
        <v>0.383670132931689</v>
      </c>
      <c r="D3649">
        <v>0.59737063495042497</v>
      </c>
      <c r="E3649">
        <v>0.54887597433308999</v>
      </c>
    </row>
    <row r="3650" spans="1:5" x14ac:dyDescent="0.2">
      <c r="A3650">
        <v>7.1601666666666702E-2</v>
      </c>
      <c r="B3650">
        <v>0.43281431120344699</v>
      </c>
      <c r="C3650">
        <v>0.383732737556921</v>
      </c>
      <c r="D3650">
        <v>0.59742328339848105</v>
      </c>
      <c r="E3650">
        <v>0.54894223132195596</v>
      </c>
    </row>
    <row r="3651" spans="1:5" x14ac:dyDescent="0.2">
      <c r="A3651">
        <v>7.1635000000000004E-2</v>
      </c>
      <c r="B3651">
        <v>0.43287539128591301</v>
      </c>
      <c r="C3651">
        <v>0.38379537755133197</v>
      </c>
      <c r="D3651">
        <v>0.59747589751961805</v>
      </c>
      <c r="E3651">
        <v>0.54900851154706498</v>
      </c>
    </row>
    <row r="3652" spans="1:5" x14ac:dyDescent="0.2">
      <c r="A3652">
        <v>7.1668333333333306E-2</v>
      </c>
      <c r="B3652">
        <v>0.43293647992638901</v>
      </c>
      <c r="C3652">
        <v>0.38385805217145602</v>
      </c>
      <c r="D3652">
        <v>0.59752847747492199</v>
      </c>
      <c r="E3652">
        <v>0.54907481487350795</v>
      </c>
    </row>
    <row r="3653" spans="1:5" x14ac:dyDescent="0.2">
      <c r="A3653">
        <v>7.1701666666666705E-2</v>
      </c>
      <c r="B3653">
        <v>0.43299757713885201</v>
      </c>
      <c r="C3653">
        <v>0.38392076067382502</v>
      </c>
      <c r="D3653">
        <v>0.59758102342547603</v>
      </c>
      <c r="E3653">
        <v>0.54914114116637602</v>
      </c>
    </row>
    <row r="3654" spans="1:5" x14ac:dyDescent="0.2">
      <c r="A3654">
        <v>7.1734999999999993E-2</v>
      </c>
      <c r="B3654">
        <v>0.433058682937282</v>
      </c>
      <c r="C3654">
        <v>0.38398350231497302</v>
      </c>
      <c r="D3654">
        <v>0.59763353553236798</v>
      </c>
      <c r="E3654">
        <v>0.54920749029075999</v>
      </c>
    </row>
    <row r="3655" spans="1:5" x14ac:dyDescent="0.2">
      <c r="A3655">
        <v>7.1768333333333295E-2</v>
      </c>
      <c r="B3655">
        <v>0.43311979733565498</v>
      </c>
      <c r="C3655">
        <v>0.38404627635143401</v>
      </c>
      <c r="D3655">
        <v>0.59768601395668097</v>
      </c>
      <c r="E3655">
        <v>0.549273862111752</v>
      </c>
    </row>
    <row r="3656" spans="1:5" x14ac:dyDescent="0.2">
      <c r="A3656">
        <v>7.1801666666666694E-2</v>
      </c>
      <c r="B3656">
        <v>0.43318092034795003</v>
      </c>
      <c r="C3656">
        <v>0.38410908203973998</v>
      </c>
      <c r="D3656">
        <v>0.59773845885950105</v>
      </c>
      <c r="E3656">
        <v>0.54934025649444196</v>
      </c>
    </row>
    <row r="3657" spans="1:5" x14ac:dyDescent="0.2">
      <c r="A3657">
        <v>7.1834999999999996E-2</v>
      </c>
      <c r="B3657">
        <v>0.43324205198814503</v>
      </c>
      <c r="C3657">
        <v>0.38417191863642403</v>
      </c>
      <c r="D3657">
        <v>0.59779087040191403</v>
      </c>
      <c r="E3657">
        <v>0.54940667330392301</v>
      </c>
    </row>
    <row r="3658" spans="1:5" x14ac:dyDescent="0.2">
      <c r="A3658">
        <v>7.1868333333333298E-2</v>
      </c>
      <c r="B3658">
        <v>0.43330319227021902</v>
      </c>
      <c r="C3658">
        <v>0.38423478539802097</v>
      </c>
      <c r="D3658">
        <v>0.59784324874500405</v>
      </c>
      <c r="E3658">
        <v>0.54947311240528496</v>
      </c>
    </row>
    <row r="3659" spans="1:5" x14ac:dyDescent="0.2">
      <c r="A3659">
        <v>7.1901666666666697E-2</v>
      </c>
      <c r="B3659">
        <v>0.43336434120814898</v>
      </c>
      <c r="C3659">
        <v>0.38429768158106298</v>
      </c>
      <c r="D3659">
        <v>0.59789559404985604</v>
      </c>
      <c r="E3659">
        <v>0.54953957366362005</v>
      </c>
    </row>
    <row r="3660" spans="1:5" x14ac:dyDescent="0.2">
      <c r="A3660">
        <v>7.1934999999999999E-2</v>
      </c>
      <c r="B3660">
        <v>0.43342549881591302</v>
      </c>
      <c r="C3660">
        <v>0.38436060644208297</v>
      </c>
      <c r="D3660">
        <v>0.59794790647755702</v>
      </c>
      <c r="E3660">
        <v>0.54960605694401898</v>
      </c>
    </row>
    <row r="3661" spans="1:5" x14ac:dyDescent="0.2">
      <c r="A3661">
        <v>7.1968333333333301E-2</v>
      </c>
      <c r="B3661">
        <v>0.43348666510749001</v>
      </c>
      <c r="C3661">
        <v>0.38442355923761501</v>
      </c>
      <c r="D3661">
        <v>0.59800018618919104</v>
      </c>
      <c r="E3661">
        <v>0.549672562111574</v>
      </c>
    </row>
    <row r="3662" spans="1:5" x14ac:dyDescent="0.2">
      <c r="A3662">
        <v>7.20016666666667E-2</v>
      </c>
      <c r="B3662">
        <v>0.43354784009685798</v>
      </c>
      <c r="C3662">
        <v>0.38448653922419301</v>
      </c>
      <c r="D3662">
        <v>0.59805243334584302</v>
      </c>
      <c r="E3662">
        <v>0.54973908903137503</v>
      </c>
    </row>
    <row r="3663" spans="1:5" x14ac:dyDescent="0.2">
      <c r="A3663">
        <v>7.2035000000000002E-2</v>
      </c>
      <c r="B3663">
        <v>0.43360902379799499</v>
      </c>
      <c r="C3663">
        <v>0.38454954565834898</v>
      </c>
      <c r="D3663">
        <v>0.59810464810859898</v>
      </c>
      <c r="E3663">
        <v>0.54980563756851397</v>
      </c>
    </row>
    <row r="3664" spans="1:5" x14ac:dyDescent="0.2">
      <c r="A3664">
        <v>7.2068333333333304E-2</v>
      </c>
      <c r="B3664">
        <v>0.433670216224879</v>
      </c>
      <c r="C3664">
        <v>0.38461257779661701</v>
      </c>
      <c r="D3664">
        <v>0.59815683063854397</v>
      </c>
      <c r="E3664">
        <v>0.54987220758808197</v>
      </c>
    </row>
    <row r="3665" spans="1:5" x14ac:dyDescent="0.2">
      <c r="A3665">
        <v>7.2101666666666703E-2</v>
      </c>
      <c r="B3665">
        <v>0.43373141739148702</v>
      </c>
      <c r="C3665">
        <v>0.38467563489552897</v>
      </c>
      <c r="D3665">
        <v>0.59820898109676302</v>
      </c>
      <c r="E3665">
        <v>0.54993879895516995</v>
      </c>
    </row>
    <row r="3666" spans="1:5" x14ac:dyDescent="0.2">
      <c r="A3666">
        <v>7.2135000000000005E-2</v>
      </c>
      <c r="B3666">
        <v>0.43379262731179902</v>
      </c>
      <c r="C3666">
        <v>0.38473871621161998</v>
      </c>
      <c r="D3666">
        <v>0.59826109964434104</v>
      </c>
      <c r="E3666">
        <v>0.55000541153487004</v>
      </c>
    </row>
    <row r="3667" spans="1:5" x14ac:dyDescent="0.2">
      <c r="A3667">
        <v>7.2168333333333307E-2</v>
      </c>
      <c r="B3667">
        <v>0.43385384599979199</v>
      </c>
      <c r="C3667">
        <v>0.38480182100142302</v>
      </c>
      <c r="D3667">
        <v>0.59831318644236398</v>
      </c>
      <c r="E3667">
        <v>0.55007204519227304</v>
      </c>
    </row>
    <row r="3668" spans="1:5" x14ac:dyDescent="0.2">
      <c r="A3668">
        <v>7.2201666666666706E-2</v>
      </c>
      <c r="B3668">
        <v>0.43391507346944502</v>
      </c>
      <c r="C3668">
        <v>0.38486494852147002</v>
      </c>
      <c r="D3668">
        <v>0.59836524165191696</v>
      </c>
      <c r="E3668">
        <v>0.55013869979247099</v>
      </c>
    </row>
    <row r="3669" spans="1:5" x14ac:dyDescent="0.2">
      <c r="A3669">
        <v>7.2234999999999994E-2</v>
      </c>
      <c r="B3669">
        <v>0.433976309734735</v>
      </c>
      <c r="C3669">
        <v>0.38492809802829497</v>
      </c>
      <c r="D3669">
        <v>0.59841726543408502</v>
      </c>
      <c r="E3669">
        <v>0.55020537520055401</v>
      </c>
    </row>
    <row r="3670" spans="1:5" x14ac:dyDescent="0.2">
      <c r="A3670">
        <v>7.2268333333333296E-2</v>
      </c>
      <c r="B3670">
        <v>0.43403755480964101</v>
      </c>
      <c r="C3670">
        <v>0.38499126877843198</v>
      </c>
      <c r="D3670">
        <v>0.59846925794995298</v>
      </c>
      <c r="E3670">
        <v>0.55027207128161304</v>
      </c>
    </row>
    <row r="3671" spans="1:5" x14ac:dyDescent="0.2">
      <c r="A3671">
        <v>7.2301666666666695E-2</v>
      </c>
      <c r="B3671">
        <v>0.43409880870813999</v>
      </c>
      <c r="C3671">
        <v>0.38505446002841398</v>
      </c>
      <c r="D3671">
        <v>0.59852121936060598</v>
      </c>
      <c r="E3671">
        <v>0.55033878790074098</v>
      </c>
    </row>
    <row r="3672" spans="1:5" x14ac:dyDescent="0.2">
      <c r="A3672">
        <v>7.2334999999999997E-2</v>
      </c>
      <c r="B3672">
        <v>0.43416007144421198</v>
      </c>
      <c r="C3672">
        <v>0.38511767103477301</v>
      </c>
      <c r="D3672">
        <v>0.59857314982712995</v>
      </c>
      <c r="E3672">
        <v>0.55040552492302897</v>
      </c>
    </row>
    <row r="3673" spans="1:5" x14ac:dyDescent="0.2">
      <c r="A3673">
        <v>7.2368333333333298E-2</v>
      </c>
      <c r="B3673">
        <v>0.43422134303183302</v>
      </c>
      <c r="C3673">
        <v>0.38518090105404401</v>
      </c>
      <c r="D3673">
        <v>0.59862504951061102</v>
      </c>
      <c r="E3673">
        <v>0.55047228221356703</v>
      </c>
    </row>
    <row r="3674" spans="1:5" x14ac:dyDescent="0.2">
      <c r="A3674">
        <v>7.2401666666666697E-2</v>
      </c>
      <c r="B3674">
        <v>0.43428262348498298</v>
      </c>
      <c r="C3674">
        <v>0.38524414934275902</v>
      </c>
      <c r="D3674">
        <v>0.59867691857213201</v>
      </c>
      <c r="E3674">
        <v>0.55053905963744698</v>
      </c>
    </row>
    <row r="3675" spans="1:5" x14ac:dyDescent="0.2">
      <c r="A3675">
        <v>7.2434999999999999E-2</v>
      </c>
      <c r="B3675">
        <v>0.43434391281763901</v>
      </c>
      <c r="C3675">
        <v>0.38530741515745198</v>
      </c>
      <c r="D3675">
        <v>0.59872875717277996</v>
      </c>
      <c r="E3675">
        <v>0.55060585705975995</v>
      </c>
    </row>
    <row r="3676" spans="1:5" x14ac:dyDescent="0.2">
      <c r="A3676">
        <v>7.2468333333333301E-2</v>
      </c>
      <c r="B3676">
        <v>0.43440521104377899</v>
      </c>
      <c r="C3676">
        <v>0.38537069775465599</v>
      </c>
      <c r="D3676">
        <v>0.598780565473639</v>
      </c>
      <c r="E3676">
        <v>0.55067267434559797</v>
      </c>
    </row>
    <row r="3677" spans="1:5" x14ac:dyDescent="0.2">
      <c r="A3677">
        <v>7.25016666666667E-2</v>
      </c>
      <c r="B3677">
        <v>0.43446651817738202</v>
      </c>
      <c r="C3677">
        <v>0.38543399639090398</v>
      </c>
      <c r="D3677">
        <v>0.59883234363579496</v>
      </c>
      <c r="E3677">
        <v>0.55073951136005095</v>
      </c>
    </row>
    <row r="3678" spans="1:5" x14ac:dyDescent="0.2">
      <c r="A3678">
        <v>7.2535000000000002E-2</v>
      </c>
      <c r="B3678">
        <v>0.43452783423242503</v>
      </c>
      <c r="C3678">
        <v>0.38549731032272999</v>
      </c>
      <c r="D3678">
        <v>0.59888409182033397</v>
      </c>
      <c r="E3678">
        <v>0.55080636796821203</v>
      </c>
    </row>
    <row r="3679" spans="1:5" x14ac:dyDescent="0.2">
      <c r="A3679">
        <v>7.2568333333333304E-2</v>
      </c>
      <c r="B3679">
        <v>0.43458915922288699</v>
      </c>
      <c r="C3679">
        <v>0.38556063880666702</v>
      </c>
      <c r="D3679">
        <v>0.59893581018833997</v>
      </c>
      <c r="E3679">
        <v>0.55087324403517102</v>
      </c>
    </row>
    <row r="3680" spans="1:5" x14ac:dyDescent="0.2">
      <c r="A3680">
        <v>7.2601666666666703E-2</v>
      </c>
      <c r="B3680">
        <v>0.43465049316274601</v>
      </c>
      <c r="C3680">
        <v>0.385623981099249</v>
      </c>
      <c r="D3680">
        <v>0.59898749890089797</v>
      </c>
      <c r="E3680">
        <v>0.55094013942602005</v>
      </c>
    </row>
    <row r="3681" spans="1:5" x14ac:dyDescent="0.2">
      <c r="A3681">
        <v>7.2635000000000005E-2</v>
      </c>
      <c r="B3681">
        <v>0.43471183606598002</v>
      </c>
      <c r="C3681">
        <v>0.38568733645700698</v>
      </c>
      <c r="D3681">
        <v>0.59903915811909403</v>
      </c>
      <c r="E3681">
        <v>0.55100705400584904</v>
      </c>
    </row>
    <row r="3682" spans="1:5" x14ac:dyDescent="0.2">
      <c r="A3682">
        <v>7.2668333333333293E-2</v>
      </c>
      <c r="B3682">
        <v>0.434773187946567</v>
      </c>
      <c r="C3682">
        <v>0.385750704136477</v>
      </c>
      <c r="D3682">
        <v>0.59909078800401305</v>
      </c>
      <c r="E3682">
        <v>0.55107398763975102</v>
      </c>
    </row>
    <row r="3683" spans="1:5" x14ac:dyDescent="0.2">
      <c r="A3683">
        <v>7.2701666666666706E-2</v>
      </c>
      <c r="B3683">
        <v>0.43483454881848499</v>
      </c>
      <c r="C3683">
        <v>0.38581408339418999</v>
      </c>
      <c r="D3683">
        <v>0.59914238871673997</v>
      </c>
      <c r="E3683">
        <v>0.55114094019281701</v>
      </c>
    </row>
    <row r="3684" spans="1:5" x14ac:dyDescent="0.2">
      <c r="A3684">
        <v>7.2734999999999994E-2</v>
      </c>
      <c r="B3684">
        <v>0.43489591869571198</v>
      </c>
      <c r="C3684">
        <v>0.385877473486681</v>
      </c>
      <c r="D3684">
        <v>0.59919396041836104</v>
      </c>
      <c r="E3684">
        <v>0.55120791153013704</v>
      </c>
    </row>
    <row r="3685" spans="1:5" x14ac:dyDescent="0.2">
      <c r="A3685">
        <v>7.2768333333333296E-2</v>
      </c>
      <c r="B3685">
        <v>0.43495729759222701</v>
      </c>
      <c r="C3685">
        <v>0.38594087367048202</v>
      </c>
      <c r="D3685">
        <v>0.59924550326996096</v>
      </c>
      <c r="E3685">
        <v>0.55127490151680303</v>
      </c>
    </row>
    <row r="3686" spans="1:5" x14ac:dyDescent="0.2">
      <c r="A3686">
        <v>7.2801666666666695E-2</v>
      </c>
      <c r="B3686">
        <v>0.43501868552200701</v>
      </c>
      <c r="C3686">
        <v>0.38600428320212699</v>
      </c>
      <c r="D3686">
        <v>0.59929701743262398</v>
      </c>
      <c r="E3686">
        <v>0.551341910017906</v>
      </c>
    </row>
    <row r="3687" spans="1:5" x14ac:dyDescent="0.2">
      <c r="A3687">
        <v>7.2834999999999997E-2</v>
      </c>
      <c r="B3687">
        <v>0.43508008249903102</v>
      </c>
      <c r="C3687">
        <v>0.38606770133814999</v>
      </c>
      <c r="D3687">
        <v>0.59934850306743703</v>
      </c>
      <c r="E3687">
        <v>0.55140893689853898</v>
      </c>
    </row>
    <row r="3688" spans="1:5" x14ac:dyDescent="0.2">
      <c r="A3688">
        <v>7.2868333333333299E-2</v>
      </c>
      <c r="B3688">
        <v>0.43514148853727702</v>
      </c>
      <c r="C3688">
        <v>0.38613112733508198</v>
      </c>
      <c r="D3688">
        <v>0.59939996033548404</v>
      </c>
      <c r="E3688">
        <v>0.551475982023791</v>
      </c>
    </row>
    <row r="3689" spans="1:5" x14ac:dyDescent="0.2">
      <c r="A3689">
        <v>7.2901666666666698E-2</v>
      </c>
      <c r="B3689">
        <v>0.43520290365072201</v>
      </c>
      <c r="C3689">
        <v>0.38619456044945899</v>
      </c>
      <c r="D3689">
        <v>0.59945138939785103</v>
      </c>
      <c r="E3689">
        <v>0.55154304525875397</v>
      </c>
    </row>
    <row r="3690" spans="1:5" x14ac:dyDescent="0.2">
      <c r="A3690">
        <v>7.2935E-2</v>
      </c>
      <c r="B3690">
        <v>0.43526432785334601</v>
      </c>
      <c r="C3690">
        <v>0.38625799993781301</v>
      </c>
      <c r="D3690">
        <v>0.59950279041562304</v>
      </c>
      <c r="E3690">
        <v>0.55161012646852003</v>
      </c>
    </row>
    <row r="3691" spans="1:5" x14ac:dyDescent="0.2">
      <c r="A3691">
        <v>7.2968333333333302E-2</v>
      </c>
      <c r="B3691">
        <v>0.43532576115912502</v>
      </c>
      <c r="C3691">
        <v>0.38632144505667598</v>
      </c>
      <c r="D3691">
        <v>0.599554163549884</v>
      </c>
      <c r="E3691">
        <v>0.55167722551817899</v>
      </c>
    </row>
    <row r="3692" spans="1:5" x14ac:dyDescent="0.2">
      <c r="A3692">
        <v>7.3001666666666701E-2</v>
      </c>
      <c r="B3692">
        <v>0.43538720358203897</v>
      </c>
      <c r="C3692">
        <v>0.386384895062584</v>
      </c>
      <c r="D3692">
        <v>0.59960550896172105</v>
      </c>
      <c r="E3692">
        <v>0.55174434227282398</v>
      </c>
    </row>
    <row r="3693" spans="1:5" x14ac:dyDescent="0.2">
      <c r="A3693">
        <v>7.3035000000000003E-2</v>
      </c>
      <c r="B3693">
        <v>0.43544865513606601</v>
      </c>
      <c r="C3693">
        <v>0.386448349212068</v>
      </c>
      <c r="D3693">
        <v>0.59965682681221899</v>
      </c>
      <c r="E3693">
        <v>0.55181147659754404</v>
      </c>
    </row>
    <row r="3694" spans="1:5" x14ac:dyDescent="0.2">
      <c r="A3694">
        <v>7.3068333333333305E-2</v>
      </c>
      <c r="B3694">
        <v>0.43551011583518201</v>
      </c>
      <c r="C3694">
        <v>0.38651180676166202</v>
      </c>
      <c r="D3694">
        <v>0.59970811726246198</v>
      </c>
      <c r="E3694">
        <v>0.55187862835743295</v>
      </c>
    </row>
    <row r="3695" spans="1:5" x14ac:dyDescent="0.2">
      <c r="A3695">
        <v>7.3101666666666704E-2</v>
      </c>
      <c r="B3695">
        <v>0.43557158569336801</v>
      </c>
      <c r="C3695">
        <v>0.38657526696790001</v>
      </c>
      <c r="D3695">
        <v>0.59975938047353705</v>
      </c>
      <c r="E3695">
        <v>0.55194579741757999</v>
      </c>
    </row>
    <row r="3696" spans="1:5" x14ac:dyDescent="0.2">
      <c r="A3696">
        <v>7.3135000000000006E-2</v>
      </c>
      <c r="B3696">
        <v>0.43563306472460001</v>
      </c>
      <c r="C3696">
        <v>0.386638729087314</v>
      </c>
      <c r="D3696">
        <v>0.59981061660652801</v>
      </c>
      <c r="E3696">
        <v>0.55201298364307805</v>
      </c>
    </row>
    <row r="3697" spans="1:5" x14ac:dyDescent="0.2">
      <c r="A3697">
        <v>7.3168333333333294E-2</v>
      </c>
      <c r="B3697">
        <v>0.43569455294285703</v>
      </c>
      <c r="C3697">
        <v>0.38670219237643899</v>
      </c>
      <c r="D3697">
        <v>0.59986182582252001</v>
      </c>
      <c r="E3697">
        <v>0.55208018689901694</v>
      </c>
    </row>
    <row r="3698" spans="1:5" x14ac:dyDescent="0.2">
      <c r="A3698">
        <v>7.3201666666666707E-2</v>
      </c>
      <c r="B3698">
        <v>0.43575605036211601</v>
      </c>
      <c r="C3698">
        <v>0.38676565609180602</v>
      </c>
      <c r="D3698">
        <v>0.59991300828259897</v>
      </c>
      <c r="E3698">
        <v>0.55214740705048804</v>
      </c>
    </row>
    <row r="3699" spans="1:5" x14ac:dyDescent="0.2">
      <c r="A3699">
        <v>7.3234999999999995E-2</v>
      </c>
      <c r="B3699">
        <v>0.43581755699635699</v>
      </c>
      <c r="C3699">
        <v>0.38682911948995002</v>
      </c>
      <c r="D3699">
        <v>0.59996416414784903</v>
      </c>
      <c r="E3699">
        <v>0.55221464396258402</v>
      </c>
    </row>
    <row r="3700" spans="1:5" x14ac:dyDescent="0.2">
      <c r="A3700">
        <v>7.3268333333333296E-2</v>
      </c>
      <c r="B3700">
        <v>0.43587907285955702</v>
      </c>
      <c r="C3700">
        <v>0.38689258182740399</v>
      </c>
      <c r="D3700">
        <v>0.60001529357935701</v>
      </c>
      <c r="E3700">
        <v>0.55228189750039502</v>
      </c>
    </row>
    <row r="3701" spans="1:5" x14ac:dyDescent="0.2">
      <c r="A3701">
        <v>7.3301666666666696E-2</v>
      </c>
      <c r="B3701">
        <v>0.43594059796569501</v>
      </c>
      <c r="C3701">
        <v>0.38695604236070102</v>
      </c>
      <c r="D3701">
        <v>0.60006639673820805</v>
      </c>
      <c r="E3701">
        <v>0.55234916752901198</v>
      </c>
    </row>
    <row r="3702" spans="1:5" x14ac:dyDescent="0.2">
      <c r="A3702">
        <v>7.3334999999999997E-2</v>
      </c>
      <c r="B3702">
        <v>0.43600213232874702</v>
      </c>
      <c r="C3702">
        <v>0.387019500346375</v>
      </c>
      <c r="D3702">
        <v>0.60011747378548597</v>
      </c>
      <c r="E3702">
        <v>0.55241645391352701</v>
      </c>
    </row>
    <row r="3703" spans="1:5" x14ac:dyDescent="0.2">
      <c r="A3703">
        <v>7.3368333333333299E-2</v>
      </c>
      <c r="B3703">
        <v>0.43606367596269302</v>
      </c>
      <c r="C3703">
        <v>0.38708295504095802</v>
      </c>
      <c r="D3703">
        <v>0.60016852488227701</v>
      </c>
      <c r="E3703">
        <v>0.55248375651903203</v>
      </c>
    </row>
    <row r="3704" spans="1:5" x14ac:dyDescent="0.2">
      <c r="A3704">
        <v>7.3401666666666698E-2</v>
      </c>
      <c r="B3704">
        <v>0.43612522888151101</v>
      </c>
      <c r="C3704">
        <v>0.38714640570098402</v>
      </c>
      <c r="D3704">
        <v>0.600219550189666</v>
      </c>
      <c r="E3704">
        <v>0.55255107521061697</v>
      </c>
    </row>
    <row r="3705" spans="1:5" x14ac:dyDescent="0.2">
      <c r="A3705">
        <v>7.3435E-2</v>
      </c>
      <c r="B3705">
        <v>0.43618679109917902</v>
      </c>
      <c r="C3705">
        <v>0.38720985158298599</v>
      </c>
      <c r="D3705">
        <v>0.60027054986873796</v>
      </c>
      <c r="E3705">
        <v>0.55261840985337296</v>
      </c>
    </row>
    <row r="3706" spans="1:5" x14ac:dyDescent="0.2">
      <c r="A3706">
        <v>7.3468333333333302E-2</v>
      </c>
      <c r="B3706">
        <v>0.43624836262967398</v>
      </c>
      <c r="C3706">
        <v>0.38727329194349702</v>
      </c>
      <c r="D3706">
        <v>0.60032152408057904</v>
      </c>
      <c r="E3706">
        <v>0.55268576031239303</v>
      </c>
    </row>
    <row r="3707" spans="1:5" x14ac:dyDescent="0.2">
      <c r="A3707">
        <v>7.3501666666666701E-2</v>
      </c>
      <c r="B3707">
        <v>0.43630994348697599</v>
      </c>
      <c r="C3707">
        <v>0.387336726039052</v>
      </c>
      <c r="D3707">
        <v>0.60037247298627305</v>
      </c>
      <c r="E3707">
        <v>0.55275312645276597</v>
      </c>
    </row>
    <row r="3708" spans="1:5" x14ac:dyDescent="0.2">
      <c r="A3708">
        <v>7.3535000000000003E-2</v>
      </c>
      <c r="B3708">
        <v>0.43637153368506099</v>
      </c>
      <c r="C3708">
        <v>0.38740015312618198</v>
      </c>
      <c r="D3708">
        <v>0.60042339674690703</v>
      </c>
      <c r="E3708">
        <v>0.55282050813958605</v>
      </c>
    </row>
    <row r="3709" spans="1:5" x14ac:dyDescent="0.2">
      <c r="A3709">
        <v>7.3568333333333305E-2</v>
      </c>
      <c r="B3709">
        <v>0.436433133237909</v>
      </c>
      <c r="C3709">
        <v>0.38746357246142199</v>
      </c>
      <c r="D3709">
        <v>0.60047429552356502</v>
      </c>
      <c r="E3709">
        <v>0.55288790523794196</v>
      </c>
    </row>
    <row r="3710" spans="1:5" x14ac:dyDescent="0.2">
      <c r="A3710">
        <v>7.3601666666666704E-2</v>
      </c>
      <c r="B3710">
        <v>0.43649474215949702</v>
      </c>
      <c r="C3710">
        <v>0.38752698330130397</v>
      </c>
      <c r="D3710">
        <v>0.60052516947733203</v>
      </c>
      <c r="E3710">
        <v>0.55295531761292605</v>
      </c>
    </row>
    <row r="3711" spans="1:5" x14ac:dyDescent="0.2">
      <c r="A3711">
        <v>7.3635000000000006E-2</v>
      </c>
      <c r="B3711">
        <v>0.43655636046380403</v>
      </c>
      <c r="C3711">
        <v>0.38759038490236303</v>
      </c>
      <c r="D3711">
        <v>0.60057601876929401</v>
      </c>
      <c r="E3711">
        <v>0.55302274512962901</v>
      </c>
    </row>
    <row r="3712" spans="1:5" x14ac:dyDescent="0.2">
      <c r="A3712">
        <v>7.3668333333333294E-2</v>
      </c>
      <c r="B3712">
        <v>0.43661798816480701</v>
      </c>
      <c r="C3712">
        <v>0.38765377652112998</v>
      </c>
      <c r="D3712">
        <v>0.60062684356053597</v>
      </c>
      <c r="E3712">
        <v>0.55309018765314399</v>
      </c>
    </row>
    <row r="3713" spans="1:5" x14ac:dyDescent="0.2">
      <c r="A3713">
        <v>7.3701666666666693E-2</v>
      </c>
      <c r="B3713">
        <v>0.43667962527648502</v>
      </c>
      <c r="C3713">
        <v>0.38771715741413998</v>
      </c>
      <c r="D3713">
        <v>0.60067764401214396</v>
      </c>
      <c r="E3713">
        <v>0.55315764504856002</v>
      </c>
    </row>
    <row r="3714" spans="1:5" x14ac:dyDescent="0.2">
      <c r="A3714">
        <v>7.3734999999999995E-2</v>
      </c>
      <c r="B3714">
        <v>0.43674127181281502</v>
      </c>
      <c r="C3714">
        <v>0.38778052683792502</v>
      </c>
      <c r="D3714">
        <v>0.60072842028520101</v>
      </c>
      <c r="E3714">
        <v>0.55322511718096901</v>
      </c>
    </row>
    <row r="3715" spans="1:5" x14ac:dyDescent="0.2">
      <c r="A3715">
        <v>7.3768333333333297E-2</v>
      </c>
      <c r="B3715">
        <v>0.43680292778777702</v>
      </c>
      <c r="C3715">
        <v>0.38784388404901998</v>
      </c>
      <c r="D3715">
        <v>0.60077917254079405</v>
      </c>
      <c r="E3715">
        <v>0.55329260391546298</v>
      </c>
    </row>
    <row r="3716" spans="1:5" x14ac:dyDescent="0.2">
      <c r="A3716">
        <v>7.3801666666666696E-2</v>
      </c>
      <c r="B3716">
        <v>0.43686459321534798</v>
      </c>
      <c r="C3716">
        <v>0.38790722830395702</v>
      </c>
      <c r="D3716">
        <v>0.60082990094000799</v>
      </c>
      <c r="E3716">
        <v>0.55336010511713296</v>
      </c>
    </row>
    <row r="3717" spans="1:5" x14ac:dyDescent="0.2">
      <c r="A3717">
        <v>7.3834999999999998E-2</v>
      </c>
      <c r="B3717">
        <v>0.43692626810950502</v>
      </c>
      <c r="C3717">
        <v>0.38797055885926901</v>
      </c>
      <c r="D3717">
        <v>0.60088060564392798</v>
      </c>
      <c r="E3717">
        <v>0.55342762065106899</v>
      </c>
    </row>
    <row r="3718" spans="1:5" x14ac:dyDescent="0.2">
      <c r="A3718">
        <v>7.38683333333333E-2</v>
      </c>
      <c r="B3718">
        <v>0.436987952484228</v>
      </c>
      <c r="C3718">
        <v>0.38803387497149</v>
      </c>
      <c r="D3718">
        <v>0.60093128681364005</v>
      </c>
      <c r="E3718">
        <v>0.55349515038236496</v>
      </c>
    </row>
    <row r="3719" spans="1:5" x14ac:dyDescent="0.2">
      <c r="A3719">
        <v>7.3901666666666699E-2</v>
      </c>
      <c r="B3719">
        <v>0.43704964635349502</v>
      </c>
      <c r="C3719">
        <v>0.38809717589715398</v>
      </c>
      <c r="D3719">
        <v>0.60098194461022802</v>
      </c>
      <c r="E3719">
        <v>0.55356269417610904</v>
      </c>
    </row>
    <row r="3720" spans="1:5" x14ac:dyDescent="0.2">
      <c r="A3720">
        <v>7.3935000000000001E-2</v>
      </c>
      <c r="B3720">
        <v>0.43711134973128302</v>
      </c>
      <c r="C3720">
        <v>0.38816046089279299</v>
      </c>
      <c r="D3720">
        <v>0.60103257919477804</v>
      </c>
      <c r="E3720">
        <v>0.55363025189739501</v>
      </c>
    </row>
    <row r="3721" spans="1:5" x14ac:dyDescent="0.2">
      <c r="A3721">
        <v>7.3968333333333303E-2</v>
      </c>
      <c r="B3721">
        <v>0.43717306263157002</v>
      </c>
      <c r="C3721">
        <v>0.38822372921494003</v>
      </c>
      <c r="D3721">
        <v>0.60108319072837402</v>
      </c>
      <c r="E3721">
        <v>0.55369782341131302</v>
      </c>
    </row>
    <row r="3722" spans="1:5" x14ac:dyDescent="0.2">
      <c r="A3722">
        <v>7.4001666666666702E-2</v>
      </c>
      <c r="B3722">
        <v>0.43723478506833602</v>
      </c>
      <c r="C3722">
        <v>0.388286980120157</v>
      </c>
      <c r="D3722">
        <v>0.60113377937210299</v>
      </c>
      <c r="E3722">
        <v>0.55376540858295398</v>
      </c>
    </row>
    <row r="3723" spans="1:5" x14ac:dyDescent="0.2">
      <c r="A3723">
        <v>7.4035000000000004E-2</v>
      </c>
      <c r="B3723">
        <v>0.437296517055557</v>
      </c>
      <c r="C3723">
        <v>0.38835021311603002</v>
      </c>
      <c r="D3723">
        <v>0.60118434528705</v>
      </c>
      <c r="E3723">
        <v>0.55383300727741003</v>
      </c>
    </row>
    <row r="3724" spans="1:5" x14ac:dyDescent="0.2">
      <c r="A3724">
        <v>7.4068333333333305E-2</v>
      </c>
      <c r="B3724">
        <v>0.437358258607212</v>
      </c>
      <c r="C3724">
        <v>0.38841342857473399</v>
      </c>
      <c r="D3724">
        <v>0.60123488863429897</v>
      </c>
      <c r="E3724">
        <v>0.55390061935977197</v>
      </c>
    </row>
    <row r="3725" spans="1:5" x14ac:dyDescent="0.2">
      <c r="A3725">
        <v>7.4101666666666705E-2</v>
      </c>
      <c r="B3725">
        <v>0.43742000973727901</v>
      </c>
      <c r="C3725">
        <v>0.38847662705444402</v>
      </c>
      <c r="D3725">
        <v>0.60128540957493604</v>
      </c>
      <c r="E3725">
        <v>0.55396824469513095</v>
      </c>
    </row>
    <row r="3726" spans="1:5" x14ac:dyDescent="0.2">
      <c r="A3726">
        <v>7.4135000000000006E-2</v>
      </c>
      <c r="B3726">
        <v>0.43748177045973602</v>
      </c>
      <c r="C3726">
        <v>0.38853980911333402</v>
      </c>
      <c r="D3726">
        <v>0.60133590827004602</v>
      </c>
      <c r="E3726">
        <v>0.55403588314857899</v>
      </c>
    </row>
    <row r="3727" spans="1:5" x14ac:dyDescent="0.2">
      <c r="A3727">
        <v>7.4168333333333294E-2</v>
      </c>
      <c r="B3727">
        <v>0.437543540788562</v>
      </c>
      <c r="C3727">
        <v>0.38860297530957699</v>
      </c>
      <c r="D3727">
        <v>0.60138638488071505</v>
      </c>
      <c r="E3727">
        <v>0.554103534585207</v>
      </c>
    </row>
    <row r="3728" spans="1:5" x14ac:dyDescent="0.2">
      <c r="A3728">
        <v>7.4201666666666694E-2</v>
      </c>
      <c r="B3728">
        <v>0.437605320737734</v>
      </c>
      <c r="C3728">
        <v>0.38866612620134899</v>
      </c>
      <c r="D3728">
        <v>0.60143683956802696</v>
      </c>
      <c r="E3728">
        <v>0.55417119887010602</v>
      </c>
    </row>
    <row r="3729" spans="1:5" x14ac:dyDescent="0.2">
      <c r="A3729">
        <v>7.4234999999999995E-2</v>
      </c>
      <c r="B3729">
        <v>0.43766711032123101</v>
      </c>
      <c r="C3729">
        <v>0.38872926234682298</v>
      </c>
      <c r="D3729">
        <v>0.60148727249306799</v>
      </c>
      <c r="E3729">
        <v>0.55423887586836795</v>
      </c>
    </row>
    <row r="3730" spans="1:5" x14ac:dyDescent="0.2">
      <c r="A3730">
        <v>7.4268333333333297E-2</v>
      </c>
      <c r="B3730">
        <v>0.43772890955303101</v>
      </c>
      <c r="C3730">
        <v>0.38879238430417401</v>
      </c>
      <c r="D3730">
        <v>0.60153768381692396</v>
      </c>
      <c r="E3730">
        <v>0.55430656544508305</v>
      </c>
    </row>
    <row r="3731" spans="1:5" x14ac:dyDescent="0.2">
      <c r="A3731">
        <v>7.4301666666666696E-2</v>
      </c>
      <c r="B3731">
        <v>0.43779071844711098</v>
      </c>
      <c r="C3731">
        <v>0.38885549263157498</v>
      </c>
      <c r="D3731">
        <v>0.60158807370067802</v>
      </c>
      <c r="E3731">
        <v>0.55437426746534302</v>
      </c>
    </row>
    <row r="3732" spans="1:5" x14ac:dyDescent="0.2">
      <c r="A3732">
        <v>7.4334999999999998E-2</v>
      </c>
      <c r="B3732">
        <v>0.43785253701745003</v>
      </c>
      <c r="C3732">
        <v>0.38891858788720102</v>
      </c>
      <c r="D3732">
        <v>0.60163844230541697</v>
      </c>
      <c r="E3732">
        <v>0.55444198179423898</v>
      </c>
    </row>
    <row r="3733" spans="1:5" x14ac:dyDescent="0.2">
      <c r="A3733">
        <v>7.43683333333333E-2</v>
      </c>
      <c r="B3733">
        <v>0.43791436527802602</v>
      </c>
      <c r="C3733">
        <v>0.38898167062922601</v>
      </c>
      <c r="D3733">
        <v>0.60168878979222595</v>
      </c>
      <c r="E3733">
        <v>0.55450970829686297</v>
      </c>
    </row>
    <row r="3734" spans="1:5" x14ac:dyDescent="0.2">
      <c r="A3734">
        <v>7.4401666666666699E-2</v>
      </c>
      <c r="B3734">
        <v>0.437976203242817</v>
      </c>
      <c r="C3734">
        <v>0.38904474141582301</v>
      </c>
      <c r="D3734">
        <v>0.60173911632219002</v>
      </c>
      <c r="E3734">
        <v>0.55457744683830601</v>
      </c>
    </row>
    <row r="3735" spans="1:5" x14ac:dyDescent="0.2">
      <c r="A3735">
        <v>7.4435000000000001E-2</v>
      </c>
      <c r="B3735">
        <v>0.438038050925802</v>
      </c>
      <c r="C3735">
        <v>0.38910780080516899</v>
      </c>
      <c r="D3735">
        <v>0.60178942205639396</v>
      </c>
      <c r="E3735">
        <v>0.55464519728365902</v>
      </c>
    </row>
    <row r="3736" spans="1:5" x14ac:dyDescent="0.2">
      <c r="A3736">
        <v>7.4468333333333303E-2</v>
      </c>
      <c r="B3736">
        <v>0.43809990834095802</v>
      </c>
      <c r="C3736">
        <v>0.389170849355435</v>
      </c>
      <c r="D3736">
        <v>0.60183970715592305</v>
      </c>
      <c r="E3736">
        <v>0.55471295949801303</v>
      </c>
    </row>
    <row r="3737" spans="1:5" x14ac:dyDescent="0.2">
      <c r="A3737">
        <v>7.4501666666666702E-2</v>
      </c>
      <c r="B3737">
        <v>0.43816177550226298</v>
      </c>
      <c r="C3737">
        <v>0.38923388762479699</v>
      </c>
      <c r="D3737">
        <v>0.60188997178186299</v>
      </c>
      <c r="E3737">
        <v>0.55478073334646105</v>
      </c>
    </row>
    <row r="3738" spans="1:5" x14ac:dyDescent="0.2">
      <c r="A3738">
        <v>7.4535000000000004E-2</v>
      </c>
      <c r="B3738">
        <v>0.43822365242369599</v>
      </c>
      <c r="C3738">
        <v>0.38929691617142897</v>
      </c>
      <c r="D3738">
        <v>0.60194021609529902</v>
      </c>
      <c r="E3738">
        <v>0.55484851869409202</v>
      </c>
    </row>
    <row r="3739" spans="1:5" x14ac:dyDescent="0.2">
      <c r="A3739">
        <v>7.4568333333333306E-2</v>
      </c>
      <c r="B3739">
        <v>0.43828553911923501</v>
      </c>
      <c r="C3739">
        <v>0.38935993555350501</v>
      </c>
      <c r="D3739">
        <v>0.60199044025731696</v>
      </c>
      <c r="E3739">
        <v>0.55491631540599795</v>
      </c>
    </row>
    <row r="3740" spans="1:5" x14ac:dyDescent="0.2">
      <c r="A3740">
        <v>7.4601666666666705E-2</v>
      </c>
      <c r="B3740">
        <v>0.43834743560285799</v>
      </c>
      <c r="C3740">
        <v>0.38942294632919899</v>
      </c>
      <c r="D3740">
        <v>0.60204064442899996</v>
      </c>
      <c r="E3740">
        <v>0.55498412334727099</v>
      </c>
    </row>
    <row r="3741" spans="1:5" x14ac:dyDescent="0.2">
      <c r="A3741">
        <v>7.4635000000000007E-2</v>
      </c>
      <c r="B3741">
        <v>0.43840934188854203</v>
      </c>
      <c r="C3741">
        <v>0.38948594905668499</v>
      </c>
      <c r="D3741">
        <v>0.60209082877143505</v>
      </c>
      <c r="E3741">
        <v>0.55505194238300104</v>
      </c>
    </row>
    <row r="3742" spans="1:5" x14ac:dyDescent="0.2">
      <c r="A3742">
        <v>7.4668333333333295E-2</v>
      </c>
      <c r="B3742">
        <v>0.43847125799026698</v>
      </c>
      <c r="C3742">
        <v>0.389548944294137</v>
      </c>
      <c r="D3742">
        <v>0.60214099344570804</v>
      </c>
      <c r="E3742">
        <v>0.55511977237828103</v>
      </c>
    </row>
    <row r="3743" spans="1:5" x14ac:dyDescent="0.2">
      <c r="A3743">
        <v>7.4701666666666694E-2</v>
      </c>
      <c r="B3743">
        <v>0.43853318392201002</v>
      </c>
      <c r="C3743">
        <v>0.38961193259972998</v>
      </c>
      <c r="D3743">
        <v>0.60219113861290197</v>
      </c>
      <c r="E3743">
        <v>0.55518761319820098</v>
      </c>
    </row>
    <row r="3744" spans="1:5" x14ac:dyDescent="0.2">
      <c r="A3744">
        <v>7.4734999999999996E-2</v>
      </c>
      <c r="B3744">
        <v>0.438595119697749</v>
      </c>
      <c r="C3744">
        <v>0.38967491453163799</v>
      </c>
      <c r="D3744">
        <v>0.60224126443410297</v>
      </c>
      <c r="E3744">
        <v>0.55525546470785303</v>
      </c>
    </row>
    <row r="3745" spans="1:5" x14ac:dyDescent="0.2">
      <c r="A3745">
        <v>7.4768333333333298E-2</v>
      </c>
      <c r="B3745">
        <v>0.43865706533146298</v>
      </c>
      <c r="C3745">
        <v>0.38973789064803499</v>
      </c>
      <c r="D3745">
        <v>0.60229137107039699</v>
      </c>
      <c r="E3745">
        <v>0.55532332677232799</v>
      </c>
    </row>
    <row r="3746" spans="1:5" x14ac:dyDescent="0.2">
      <c r="A3746">
        <v>7.4801666666666697E-2</v>
      </c>
      <c r="B3746">
        <v>0.43871902083712899</v>
      </c>
      <c r="C3746">
        <v>0.38980086150709398</v>
      </c>
      <c r="D3746">
        <v>0.60234145868286904</v>
      </c>
      <c r="E3746">
        <v>0.55539119925671698</v>
      </c>
    </row>
    <row r="3747" spans="1:5" x14ac:dyDescent="0.2">
      <c r="A3747">
        <v>7.4834999999999999E-2</v>
      </c>
      <c r="B3747">
        <v>0.43878098622872602</v>
      </c>
      <c r="C3747">
        <v>0.38986382766699101</v>
      </c>
      <c r="D3747">
        <v>0.60239152743260405</v>
      </c>
      <c r="E3747">
        <v>0.55545908202611105</v>
      </c>
    </row>
    <row r="3748" spans="1:5" x14ac:dyDescent="0.2">
      <c r="A3748">
        <v>7.4868333333333301E-2</v>
      </c>
      <c r="B3748">
        <v>0.438842961520231</v>
      </c>
      <c r="C3748">
        <v>0.3899267896859</v>
      </c>
      <c r="D3748">
        <v>0.60244157748068605</v>
      </c>
      <c r="E3748">
        <v>0.55552697494560299</v>
      </c>
    </row>
    <row r="3749" spans="1:5" x14ac:dyDescent="0.2">
      <c r="A3749">
        <v>7.49016666666667E-2</v>
      </c>
      <c r="B3749">
        <v>0.43890494672562402</v>
      </c>
      <c r="C3749">
        <v>0.389989748121993</v>
      </c>
      <c r="D3749">
        <v>0.60249160898820298</v>
      </c>
      <c r="E3749">
        <v>0.55559487788028195</v>
      </c>
    </row>
    <row r="3750" spans="1:5" x14ac:dyDescent="0.2">
      <c r="A3750">
        <v>7.4935000000000002E-2</v>
      </c>
      <c r="B3750">
        <v>0.43896694185888102</v>
      </c>
      <c r="C3750">
        <v>0.39005270353344701</v>
      </c>
      <c r="D3750">
        <v>0.60254162211623796</v>
      </c>
      <c r="E3750">
        <v>0.55566279069524005</v>
      </c>
    </row>
    <row r="3751" spans="1:5" x14ac:dyDescent="0.2">
      <c r="A3751">
        <v>7.4968333333333304E-2</v>
      </c>
      <c r="B3751">
        <v>0.43902894693398198</v>
      </c>
      <c r="C3751">
        <v>0.39011565647843399</v>
      </c>
      <c r="D3751">
        <v>0.60259161702587705</v>
      </c>
      <c r="E3751">
        <v>0.55573071325557</v>
      </c>
    </row>
    <row r="3752" spans="1:5" x14ac:dyDescent="0.2">
      <c r="A3752">
        <v>7.5001666666666703E-2</v>
      </c>
      <c r="B3752">
        <v>0.43909096196490399</v>
      </c>
      <c r="C3752">
        <v>0.39017860751512101</v>
      </c>
      <c r="D3752">
        <v>0.60264159387820504</v>
      </c>
      <c r="E3752">
        <v>0.55579864542636104</v>
      </c>
    </row>
    <row r="3753" spans="1:5" x14ac:dyDescent="0.2">
      <c r="A3753">
        <v>7.5035000000000004E-2</v>
      </c>
      <c r="B3753">
        <v>0.43915298696562499</v>
      </c>
      <c r="C3753">
        <v>0.39024155711779501</v>
      </c>
      <c r="D3753">
        <v>0.60269155283430798</v>
      </c>
      <c r="E3753">
        <v>0.55586658707270498</v>
      </c>
    </row>
    <row r="3754" spans="1:5" x14ac:dyDescent="0.2">
      <c r="A3754">
        <v>7.5068333333333306E-2</v>
      </c>
      <c r="B3754">
        <v>0.43921502195012402</v>
      </c>
      <c r="C3754">
        <v>0.39030450547186302</v>
      </c>
      <c r="D3754">
        <v>0.60274149405527</v>
      </c>
      <c r="E3754">
        <v>0.55593453805969395</v>
      </c>
    </row>
    <row r="3755" spans="1:5" x14ac:dyDescent="0.2">
      <c r="A3755">
        <v>7.5101666666666705E-2</v>
      </c>
      <c r="B3755">
        <v>0.439277066932378</v>
      </c>
      <c r="C3755">
        <v>0.39036745270058099</v>
      </c>
      <c r="D3755">
        <v>0.60279141770217703</v>
      </c>
      <c r="E3755">
        <v>0.55600249825241899</v>
      </c>
    </row>
    <row r="3756" spans="1:5" x14ac:dyDescent="0.2">
      <c r="A3756">
        <v>7.5134999999999993E-2</v>
      </c>
      <c r="B3756">
        <v>0.43933912192636598</v>
      </c>
      <c r="C3756">
        <v>0.39043039892720499</v>
      </c>
      <c r="D3756">
        <v>0.602841323936114</v>
      </c>
      <c r="E3756">
        <v>0.556070467515971</v>
      </c>
    </row>
    <row r="3757" spans="1:5" x14ac:dyDescent="0.2">
      <c r="A3757">
        <v>7.5168333333333295E-2</v>
      </c>
      <c r="B3757">
        <v>0.439401186946066</v>
      </c>
      <c r="C3757">
        <v>0.39049334427499199</v>
      </c>
      <c r="D3757">
        <v>0.60289121291816605</v>
      </c>
      <c r="E3757">
        <v>0.55613844571544102</v>
      </c>
    </row>
    <row r="3758" spans="1:5" x14ac:dyDescent="0.2">
      <c r="A3758">
        <v>7.5201666666666694E-2</v>
      </c>
      <c r="B3758">
        <v>0.43946326200545599</v>
      </c>
      <c r="C3758">
        <v>0.39055628886720001</v>
      </c>
      <c r="D3758">
        <v>0.60294108480941899</v>
      </c>
      <c r="E3758">
        <v>0.55620643271591996</v>
      </c>
    </row>
    <row r="3759" spans="1:5" x14ac:dyDescent="0.2">
      <c r="A3759">
        <v>7.5234999999999996E-2</v>
      </c>
      <c r="B3759">
        <v>0.43952534711851399</v>
      </c>
      <c r="C3759">
        <v>0.390619232827084</v>
      </c>
      <c r="D3759">
        <v>0.60299093977095697</v>
      </c>
      <c r="E3759">
        <v>0.55627442838250096</v>
      </c>
    </row>
    <row r="3760" spans="1:5" x14ac:dyDescent="0.2">
      <c r="A3760">
        <v>7.5268333333333298E-2</v>
      </c>
      <c r="B3760">
        <v>0.43958744229921798</v>
      </c>
      <c r="C3760">
        <v>0.39068217627790203</v>
      </c>
      <c r="D3760">
        <v>0.60304077796386701</v>
      </c>
      <c r="E3760">
        <v>0.55634243258027305</v>
      </c>
    </row>
    <row r="3761" spans="1:5" x14ac:dyDescent="0.2">
      <c r="A3761">
        <v>7.5301666666666697E-2</v>
      </c>
      <c r="B3761">
        <v>0.43964954756154601</v>
      </c>
      <c r="C3761">
        <v>0.39074511934291001</v>
      </c>
      <c r="D3761">
        <v>0.60309059954923305</v>
      </c>
      <c r="E3761">
        <v>0.55641044517432903</v>
      </c>
    </row>
    <row r="3762" spans="1:5" x14ac:dyDescent="0.2">
      <c r="A3762">
        <v>7.5334999999999999E-2</v>
      </c>
      <c r="B3762">
        <v>0.439711662919477</v>
      </c>
      <c r="C3762">
        <v>0.39080806214536501</v>
      </c>
      <c r="D3762">
        <v>0.60314040468814001</v>
      </c>
      <c r="E3762">
        <v>0.55647846602976003</v>
      </c>
    </row>
    <row r="3763" spans="1:5" x14ac:dyDescent="0.2">
      <c r="A3763">
        <v>7.5368333333333301E-2</v>
      </c>
      <c r="B3763">
        <v>0.439773788386988</v>
      </c>
      <c r="C3763">
        <v>0.39087100480852399</v>
      </c>
      <c r="D3763">
        <v>0.60319019354167402</v>
      </c>
      <c r="E3763">
        <v>0.55654649501165698</v>
      </c>
    </row>
    <row r="3764" spans="1:5" x14ac:dyDescent="0.2">
      <c r="A3764">
        <v>7.54016666666667E-2</v>
      </c>
      <c r="B3764">
        <v>0.43983592397805799</v>
      </c>
      <c r="C3764">
        <v>0.39093394745564403</v>
      </c>
      <c r="D3764">
        <v>0.60323996627092002</v>
      </c>
      <c r="E3764">
        <v>0.55661453198511102</v>
      </c>
    </row>
    <row r="3765" spans="1:5" x14ac:dyDescent="0.2">
      <c r="A3765">
        <v>7.5435000000000002E-2</v>
      </c>
      <c r="B3765">
        <v>0.43989806970666501</v>
      </c>
      <c r="C3765">
        <v>0.39099689020998002</v>
      </c>
      <c r="D3765">
        <v>0.60328972303696204</v>
      </c>
      <c r="E3765">
        <v>0.55668257681521405</v>
      </c>
    </row>
    <row r="3766" spans="1:5" x14ac:dyDescent="0.2">
      <c r="A3766">
        <v>7.5468333333333304E-2</v>
      </c>
      <c r="B3766">
        <v>0.43996022558678699</v>
      </c>
      <c r="C3766">
        <v>0.39105983319479098</v>
      </c>
      <c r="D3766">
        <v>0.603339464000888</v>
      </c>
      <c r="E3766">
        <v>0.55675062936705599</v>
      </c>
    </row>
    <row r="3767" spans="1:5" x14ac:dyDescent="0.2">
      <c r="A3767">
        <v>7.5501666666666703E-2</v>
      </c>
      <c r="B3767">
        <v>0.44002239163240098</v>
      </c>
      <c r="C3767">
        <v>0.391122776533332</v>
      </c>
      <c r="D3767">
        <v>0.60338918932378105</v>
      </c>
      <c r="E3767">
        <v>0.55681868950572999</v>
      </c>
    </row>
    <row r="3768" spans="1:5" x14ac:dyDescent="0.2">
      <c r="A3768">
        <v>7.5535000000000005E-2</v>
      </c>
      <c r="B3768">
        <v>0.44008456785748701</v>
      </c>
      <c r="C3768">
        <v>0.39118572034886101</v>
      </c>
      <c r="D3768">
        <v>0.60343889916672599</v>
      </c>
      <c r="E3768">
        <v>0.55688675709632596</v>
      </c>
    </row>
    <row r="3769" spans="1:5" x14ac:dyDescent="0.2">
      <c r="A3769">
        <v>7.5568333333333307E-2</v>
      </c>
      <c r="B3769">
        <v>0.44014675427602201</v>
      </c>
      <c r="C3769">
        <v>0.39124866476463399</v>
      </c>
      <c r="D3769">
        <v>0.60348859369080998</v>
      </c>
      <c r="E3769">
        <v>0.55695483200393503</v>
      </c>
    </row>
    <row r="3770" spans="1:5" x14ac:dyDescent="0.2">
      <c r="A3770">
        <v>7.5601666666666706E-2</v>
      </c>
      <c r="B3770">
        <v>0.44020895090198398</v>
      </c>
      <c r="C3770">
        <v>0.39131160990390801</v>
      </c>
      <c r="D3770">
        <v>0.60353827305711705</v>
      </c>
      <c r="E3770">
        <v>0.55702291409365001</v>
      </c>
    </row>
    <row r="3771" spans="1:5" x14ac:dyDescent="0.2">
      <c r="A3771">
        <v>7.5634999999999994E-2</v>
      </c>
      <c r="B3771">
        <v>0.44027115774935199</v>
      </c>
      <c r="C3771">
        <v>0.39137455588994002</v>
      </c>
      <c r="D3771">
        <v>0.603587937426733</v>
      </c>
      <c r="E3771">
        <v>0.55709100323056104</v>
      </c>
    </row>
    <row r="3772" spans="1:5" x14ac:dyDescent="0.2">
      <c r="A3772">
        <v>7.5668333333333296E-2</v>
      </c>
      <c r="B3772">
        <v>0.440333374832104</v>
      </c>
      <c r="C3772">
        <v>0.391437502845986</v>
      </c>
      <c r="D3772">
        <v>0.60363758696074199</v>
      </c>
      <c r="E3772">
        <v>0.55715909927976004</v>
      </c>
    </row>
    <row r="3773" spans="1:5" x14ac:dyDescent="0.2">
      <c r="A3773">
        <v>7.5701666666666695E-2</v>
      </c>
      <c r="B3773">
        <v>0.44039560216421703</v>
      </c>
      <c r="C3773">
        <v>0.391500450895304</v>
      </c>
      <c r="D3773">
        <v>0.60368722182023005</v>
      </c>
      <c r="E3773">
        <v>0.55722720210633703</v>
      </c>
    </row>
    <row r="3774" spans="1:5" x14ac:dyDescent="0.2">
      <c r="A3774">
        <v>7.5734999999999997E-2</v>
      </c>
      <c r="B3774">
        <v>0.44045783975967001</v>
      </c>
      <c r="C3774">
        <v>0.39156340016114899</v>
      </c>
      <c r="D3774">
        <v>0.60373684216628298</v>
      </c>
      <c r="E3774">
        <v>0.55729531157538403</v>
      </c>
    </row>
    <row r="3775" spans="1:5" x14ac:dyDescent="0.2">
      <c r="A3775">
        <v>7.5768333333333299E-2</v>
      </c>
      <c r="B3775">
        <v>0.44052008763243999</v>
      </c>
      <c r="C3775">
        <v>0.39162635076677899</v>
      </c>
      <c r="D3775">
        <v>0.60378644815998495</v>
      </c>
      <c r="E3775">
        <v>0.55736342755199297</v>
      </c>
    </row>
    <row r="3776" spans="1:5" x14ac:dyDescent="0.2">
      <c r="A3776">
        <v>7.5801666666666698E-2</v>
      </c>
      <c r="B3776">
        <v>0.44058234579650701</v>
      </c>
      <c r="C3776">
        <v>0.39168930283545</v>
      </c>
      <c r="D3776">
        <v>0.60383603996242197</v>
      </c>
      <c r="E3776">
        <v>0.55743154990125499</v>
      </c>
    </row>
    <row r="3777" spans="1:5" x14ac:dyDescent="0.2">
      <c r="A3777">
        <v>7.5835E-2</v>
      </c>
      <c r="B3777">
        <v>0.440644614265848</v>
      </c>
      <c r="C3777">
        <v>0.39175225649042</v>
      </c>
      <c r="D3777">
        <v>0.60388561773467797</v>
      </c>
      <c r="E3777">
        <v>0.55749967848825999</v>
      </c>
    </row>
    <row r="3778" spans="1:5" x14ac:dyDescent="0.2">
      <c r="A3778">
        <v>7.5868333333333302E-2</v>
      </c>
      <c r="B3778">
        <v>0.44070689305444199</v>
      </c>
      <c r="C3778">
        <v>0.391815211854945</v>
      </c>
      <c r="D3778">
        <v>0.60393518163783999</v>
      </c>
      <c r="E3778">
        <v>0.557567813178101</v>
      </c>
    </row>
    <row r="3779" spans="1:5" x14ac:dyDescent="0.2">
      <c r="A3779">
        <v>7.5901666666666701E-2</v>
      </c>
      <c r="B3779">
        <v>0.44076918217626598</v>
      </c>
      <c r="C3779">
        <v>0.39187816905228101</v>
      </c>
      <c r="D3779">
        <v>0.60398473183299195</v>
      </c>
      <c r="E3779">
        <v>0.55763595383586795</v>
      </c>
    </row>
    <row r="3780" spans="1:5" x14ac:dyDescent="0.2">
      <c r="A3780">
        <v>7.5935000000000002E-2</v>
      </c>
      <c r="B3780">
        <v>0.44083148164529801</v>
      </c>
      <c r="C3780">
        <v>0.391941128205686</v>
      </c>
      <c r="D3780">
        <v>0.60403426848121899</v>
      </c>
      <c r="E3780">
        <v>0.55770410032665296</v>
      </c>
    </row>
    <row r="3781" spans="1:5" x14ac:dyDescent="0.2">
      <c r="A3781">
        <v>7.5968333333333304E-2</v>
      </c>
      <c r="B3781">
        <v>0.44089379147551699</v>
      </c>
      <c r="C3781">
        <v>0.39200408943841503</v>
      </c>
      <c r="D3781">
        <v>0.60408379174360805</v>
      </c>
      <c r="E3781">
        <v>0.55777225251554696</v>
      </c>
    </row>
    <row r="3782" spans="1:5" x14ac:dyDescent="0.2">
      <c r="A3782">
        <v>7.6001666666666703E-2</v>
      </c>
      <c r="B3782">
        <v>0.44095611168090099</v>
      </c>
      <c r="C3782">
        <v>0.39206705287372701</v>
      </c>
      <c r="D3782">
        <v>0.60413330178124203</v>
      </c>
      <c r="E3782">
        <v>0.55784041026764097</v>
      </c>
    </row>
    <row r="3783" spans="1:5" x14ac:dyDescent="0.2">
      <c r="A3783">
        <v>7.6035000000000005E-2</v>
      </c>
      <c r="B3783">
        <v>0.44101844227542703</v>
      </c>
      <c r="C3783">
        <v>0.39213001863487701</v>
      </c>
      <c r="D3783">
        <v>0.60418279875520797</v>
      </c>
      <c r="E3783">
        <v>0.55790857344802702</v>
      </c>
    </row>
    <row r="3784" spans="1:5" x14ac:dyDescent="0.2">
      <c r="A3784">
        <v>7.6068333333333293E-2</v>
      </c>
      <c r="B3784">
        <v>0.44108078327307498</v>
      </c>
      <c r="C3784">
        <v>0.39219298684512299</v>
      </c>
      <c r="D3784">
        <v>0.60423228282659003</v>
      </c>
      <c r="E3784">
        <v>0.55797674192179603</v>
      </c>
    </row>
    <row r="3785" spans="1:5" x14ac:dyDescent="0.2">
      <c r="A3785">
        <v>7.6101666666666706E-2</v>
      </c>
      <c r="B3785">
        <v>0.44114313468782201</v>
      </c>
      <c r="C3785">
        <v>0.39225595762772097</v>
      </c>
      <c r="D3785">
        <v>0.604281754156474</v>
      </c>
      <c r="E3785">
        <v>0.55804491555403901</v>
      </c>
    </row>
    <row r="3786" spans="1:5" x14ac:dyDescent="0.2">
      <c r="A3786">
        <v>7.6134999999999994E-2</v>
      </c>
      <c r="B3786">
        <v>0.44120549653364499</v>
      </c>
      <c r="C3786">
        <v>0.39231893110592803</v>
      </c>
      <c r="D3786">
        <v>0.60433121290594505</v>
      </c>
      <c r="E3786">
        <v>0.558113094209848</v>
      </c>
    </row>
    <row r="3787" spans="1:5" x14ac:dyDescent="0.2">
      <c r="A3787">
        <v>7.6168333333333296E-2</v>
      </c>
      <c r="B3787">
        <v>0.44126786882452501</v>
      </c>
      <c r="C3787">
        <v>0.392381907403</v>
      </c>
      <c r="D3787">
        <v>0.60438065923608797</v>
      </c>
      <c r="E3787">
        <v>0.55818127775431303</v>
      </c>
    </row>
    <row r="3788" spans="1:5" x14ac:dyDescent="0.2">
      <c r="A3788">
        <v>7.6201666666666695E-2</v>
      </c>
      <c r="B3788">
        <v>0.441330251574437</v>
      </c>
      <c r="C3788">
        <v>0.39244488664219501</v>
      </c>
      <c r="D3788">
        <v>0.60443009330798902</v>
      </c>
      <c r="E3788">
        <v>0.55824946605252601</v>
      </c>
    </row>
    <row r="3789" spans="1:5" x14ac:dyDescent="0.2">
      <c r="A3789">
        <v>7.6234999999999997E-2</v>
      </c>
      <c r="B3789">
        <v>0.44139264479736201</v>
      </c>
      <c r="C3789">
        <v>0.39250786894676798</v>
      </c>
      <c r="D3789">
        <v>0.60447951528273203</v>
      </c>
      <c r="E3789">
        <v>0.55831765896957897</v>
      </c>
    </row>
    <row r="3790" spans="1:5" x14ac:dyDescent="0.2">
      <c r="A3790">
        <v>7.6268333333333299E-2</v>
      </c>
      <c r="B3790">
        <v>0.44145504850727602</v>
      </c>
      <c r="C3790">
        <v>0.39257085443997802</v>
      </c>
      <c r="D3790">
        <v>0.60452892532140301</v>
      </c>
      <c r="E3790">
        <v>0.55838585637056204</v>
      </c>
    </row>
    <row r="3791" spans="1:5" x14ac:dyDescent="0.2">
      <c r="A3791">
        <v>7.6301666666666698E-2</v>
      </c>
      <c r="B3791">
        <v>0.44151746271815701</v>
      </c>
      <c r="C3791">
        <v>0.39263384324507999</v>
      </c>
      <c r="D3791">
        <v>0.60457832358508701</v>
      </c>
      <c r="E3791">
        <v>0.55845405812056703</v>
      </c>
    </row>
    <row r="3792" spans="1:5" x14ac:dyDescent="0.2">
      <c r="A3792">
        <v>7.6335E-2</v>
      </c>
      <c r="B3792">
        <v>0.44157988744398502</v>
      </c>
      <c r="C3792">
        <v>0.39269683548533202</v>
      </c>
      <c r="D3792">
        <v>0.60462771023487005</v>
      </c>
      <c r="E3792">
        <v>0.55852226408468597</v>
      </c>
    </row>
    <row r="3793" spans="1:5" x14ac:dyDescent="0.2">
      <c r="A3793">
        <v>7.6368333333333302E-2</v>
      </c>
      <c r="B3793">
        <v>0.44164232269873699</v>
      </c>
      <c r="C3793">
        <v>0.39275983128399</v>
      </c>
      <c r="D3793">
        <v>0.60467708543183596</v>
      </c>
      <c r="E3793">
        <v>0.558590474128009</v>
      </c>
    </row>
    <row r="3794" spans="1:5" x14ac:dyDescent="0.2">
      <c r="A3794">
        <v>7.6401666666666701E-2</v>
      </c>
      <c r="B3794">
        <v>0.44170476849639101</v>
      </c>
      <c r="C3794">
        <v>0.39282283076431002</v>
      </c>
      <c r="D3794">
        <v>0.60472644933707098</v>
      </c>
      <c r="E3794">
        <v>0.55865868811562702</v>
      </c>
    </row>
    <row r="3795" spans="1:5" x14ac:dyDescent="0.2">
      <c r="A3795">
        <v>7.6435000000000003E-2</v>
      </c>
      <c r="B3795">
        <v>0.44176722485092501</v>
      </c>
      <c r="C3795">
        <v>0.39288583404955002</v>
      </c>
      <c r="D3795">
        <v>0.60477580211166004</v>
      </c>
      <c r="E3795">
        <v>0.55872690591263297</v>
      </c>
    </row>
    <row r="3796" spans="1:5" x14ac:dyDescent="0.2">
      <c r="A3796">
        <v>7.6468333333333305E-2</v>
      </c>
      <c r="B3796">
        <v>0.44182969177631698</v>
      </c>
      <c r="C3796">
        <v>0.39294884126296598</v>
      </c>
      <c r="D3796">
        <v>0.60482514391668796</v>
      </c>
      <c r="E3796">
        <v>0.55879512738411596</v>
      </c>
    </row>
    <row r="3797" spans="1:5" x14ac:dyDescent="0.2">
      <c r="A3797">
        <v>7.6501666666666704E-2</v>
      </c>
      <c r="B3797">
        <v>0.44189216928654701</v>
      </c>
      <c r="C3797">
        <v>0.39301185252781601</v>
      </c>
      <c r="D3797">
        <v>0.60487447491324098</v>
      </c>
      <c r="E3797">
        <v>0.55886335239517004</v>
      </c>
    </row>
    <row r="3798" spans="1:5" x14ac:dyDescent="0.2">
      <c r="A3798">
        <v>7.6535000000000006E-2</v>
      </c>
      <c r="B3798">
        <v>0.44195465739558998</v>
      </c>
      <c r="C3798">
        <v>0.39307486796735502</v>
      </c>
      <c r="D3798">
        <v>0.60492379526240403</v>
      </c>
      <c r="E3798">
        <v>0.55893158081088401</v>
      </c>
    </row>
    <row r="3799" spans="1:5" x14ac:dyDescent="0.2">
      <c r="A3799">
        <v>7.6568333333333294E-2</v>
      </c>
      <c r="B3799">
        <v>0.44201715611742698</v>
      </c>
      <c r="C3799">
        <v>0.39313788770484098</v>
      </c>
      <c r="D3799">
        <v>0.60497310512526103</v>
      </c>
      <c r="E3799">
        <v>0.55899981249635</v>
      </c>
    </row>
    <row r="3800" spans="1:5" x14ac:dyDescent="0.2">
      <c r="A3800">
        <v>7.6601666666666707E-2</v>
      </c>
      <c r="B3800">
        <v>0.442079665466034</v>
      </c>
      <c r="C3800">
        <v>0.39320091186353001</v>
      </c>
      <c r="D3800">
        <v>0.60502240466289903</v>
      </c>
      <c r="E3800">
        <v>0.55906804731666004</v>
      </c>
    </row>
    <row r="3801" spans="1:5" x14ac:dyDescent="0.2">
      <c r="A3801">
        <v>7.6634999999999995E-2</v>
      </c>
      <c r="B3801">
        <v>0.44214218545539002</v>
      </c>
      <c r="C3801">
        <v>0.39326394056667902</v>
      </c>
      <c r="D3801">
        <v>0.60507169403640204</v>
      </c>
      <c r="E3801">
        <v>0.55913628513690405</v>
      </c>
    </row>
    <row r="3802" spans="1:5" x14ac:dyDescent="0.2">
      <c r="A3802">
        <v>7.6668333333333297E-2</v>
      </c>
      <c r="B3802">
        <v>0.44220471609947398</v>
      </c>
      <c r="C3802">
        <v>0.39332697393754501</v>
      </c>
      <c r="D3802">
        <v>0.605120973406856</v>
      </c>
      <c r="E3802">
        <v>0.55920452582217495</v>
      </c>
    </row>
    <row r="3803" spans="1:5" x14ac:dyDescent="0.2">
      <c r="A3803">
        <v>7.6701666666666696E-2</v>
      </c>
      <c r="B3803">
        <v>0.44226725741226203</v>
      </c>
      <c r="C3803">
        <v>0.39339001209938401</v>
      </c>
      <c r="D3803">
        <v>0.60517024293534505</v>
      </c>
      <c r="E3803">
        <v>0.55927276923756297</v>
      </c>
    </row>
    <row r="3804" spans="1:5" x14ac:dyDescent="0.2">
      <c r="A3804">
        <v>7.6734999999999998E-2</v>
      </c>
      <c r="B3804">
        <v>0.44232980940773398</v>
      </c>
      <c r="C3804">
        <v>0.39345305517545398</v>
      </c>
      <c r="D3804">
        <v>0.605219502782956</v>
      </c>
      <c r="E3804">
        <v>0.55934101524815905</v>
      </c>
    </row>
    <row r="3805" spans="1:5" x14ac:dyDescent="0.2">
      <c r="A3805">
        <v>7.67683333333333E-2</v>
      </c>
      <c r="B3805">
        <v>0.44239237209986798</v>
      </c>
      <c r="C3805">
        <v>0.39351610328901099</v>
      </c>
      <c r="D3805">
        <v>0.60526875311077299</v>
      </c>
      <c r="E3805">
        <v>0.55940926371905497</v>
      </c>
    </row>
    <row r="3806" spans="1:5" x14ac:dyDescent="0.2">
      <c r="A3806">
        <v>7.6801666666666699E-2</v>
      </c>
      <c r="B3806">
        <v>0.44245494550264097</v>
      </c>
      <c r="C3806">
        <v>0.39357915656331099</v>
      </c>
      <c r="D3806">
        <v>0.60531799407988196</v>
      </c>
      <c r="E3806">
        <v>0.559477514515342</v>
      </c>
    </row>
    <row r="3807" spans="1:5" x14ac:dyDescent="0.2">
      <c r="A3807">
        <v>7.6835000000000001E-2</v>
      </c>
      <c r="B3807">
        <v>0.44251752963003099</v>
      </c>
      <c r="C3807">
        <v>0.39364221512161202</v>
      </c>
      <c r="D3807">
        <v>0.60536722585136704</v>
      </c>
      <c r="E3807">
        <v>0.55954576750211205</v>
      </c>
    </row>
    <row r="3808" spans="1:5" x14ac:dyDescent="0.2">
      <c r="A3808">
        <v>7.6868333333333302E-2</v>
      </c>
      <c r="B3808">
        <v>0.44258012449601802</v>
      </c>
      <c r="C3808">
        <v>0.39370527908717001</v>
      </c>
      <c r="D3808">
        <v>0.60541644858631505</v>
      </c>
      <c r="E3808">
        <v>0.55961402254445503</v>
      </c>
    </row>
    <row r="3809" spans="1:5" x14ac:dyDescent="0.2">
      <c r="A3809">
        <v>7.6901666666666701E-2</v>
      </c>
      <c r="B3809">
        <v>0.442642730114578</v>
      </c>
      <c r="C3809">
        <v>0.393768348583242</v>
      </c>
      <c r="D3809">
        <v>0.60546566244581002</v>
      </c>
      <c r="E3809">
        <v>0.55968227950746297</v>
      </c>
    </row>
    <row r="3810" spans="1:5" x14ac:dyDescent="0.2">
      <c r="A3810">
        <v>7.6935000000000003E-2</v>
      </c>
      <c r="B3810">
        <v>0.44270534649969001</v>
      </c>
      <c r="C3810">
        <v>0.393831423733085</v>
      </c>
      <c r="D3810">
        <v>0.60551486759093698</v>
      </c>
      <c r="E3810">
        <v>0.559750538256227</v>
      </c>
    </row>
    <row r="3811" spans="1:5" x14ac:dyDescent="0.2">
      <c r="A3811">
        <v>7.6968333333333305E-2</v>
      </c>
      <c r="B3811">
        <v>0.44276797366533299</v>
      </c>
      <c r="C3811">
        <v>0.39389450465995501</v>
      </c>
      <c r="D3811">
        <v>0.60556406418278197</v>
      </c>
      <c r="E3811">
        <v>0.55981879865583895</v>
      </c>
    </row>
    <row r="3812" spans="1:5" x14ac:dyDescent="0.2">
      <c r="A3812">
        <v>7.7001666666666704E-2</v>
      </c>
      <c r="B3812">
        <v>0.44283061162548298</v>
      </c>
      <c r="C3812">
        <v>0.39395759148711001</v>
      </c>
      <c r="D3812">
        <v>0.60561325238243002</v>
      </c>
      <c r="E3812">
        <v>0.55988706057139004</v>
      </c>
    </row>
    <row r="3813" spans="1:5" x14ac:dyDescent="0.2">
      <c r="A3813">
        <v>7.7035000000000006E-2</v>
      </c>
      <c r="B3813">
        <v>0.44289326039412102</v>
      </c>
      <c r="C3813">
        <v>0.39402068433780602</v>
      </c>
      <c r="D3813">
        <v>0.60566243235096595</v>
      </c>
      <c r="E3813">
        <v>0.55995532386797098</v>
      </c>
    </row>
    <row r="3814" spans="1:5" x14ac:dyDescent="0.2">
      <c r="A3814">
        <v>7.7068333333333294E-2</v>
      </c>
      <c r="B3814">
        <v>0.44295591998522199</v>
      </c>
      <c r="C3814">
        <v>0.39408378333529898</v>
      </c>
      <c r="D3814">
        <v>0.60571160424947601</v>
      </c>
      <c r="E3814">
        <v>0.56002358841067301</v>
      </c>
    </row>
    <row r="3815" spans="1:5" x14ac:dyDescent="0.2">
      <c r="A3815">
        <v>7.7101666666666693E-2</v>
      </c>
      <c r="B3815">
        <v>0.44301859041276698</v>
      </c>
      <c r="C3815">
        <v>0.39414688860284602</v>
      </c>
      <c r="D3815">
        <v>0.60576076823904401</v>
      </c>
      <c r="E3815">
        <v>0.56009185406458795</v>
      </c>
    </row>
    <row r="3816" spans="1:5" x14ac:dyDescent="0.2">
      <c r="A3816">
        <v>7.7134999999999995E-2</v>
      </c>
      <c r="B3816">
        <v>0.44308127169073203</v>
      </c>
      <c r="C3816">
        <v>0.39421000026370501</v>
      </c>
      <c r="D3816">
        <v>0.60580992448075599</v>
      </c>
      <c r="E3816">
        <v>0.56016012069480603</v>
      </c>
    </row>
    <row r="3817" spans="1:5" x14ac:dyDescent="0.2">
      <c r="A3817">
        <v>7.7168333333333297E-2</v>
      </c>
      <c r="B3817">
        <v>0.44314396383309501</v>
      </c>
      <c r="C3817">
        <v>0.394273118441132</v>
      </c>
      <c r="D3817">
        <v>0.60585907313569698</v>
      </c>
      <c r="E3817">
        <v>0.56022838816641995</v>
      </c>
    </row>
    <row r="3818" spans="1:5" x14ac:dyDescent="0.2">
      <c r="A3818">
        <v>7.7201666666666696E-2</v>
      </c>
      <c r="B3818">
        <v>0.44320666685383597</v>
      </c>
      <c r="C3818">
        <v>0.39433624325838401</v>
      </c>
      <c r="D3818">
        <v>0.60590821436495301</v>
      </c>
      <c r="E3818">
        <v>0.56029665634451997</v>
      </c>
    </row>
    <row r="3819" spans="1:5" x14ac:dyDescent="0.2">
      <c r="A3819">
        <v>7.7234999999999998E-2</v>
      </c>
      <c r="B3819">
        <v>0.44326938076693201</v>
      </c>
      <c r="C3819">
        <v>0.39439937483871701</v>
      </c>
      <c r="D3819">
        <v>0.60595734832960801</v>
      </c>
      <c r="E3819">
        <v>0.560364925094199</v>
      </c>
    </row>
    <row r="3820" spans="1:5" x14ac:dyDescent="0.2">
      <c r="A3820">
        <v>7.72683333333333E-2</v>
      </c>
      <c r="B3820">
        <v>0.44333210558636099</v>
      </c>
      <c r="C3820">
        <v>0.39446251330538801</v>
      </c>
      <c r="D3820">
        <v>0.60600647519074802</v>
      </c>
      <c r="E3820">
        <v>0.56043319428054605</v>
      </c>
    </row>
    <row r="3821" spans="1:5" x14ac:dyDescent="0.2">
      <c r="A3821">
        <v>7.7301666666666699E-2</v>
      </c>
      <c r="B3821">
        <v>0.44339484132610202</v>
      </c>
      <c r="C3821">
        <v>0.39452565878165402</v>
      </c>
      <c r="D3821">
        <v>0.60605559510945795</v>
      </c>
      <c r="E3821">
        <v>0.56050146376865295</v>
      </c>
    </row>
    <row r="3822" spans="1:5" x14ac:dyDescent="0.2">
      <c r="A3822">
        <v>7.7335000000000001E-2</v>
      </c>
      <c r="B3822">
        <v>0.44345758800013102</v>
      </c>
      <c r="C3822">
        <v>0.39458881139077101</v>
      </c>
      <c r="D3822">
        <v>0.60610470824682305</v>
      </c>
      <c r="E3822">
        <v>0.56056973342361205</v>
      </c>
    </row>
    <row r="3823" spans="1:5" x14ac:dyDescent="0.2">
      <c r="A3823">
        <v>7.7368333333333303E-2</v>
      </c>
      <c r="B3823">
        <v>0.44352034562242898</v>
      </c>
      <c r="C3823">
        <v>0.39465197125599699</v>
      </c>
      <c r="D3823">
        <v>0.60615381476392804</v>
      </c>
      <c r="E3823">
        <v>0.56063800311051404</v>
      </c>
    </row>
    <row r="3824" spans="1:5" x14ac:dyDescent="0.2">
      <c r="A3824">
        <v>7.7401666666666702E-2</v>
      </c>
      <c r="B3824">
        <v>0.443583114206972</v>
      </c>
      <c r="C3824">
        <v>0.39471513850058898</v>
      </c>
      <c r="D3824">
        <v>0.60620291482185995</v>
      </c>
      <c r="E3824">
        <v>0.56070627269444995</v>
      </c>
    </row>
    <row r="3825" spans="1:5" x14ac:dyDescent="0.2">
      <c r="A3825">
        <v>7.7435000000000004E-2</v>
      </c>
      <c r="B3825">
        <v>0.443645893767739</v>
      </c>
      <c r="C3825">
        <v>0.39477831324780199</v>
      </c>
      <c r="D3825">
        <v>0.60625200858170203</v>
      </c>
      <c r="E3825">
        <v>0.56077454204051203</v>
      </c>
    </row>
    <row r="3826" spans="1:5" x14ac:dyDescent="0.2">
      <c r="A3826">
        <v>7.7468333333333306E-2</v>
      </c>
      <c r="B3826">
        <v>0.44370868431870703</v>
      </c>
      <c r="C3826">
        <v>0.39484149562089299</v>
      </c>
      <c r="D3826">
        <v>0.60630109620453998</v>
      </c>
      <c r="E3826">
        <v>0.56084281101378997</v>
      </c>
    </row>
    <row r="3827" spans="1:5" x14ac:dyDescent="0.2">
      <c r="A3827">
        <v>7.7501666666666705E-2</v>
      </c>
      <c r="B3827">
        <v>0.44377148587385601</v>
      </c>
      <c r="C3827">
        <v>0.39490468574311999</v>
      </c>
      <c r="D3827">
        <v>0.60635017785145995</v>
      </c>
      <c r="E3827">
        <v>0.56091107947937602</v>
      </c>
    </row>
    <row r="3828" spans="1:5" x14ac:dyDescent="0.2">
      <c r="A3828">
        <v>7.7535000000000007E-2</v>
      </c>
      <c r="B3828">
        <v>0.44383429844716299</v>
      </c>
      <c r="C3828">
        <v>0.39496788373774</v>
      </c>
      <c r="D3828">
        <v>0.60639925368354697</v>
      </c>
      <c r="E3828">
        <v>0.56097934730236199</v>
      </c>
    </row>
    <row r="3829" spans="1:5" x14ac:dyDescent="0.2">
      <c r="A3829">
        <v>7.7568333333333295E-2</v>
      </c>
      <c r="B3829">
        <v>0.44389712205260601</v>
      </c>
      <c r="C3829">
        <v>0.39503108972800799</v>
      </c>
      <c r="D3829">
        <v>0.60644832386188496</v>
      </c>
      <c r="E3829">
        <v>0.56104761434783801</v>
      </c>
    </row>
    <row r="3830" spans="1:5" x14ac:dyDescent="0.2">
      <c r="A3830">
        <v>7.7601666666666694E-2</v>
      </c>
      <c r="B3830">
        <v>0.44395995670416399</v>
      </c>
      <c r="C3830">
        <v>0.39509430383718103</v>
      </c>
      <c r="D3830">
        <v>0.60649738854756097</v>
      </c>
      <c r="E3830">
        <v>0.561115880480896</v>
      </c>
    </row>
    <row r="3831" spans="1:5" x14ac:dyDescent="0.2">
      <c r="A3831">
        <v>7.7634999999999996E-2</v>
      </c>
      <c r="B3831">
        <v>0.44402280241581399</v>
      </c>
      <c r="C3831">
        <v>0.39515752618851802</v>
      </c>
      <c r="D3831">
        <v>0.60654644790165901</v>
      </c>
      <c r="E3831">
        <v>0.56118414556662699</v>
      </c>
    </row>
    <row r="3832" spans="1:5" x14ac:dyDescent="0.2">
      <c r="A3832">
        <v>7.7668333333333298E-2</v>
      </c>
      <c r="B3832">
        <v>0.44408565920153398</v>
      </c>
      <c r="C3832">
        <v>0.39522075690527297</v>
      </c>
      <c r="D3832">
        <v>0.60659550208526403</v>
      </c>
      <c r="E3832">
        <v>0.561252409470123</v>
      </c>
    </row>
    <row r="3833" spans="1:5" x14ac:dyDescent="0.2">
      <c r="A3833">
        <v>7.7701666666666697E-2</v>
      </c>
      <c r="B3833">
        <v>0.444148527075304</v>
      </c>
      <c r="C3833">
        <v>0.39528399611070397</v>
      </c>
      <c r="D3833">
        <v>0.60664455125946204</v>
      </c>
      <c r="E3833">
        <v>0.56132067205647396</v>
      </c>
    </row>
    <row r="3834" spans="1:5" x14ac:dyDescent="0.2">
      <c r="A3834">
        <v>7.7734999999999999E-2</v>
      </c>
      <c r="B3834">
        <v>0.44421140605109999</v>
      </c>
      <c r="C3834">
        <v>0.39534724392806703</v>
      </c>
      <c r="D3834">
        <v>0.60669359558533797</v>
      </c>
      <c r="E3834">
        <v>0.56138893319077199</v>
      </c>
    </row>
    <row r="3835" spans="1:5" x14ac:dyDescent="0.2">
      <c r="A3835">
        <v>7.77683333333333E-2</v>
      </c>
      <c r="B3835">
        <v>0.44427429614290098</v>
      </c>
      <c r="C3835">
        <v>0.39541050048061999</v>
      </c>
      <c r="D3835">
        <v>0.60674263522397798</v>
      </c>
      <c r="E3835">
        <v>0.56145719273810901</v>
      </c>
    </row>
    <row r="3836" spans="1:5" x14ac:dyDescent="0.2">
      <c r="A3836">
        <v>7.78016666666667E-2</v>
      </c>
      <c r="B3836">
        <v>0.44433719736468502</v>
      </c>
      <c r="C3836">
        <v>0.39547376589161898</v>
      </c>
      <c r="D3836">
        <v>0.60679167033646597</v>
      </c>
      <c r="E3836">
        <v>0.56152545056357495</v>
      </c>
    </row>
    <row r="3837" spans="1:5" x14ac:dyDescent="0.2">
      <c r="A3837">
        <v>7.7835000000000001E-2</v>
      </c>
      <c r="B3837">
        <v>0.44440010973042998</v>
      </c>
      <c r="C3837">
        <v>0.39553704028432102</v>
      </c>
      <c r="D3837">
        <v>0.60684070108388699</v>
      </c>
      <c r="E3837">
        <v>0.56159370653226204</v>
      </c>
    </row>
    <row r="3838" spans="1:5" x14ac:dyDescent="0.2">
      <c r="A3838">
        <v>7.7868333333333303E-2</v>
      </c>
      <c r="B3838">
        <v>0.44446303325411501</v>
      </c>
      <c r="C3838">
        <v>0.39560032378198201</v>
      </c>
      <c r="D3838">
        <v>0.60688972762732796</v>
      </c>
      <c r="E3838">
        <v>0.56166196050926098</v>
      </c>
    </row>
    <row r="3839" spans="1:5" x14ac:dyDescent="0.2">
      <c r="A3839">
        <v>7.7901666666666702E-2</v>
      </c>
      <c r="B3839">
        <v>0.44452596794971699</v>
      </c>
      <c r="C3839">
        <v>0.39566361650786003</v>
      </c>
      <c r="D3839">
        <v>0.60693875012787302</v>
      </c>
      <c r="E3839">
        <v>0.56173021235966303</v>
      </c>
    </row>
    <row r="3840" spans="1:5" x14ac:dyDescent="0.2">
      <c r="A3840">
        <v>7.7935000000000004E-2</v>
      </c>
      <c r="B3840">
        <v>0.44458891383121502</v>
      </c>
      <c r="C3840">
        <v>0.39572691858521097</v>
      </c>
      <c r="D3840">
        <v>0.60698776874660698</v>
      </c>
      <c r="E3840">
        <v>0.56179846194855998</v>
      </c>
    </row>
    <row r="3841" spans="1:5" x14ac:dyDescent="0.2">
      <c r="A3841">
        <v>7.7968333333333306E-2</v>
      </c>
      <c r="B3841">
        <v>0.44465187091258601</v>
      </c>
      <c r="C3841">
        <v>0.39579023013729098</v>
      </c>
      <c r="D3841">
        <v>0.607036783644616</v>
      </c>
      <c r="E3841">
        <v>0.56186670914104297</v>
      </c>
    </row>
    <row r="3842" spans="1:5" x14ac:dyDescent="0.2">
      <c r="A3842">
        <v>7.8001666666666705E-2</v>
      </c>
      <c r="B3842">
        <v>0.44471483920780902</v>
      </c>
      <c r="C3842">
        <v>0.39585355128729799</v>
      </c>
      <c r="D3842">
        <v>0.60708579498298398</v>
      </c>
      <c r="E3842">
        <v>0.56193495380220304</v>
      </c>
    </row>
    <row r="3843" spans="1:5" x14ac:dyDescent="0.2">
      <c r="A3843">
        <v>7.8034999999999993E-2</v>
      </c>
      <c r="B3843">
        <v>0.44477781873086197</v>
      </c>
      <c r="C3843">
        <v>0.39591688159916799</v>
      </c>
      <c r="D3843">
        <v>0.60713480292279798</v>
      </c>
      <c r="E3843">
        <v>0.56200319579713198</v>
      </c>
    </row>
    <row r="3844" spans="1:5" x14ac:dyDescent="0.2">
      <c r="A3844">
        <v>7.8068333333333295E-2</v>
      </c>
      <c r="B3844">
        <v>0.44484080949572302</v>
      </c>
      <c r="C3844">
        <v>0.39598021871063999</v>
      </c>
      <c r="D3844">
        <v>0.60718380762514201</v>
      </c>
      <c r="E3844">
        <v>0.56207143499092105</v>
      </c>
    </row>
    <row r="3845" spans="1:5" x14ac:dyDescent="0.2">
      <c r="A3845">
        <v>7.8101666666666694E-2</v>
      </c>
      <c r="B3845">
        <v>0.44490381151636998</v>
      </c>
      <c r="C3845">
        <v>0.39604355984506401</v>
      </c>
      <c r="D3845">
        <v>0.60723280925110201</v>
      </c>
      <c r="E3845">
        <v>0.56213967124866004</v>
      </c>
    </row>
    <row r="3846" spans="1:5" x14ac:dyDescent="0.2">
      <c r="A3846">
        <v>7.8134999999999996E-2</v>
      </c>
      <c r="B3846">
        <v>0.44496682480678101</v>
      </c>
      <c r="C3846">
        <v>0.39610690222579398</v>
      </c>
      <c r="D3846">
        <v>0.60728180796176201</v>
      </c>
      <c r="E3846">
        <v>0.562207904435442</v>
      </c>
    </row>
    <row r="3847" spans="1:5" x14ac:dyDescent="0.2">
      <c r="A3847">
        <v>7.8168333333333298E-2</v>
      </c>
      <c r="B3847">
        <v>0.44502984938093498</v>
      </c>
      <c r="C3847">
        <v>0.39617024307618298</v>
      </c>
      <c r="D3847">
        <v>0.60733080391820904</v>
      </c>
      <c r="E3847">
        <v>0.56227613441635804</v>
      </c>
    </row>
    <row r="3848" spans="1:5" x14ac:dyDescent="0.2">
      <c r="A3848">
        <v>7.8201666666666697E-2</v>
      </c>
      <c r="B3848">
        <v>0.44509288525280899</v>
      </c>
      <c r="C3848">
        <v>0.396233579619583</v>
      </c>
      <c r="D3848">
        <v>0.60737979728152602</v>
      </c>
      <c r="E3848">
        <v>0.56234436105649799</v>
      </c>
    </row>
    <row r="3849" spans="1:5" x14ac:dyDescent="0.2">
      <c r="A3849">
        <v>7.8234999999999999E-2</v>
      </c>
      <c r="B3849">
        <v>0.44515593243638202</v>
      </c>
      <c r="C3849">
        <v>0.396296909079346</v>
      </c>
      <c r="D3849">
        <v>0.6074287882128</v>
      </c>
      <c r="E3849">
        <v>0.56241258422095497</v>
      </c>
    </row>
    <row r="3850" spans="1:5" x14ac:dyDescent="0.2">
      <c r="A3850">
        <v>7.8268333333333301E-2</v>
      </c>
      <c r="B3850">
        <v>0.445218990945631</v>
      </c>
      <c r="C3850">
        <v>0.39636022867882598</v>
      </c>
      <c r="D3850">
        <v>0.60747777687311599</v>
      </c>
      <c r="E3850">
        <v>0.56248080377481902</v>
      </c>
    </row>
    <row r="3851" spans="1:5" x14ac:dyDescent="0.2">
      <c r="A3851">
        <v>7.83016666666667E-2</v>
      </c>
      <c r="B3851">
        <v>0.44528206079453497</v>
      </c>
      <c r="C3851">
        <v>0.396423535641374</v>
      </c>
      <c r="D3851">
        <v>0.60752676342355905</v>
      </c>
      <c r="E3851">
        <v>0.56254901958318204</v>
      </c>
    </row>
    <row r="3852" spans="1:5" x14ac:dyDescent="0.2">
      <c r="A3852">
        <v>7.8335000000000002E-2</v>
      </c>
      <c r="B3852">
        <v>0.44534514199707298</v>
      </c>
      <c r="C3852">
        <v>0.396486827190344</v>
      </c>
      <c r="D3852">
        <v>0.60757574802521397</v>
      </c>
      <c r="E3852">
        <v>0.56261723151113496</v>
      </c>
    </row>
    <row r="3853" spans="1:5" x14ac:dyDescent="0.2">
      <c r="A3853">
        <v>7.8368333333333304E-2</v>
      </c>
      <c r="B3853">
        <v>0.44540823456722101</v>
      </c>
      <c r="C3853">
        <v>0.39655010054908801</v>
      </c>
      <c r="D3853">
        <v>0.60762473083916602</v>
      </c>
      <c r="E3853">
        <v>0.56268543942376903</v>
      </c>
    </row>
    <row r="3854" spans="1:5" x14ac:dyDescent="0.2">
      <c r="A3854">
        <v>7.8401666666666703E-2</v>
      </c>
      <c r="B3854">
        <v>0.44547133851895798</v>
      </c>
      <c r="C3854">
        <v>0.39661335294095801</v>
      </c>
      <c r="D3854">
        <v>0.607673712026501</v>
      </c>
      <c r="E3854">
        <v>0.56275364318617604</v>
      </c>
    </row>
    <row r="3855" spans="1:5" x14ac:dyDescent="0.2">
      <c r="A3855">
        <v>7.8435000000000005E-2</v>
      </c>
      <c r="B3855">
        <v>0.445534453866263</v>
      </c>
      <c r="C3855">
        <v>0.39667658158930802</v>
      </c>
      <c r="D3855">
        <v>0.60772269174830396</v>
      </c>
      <c r="E3855">
        <v>0.56282184266344704</v>
      </c>
    </row>
    <row r="3856" spans="1:5" x14ac:dyDescent="0.2">
      <c r="A3856">
        <v>7.8468333333333307E-2</v>
      </c>
      <c r="B3856">
        <v>0.445597580623113</v>
      </c>
      <c r="C3856">
        <v>0.39673978371748903</v>
      </c>
      <c r="D3856">
        <v>0.60777167016566003</v>
      </c>
      <c r="E3856">
        <v>0.56289003772067303</v>
      </c>
    </row>
    <row r="3857" spans="1:5" x14ac:dyDescent="0.2">
      <c r="A3857">
        <v>7.8501666666666706E-2</v>
      </c>
      <c r="B3857">
        <v>0.44566071880348701</v>
      </c>
      <c r="C3857">
        <v>0.396802956548855</v>
      </c>
      <c r="D3857">
        <v>0.60782064743965403</v>
      </c>
      <c r="E3857">
        <v>0.56295822822294606</v>
      </c>
    </row>
    <row r="3858" spans="1:5" x14ac:dyDescent="0.2">
      <c r="A3858">
        <v>7.8534999999999994E-2</v>
      </c>
      <c r="B3858">
        <v>0.44572386842136202</v>
      </c>
      <c r="C3858">
        <v>0.39686609730675798</v>
      </c>
      <c r="D3858">
        <v>0.60786962373137199</v>
      </c>
      <c r="E3858">
        <v>0.56302641403535603</v>
      </c>
    </row>
    <row r="3859" spans="1:5" x14ac:dyDescent="0.2">
      <c r="A3859">
        <v>7.8568333333333296E-2</v>
      </c>
      <c r="B3859">
        <v>0.44578702949071702</v>
      </c>
      <c r="C3859">
        <v>0.39692920321455</v>
      </c>
      <c r="D3859">
        <v>0.60791859920189795</v>
      </c>
      <c r="E3859">
        <v>0.56309459502299497</v>
      </c>
    </row>
    <row r="3860" spans="1:5" x14ac:dyDescent="0.2">
      <c r="A3860">
        <v>7.8601666666666695E-2</v>
      </c>
      <c r="B3860">
        <v>0.44585020202553</v>
      </c>
      <c r="C3860">
        <v>0.39699227149558403</v>
      </c>
      <c r="D3860">
        <v>0.60796757401231905</v>
      </c>
      <c r="E3860">
        <v>0.56316277105095403</v>
      </c>
    </row>
    <row r="3861" spans="1:5" x14ac:dyDescent="0.2">
      <c r="A3861">
        <v>7.8634999999999997E-2</v>
      </c>
      <c r="B3861">
        <v>0.44591338603977898</v>
      </c>
      <c r="C3861">
        <v>0.39705529937321299</v>
      </c>
      <c r="D3861">
        <v>0.60801654832371899</v>
      </c>
      <c r="E3861">
        <v>0.563230941984325</v>
      </c>
    </row>
    <row r="3862" spans="1:5" x14ac:dyDescent="0.2">
      <c r="A3862">
        <v>7.8668333333333298E-2</v>
      </c>
      <c r="B3862">
        <v>0.44597658154744202</v>
      </c>
      <c r="C3862">
        <v>0.39711828407078997</v>
      </c>
      <c r="D3862">
        <v>0.60806552229718303</v>
      </c>
      <c r="E3862">
        <v>0.56329910768819902</v>
      </c>
    </row>
    <row r="3863" spans="1:5" x14ac:dyDescent="0.2">
      <c r="A3863">
        <v>7.8701666666666698E-2</v>
      </c>
      <c r="B3863">
        <v>0.44603978856249699</v>
      </c>
      <c r="C3863">
        <v>0.39718122281166601</v>
      </c>
      <c r="D3863">
        <v>0.60811449609379697</v>
      </c>
      <c r="E3863">
        <v>0.56336726802766701</v>
      </c>
    </row>
    <row r="3864" spans="1:5" x14ac:dyDescent="0.2">
      <c r="A3864">
        <v>7.8734999999999999E-2</v>
      </c>
      <c r="B3864">
        <v>0.44610300709892298</v>
      </c>
      <c r="C3864">
        <v>0.39724411281919503</v>
      </c>
      <c r="D3864">
        <v>0.60816346987464498</v>
      </c>
      <c r="E3864">
        <v>0.563435422867821</v>
      </c>
    </row>
    <row r="3865" spans="1:5" x14ac:dyDescent="0.2">
      <c r="A3865">
        <v>7.8768333333333301E-2</v>
      </c>
      <c r="B3865">
        <v>0.44616623717069698</v>
      </c>
      <c r="C3865">
        <v>0.397306951316729</v>
      </c>
      <c r="D3865">
        <v>0.60821244380081396</v>
      </c>
      <c r="E3865">
        <v>0.56350357207375101</v>
      </c>
    </row>
    <row r="3866" spans="1:5" x14ac:dyDescent="0.2">
      <c r="A3866">
        <v>7.88016666666667E-2</v>
      </c>
      <c r="B3866">
        <v>0.44622947879179797</v>
      </c>
      <c r="C3866">
        <v>0.397369735527621</v>
      </c>
      <c r="D3866">
        <v>0.60826141803338896</v>
      </c>
      <c r="E3866">
        <v>0.56357171551054897</v>
      </c>
    </row>
    <row r="3867" spans="1:5" x14ac:dyDescent="0.2">
      <c r="A3867">
        <v>7.8835000000000002E-2</v>
      </c>
      <c r="B3867">
        <v>0.44629273197620301</v>
      </c>
      <c r="C3867">
        <v>0.39743246267522297</v>
      </c>
      <c r="D3867">
        <v>0.608310392733454</v>
      </c>
      <c r="E3867">
        <v>0.56363985304330699</v>
      </c>
    </row>
    <row r="3868" spans="1:5" x14ac:dyDescent="0.2">
      <c r="A3868">
        <v>7.8868333333333304E-2</v>
      </c>
      <c r="B3868">
        <v>0.446355996737891</v>
      </c>
      <c r="C3868">
        <v>0.397495129982888</v>
      </c>
      <c r="D3868">
        <v>0.60835936806209501</v>
      </c>
      <c r="E3868">
        <v>0.56370798453711402</v>
      </c>
    </row>
    <row r="3869" spans="1:5" x14ac:dyDescent="0.2">
      <c r="A3869">
        <v>7.8901666666666703E-2</v>
      </c>
      <c r="B3869">
        <v>0.44641927309084001</v>
      </c>
      <c r="C3869">
        <v>0.39755773467396799</v>
      </c>
      <c r="D3869">
        <v>0.60840834418039702</v>
      </c>
      <c r="E3869">
        <v>0.56377610985706395</v>
      </c>
    </row>
    <row r="3870" spans="1:5" x14ac:dyDescent="0.2">
      <c r="A3870">
        <v>7.8935000000000005E-2</v>
      </c>
      <c r="B3870">
        <v>0.446482561049028</v>
      </c>
      <c r="C3870">
        <v>0.39762027397181599</v>
      </c>
      <c r="D3870">
        <v>0.60845732124944496</v>
      </c>
      <c r="E3870">
        <v>0.56384422886824703</v>
      </c>
    </row>
    <row r="3871" spans="1:5" x14ac:dyDescent="0.2">
      <c r="A3871">
        <v>7.8968333333333293E-2</v>
      </c>
      <c r="B3871">
        <v>0.44654586062643398</v>
      </c>
      <c r="C3871">
        <v>0.39768274509978502</v>
      </c>
      <c r="D3871">
        <v>0.60850629943032497</v>
      </c>
      <c r="E3871">
        <v>0.56391234143575397</v>
      </c>
    </row>
    <row r="3872" spans="1:5" x14ac:dyDescent="0.2">
      <c r="A3872">
        <v>7.9001666666666706E-2</v>
      </c>
      <c r="B3872">
        <v>0.44660917183683402</v>
      </c>
      <c r="C3872">
        <v>0.397745145281302</v>
      </c>
      <c r="D3872">
        <v>0.60855527888412098</v>
      </c>
      <c r="E3872">
        <v>0.56398044742467701</v>
      </c>
    </row>
    <row r="3873" spans="1:5" x14ac:dyDescent="0.2">
      <c r="A3873">
        <v>7.9034999999999994E-2</v>
      </c>
      <c r="B3873">
        <v>0.44667249284238097</v>
      </c>
      <c r="C3873">
        <v>0.39780747242772602</v>
      </c>
      <c r="D3873">
        <v>0.60860425977192001</v>
      </c>
      <c r="E3873">
        <v>0.56404854670010696</v>
      </c>
    </row>
    <row r="3874" spans="1:5" x14ac:dyDescent="0.2">
      <c r="A3874">
        <v>7.9068333333333296E-2</v>
      </c>
      <c r="B3874">
        <v>0.44673581542784202</v>
      </c>
      <c r="C3874">
        <v>0.39786972681980198</v>
      </c>
      <c r="D3874">
        <v>0.60865324225480499</v>
      </c>
      <c r="E3874">
        <v>0.56411663912713506</v>
      </c>
    </row>
    <row r="3875" spans="1:5" x14ac:dyDescent="0.2">
      <c r="A3875">
        <v>7.9101666666666695E-2</v>
      </c>
      <c r="B3875">
        <v>0.44679913000601901</v>
      </c>
      <c r="C3875">
        <v>0.39793190924799798</v>
      </c>
      <c r="D3875">
        <v>0.60870222649386396</v>
      </c>
      <c r="E3875">
        <v>0.564184724570853</v>
      </c>
    </row>
    <row r="3876" spans="1:5" x14ac:dyDescent="0.2">
      <c r="A3876">
        <v>7.9134999999999997E-2</v>
      </c>
      <c r="B3876">
        <v>0.44686242698971002</v>
      </c>
      <c r="C3876">
        <v>0.39799402050278299</v>
      </c>
      <c r="D3876">
        <v>0.60875121265017995</v>
      </c>
      <c r="E3876">
        <v>0.56425280289635105</v>
      </c>
    </row>
    <row r="3877" spans="1:5" x14ac:dyDescent="0.2">
      <c r="A3877">
        <v>7.9168333333333299E-2</v>
      </c>
      <c r="B3877">
        <v>0.44692569679171701</v>
      </c>
      <c r="C3877">
        <v>0.39805606137462801</v>
      </c>
      <c r="D3877">
        <v>0.60880020088483799</v>
      </c>
      <c r="E3877">
        <v>0.56432087396872199</v>
      </c>
    </row>
    <row r="3878" spans="1:5" x14ac:dyDescent="0.2">
      <c r="A3878">
        <v>7.9201666666666698E-2</v>
      </c>
      <c r="B3878">
        <v>0.44698892982484001</v>
      </c>
      <c r="C3878">
        <v>0.39811803265399998</v>
      </c>
      <c r="D3878">
        <v>0.60884919135892501</v>
      </c>
      <c r="E3878">
        <v>0.56438893765305598</v>
      </c>
    </row>
    <row r="3879" spans="1:5" x14ac:dyDescent="0.2">
      <c r="A3879">
        <v>7.9235E-2</v>
      </c>
      <c r="B3879">
        <v>0.44705211650187798</v>
      </c>
      <c r="C3879">
        <v>0.39817993513137101</v>
      </c>
      <c r="D3879">
        <v>0.60889818423352604</v>
      </c>
      <c r="E3879">
        <v>0.56445699381444403</v>
      </c>
    </row>
    <row r="3880" spans="1:5" x14ac:dyDescent="0.2">
      <c r="A3880">
        <v>7.9268333333333302E-2</v>
      </c>
      <c r="B3880">
        <v>0.44711524723563201</v>
      </c>
      <c r="C3880">
        <v>0.39824176959720903</v>
      </c>
      <c r="D3880">
        <v>0.608947179669725</v>
      </c>
      <c r="E3880">
        <v>0.56452504231797895</v>
      </c>
    </row>
    <row r="3881" spans="1:5" x14ac:dyDescent="0.2">
      <c r="A3881">
        <v>7.9301666666666701E-2</v>
      </c>
      <c r="B3881">
        <v>0.44717831243890299</v>
      </c>
      <c r="C3881">
        <v>0.398303536841983</v>
      </c>
      <c r="D3881">
        <v>0.60899617782860704</v>
      </c>
      <c r="E3881">
        <v>0.56459308302875</v>
      </c>
    </row>
    <row r="3882" spans="1:5" x14ac:dyDescent="0.2">
      <c r="A3882">
        <v>7.9335000000000003E-2</v>
      </c>
      <c r="B3882">
        <v>0.44724130252449001</v>
      </c>
      <c r="C3882">
        <v>0.398365237656162</v>
      </c>
      <c r="D3882">
        <v>0.60904517887125897</v>
      </c>
      <c r="E3882">
        <v>0.56466111581185097</v>
      </c>
    </row>
    <row r="3883" spans="1:5" x14ac:dyDescent="0.2">
      <c r="A3883">
        <v>7.9368333333333305E-2</v>
      </c>
      <c r="B3883">
        <v>0.44730420790519398</v>
      </c>
      <c r="C3883">
        <v>0.39842687283021699</v>
      </c>
      <c r="D3883">
        <v>0.60909418295876505</v>
      </c>
      <c r="E3883">
        <v>0.56472914053237</v>
      </c>
    </row>
    <row r="3884" spans="1:5" x14ac:dyDescent="0.2">
      <c r="A3884">
        <v>7.9401666666666704E-2</v>
      </c>
      <c r="B3884">
        <v>0.44736701899381498</v>
      </c>
      <c r="C3884">
        <v>0.39848844315461601</v>
      </c>
      <c r="D3884">
        <v>0.60914319025221098</v>
      </c>
      <c r="E3884">
        <v>0.56479715705540101</v>
      </c>
    </row>
    <row r="3885" spans="1:5" x14ac:dyDescent="0.2">
      <c r="A3885">
        <v>7.9435000000000006E-2</v>
      </c>
      <c r="B3885">
        <v>0.44742972620315302</v>
      </c>
      <c r="C3885">
        <v>0.39854994941982902</v>
      </c>
      <c r="D3885">
        <v>0.609192200912682</v>
      </c>
      <c r="E3885">
        <v>0.56486516524603503</v>
      </c>
    </row>
    <row r="3886" spans="1:5" x14ac:dyDescent="0.2">
      <c r="A3886">
        <v>7.9468333333333294E-2</v>
      </c>
      <c r="B3886">
        <v>0.44749231994600802</v>
      </c>
      <c r="C3886">
        <v>0.39861139241632498</v>
      </c>
      <c r="D3886">
        <v>0.60924121510126195</v>
      </c>
      <c r="E3886">
        <v>0.56493316496936097</v>
      </c>
    </row>
    <row r="3887" spans="1:5" x14ac:dyDescent="0.2">
      <c r="A3887">
        <v>7.9501666666666707E-2</v>
      </c>
      <c r="B3887">
        <v>0.447554790635181</v>
      </c>
      <c r="C3887">
        <v>0.39867277293457398</v>
      </c>
      <c r="D3887">
        <v>0.60929023297903795</v>
      </c>
      <c r="E3887">
        <v>0.56500115609047297</v>
      </c>
    </row>
    <row r="3888" spans="1:5" x14ac:dyDescent="0.2">
      <c r="A3888">
        <v>7.9534999999999995E-2</v>
      </c>
      <c r="B3888">
        <v>0.44761712868347098</v>
      </c>
      <c r="C3888">
        <v>0.39873409176504399</v>
      </c>
      <c r="D3888">
        <v>0.60933925470709405</v>
      </c>
      <c r="E3888">
        <v>0.56506913847446105</v>
      </c>
    </row>
    <row r="3889" spans="1:5" x14ac:dyDescent="0.2">
      <c r="A3889">
        <v>7.9568333333333296E-2</v>
      </c>
      <c r="B3889">
        <v>0.44767932450367998</v>
      </c>
      <c r="C3889">
        <v>0.39879534969820501</v>
      </c>
      <c r="D3889">
        <v>0.60938828044651605</v>
      </c>
      <c r="E3889">
        <v>0.56513711198641703</v>
      </c>
    </row>
    <row r="3890" spans="1:5" x14ac:dyDescent="0.2">
      <c r="A3890">
        <v>7.9601666666666696E-2</v>
      </c>
      <c r="B3890">
        <v>0.44774136850860702</v>
      </c>
      <c r="C3890">
        <v>0.39885654752452698</v>
      </c>
      <c r="D3890">
        <v>0.609437310358388</v>
      </c>
      <c r="E3890">
        <v>0.56520507649143104</v>
      </c>
    </row>
    <row r="3891" spans="1:5" x14ac:dyDescent="0.2">
      <c r="A3891">
        <v>7.9634999999999997E-2</v>
      </c>
      <c r="B3891">
        <v>0.44780325111105201</v>
      </c>
      <c r="C3891">
        <v>0.39891768603447803</v>
      </c>
      <c r="D3891">
        <v>0.60948634460379703</v>
      </c>
      <c r="E3891">
        <v>0.56527303185459499</v>
      </c>
    </row>
    <row r="3892" spans="1:5" x14ac:dyDescent="0.2">
      <c r="A3892">
        <v>7.9668333333333299E-2</v>
      </c>
      <c r="B3892">
        <v>0.44786496272381598</v>
      </c>
      <c r="C3892">
        <v>0.398978766018528</v>
      </c>
      <c r="D3892">
        <v>0.60953538334382695</v>
      </c>
      <c r="E3892">
        <v>0.56534097794100002</v>
      </c>
    </row>
    <row r="3893" spans="1:5" x14ac:dyDescent="0.2">
      <c r="A3893">
        <v>7.9701666666666698E-2</v>
      </c>
      <c r="B3893">
        <v>0.44792649375969901</v>
      </c>
      <c r="C3893">
        <v>0.39903978826714698</v>
      </c>
      <c r="D3893">
        <v>0.60958442673956403</v>
      </c>
      <c r="E3893">
        <v>0.56540891461573795</v>
      </c>
    </row>
    <row r="3894" spans="1:5" x14ac:dyDescent="0.2">
      <c r="A3894">
        <v>7.9735E-2</v>
      </c>
      <c r="B3894">
        <v>0.44798783463150099</v>
      </c>
      <c r="C3894">
        <v>0.39910075357080399</v>
      </c>
      <c r="D3894">
        <v>0.60963347495209297</v>
      </c>
      <c r="E3894">
        <v>0.5654768417439</v>
      </c>
    </row>
    <row r="3895" spans="1:5" x14ac:dyDescent="0.2">
      <c r="A3895">
        <v>7.9768333333333302E-2</v>
      </c>
      <c r="B3895">
        <v>0.44804897575202202</v>
      </c>
      <c r="C3895">
        <v>0.399161662719968</v>
      </c>
      <c r="D3895">
        <v>0.60968252814249901</v>
      </c>
      <c r="E3895">
        <v>0.56554475919057701</v>
      </c>
    </row>
    <row r="3896" spans="1:5" x14ac:dyDescent="0.2">
      <c r="A3896">
        <v>7.9801666666666701E-2</v>
      </c>
      <c r="B3896">
        <v>0.44810990753406299</v>
      </c>
      <c r="C3896">
        <v>0.39922251650510798</v>
      </c>
      <c r="D3896">
        <v>0.60973158647186698</v>
      </c>
      <c r="E3896">
        <v>0.56561266682086098</v>
      </c>
    </row>
    <row r="3897" spans="1:5" x14ac:dyDescent="0.2">
      <c r="A3897">
        <v>7.9835000000000003E-2</v>
      </c>
      <c r="B3897">
        <v>0.44817062039042399</v>
      </c>
      <c r="C3897">
        <v>0.39928331571669401</v>
      </c>
      <c r="D3897">
        <v>0.60978065010128202</v>
      </c>
      <c r="E3897">
        <v>0.56568056449984205</v>
      </c>
    </row>
    <row r="3898" spans="1:5" x14ac:dyDescent="0.2">
      <c r="A3898">
        <v>7.9868333333333305E-2</v>
      </c>
      <c r="B3898">
        <v>0.44823110473390398</v>
      </c>
      <c r="C3898">
        <v>0.399344061145195</v>
      </c>
      <c r="D3898">
        <v>0.60982971919183004</v>
      </c>
      <c r="E3898">
        <v>0.56574845209261204</v>
      </c>
    </row>
    <row r="3899" spans="1:5" x14ac:dyDescent="0.2">
      <c r="A3899">
        <v>7.9901666666666704E-2</v>
      </c>
      <c r="B3899">
        <v>0.44829135097730499</v>
      </c>
      <c r="C3899">
        <v>0.39940475358108102</v>
      </c>
      <c r="D3899">
        <v>0.60987879390459698</v>
      </c>
      <c r="E3899">
        <v>0.56581632946426197</v>
      </c>
    </row>
    <row r="3900" spans="1:5" x14ac:dyDescent="0.2">
      <c r="A3900">
        <v>7.9935000000000006E-2</v>
      </c>
      <c r="B3900">
        <v>0.44835134953342598</v>
      </c>
      <c r="C3900">
        <v>0.39946539381481999</v>
      </c>
      <c r="D3900">
        <v>0.60992787440066598</v>
      </c>
      <c r="E3900">
        <v>0.56588419647988397</v>
      </c>
    </row>
    <row r="3901" spans="1:5" x14ac:dyDescent="0.2">
      <c r="A3901">
        <v>7.9968333333333294E-2</v>
      </c>
      <c r="B3901">
        <v>0.44841109081506803</v>
      </c>
      <c r="C3901">
        <v>0.39952598263688299</v>
      </c>
      <c r="D3901">
        <v>0.60997696084112396</v>
      </c>
      <c r="E3901">
        <v>0.56595205300456897</v>
      </c>
    </row>
    <row r="3902" spans="1:5" x14ac:dyDescent="0.2">
      <c r="A3902">
        <v>8.0001666666666693E-2</v>
      </c>
      <c r="B3902">
        <v>0.44847056523547402</v>
      </c>
      <c r="C3902">
        <v>0.39958652083773799</v>
      </c>
      <c r="D3902">
        <v>0.61002605338705596</v>
      </c>
      <c r="E3902">
        <v>0.56601989890340798</v>
      </c>
    </row>
    <row r="3903" spans="1:5" x14ac:dyDescent="0.2">
      <c r="A3903">
        <v>8.0034999999999995E-2</v>
      </c>
      <c r="B3903">
        <v>0.44852976730618999</v>
      </c>
      <c r="C3903">
        <v>0.39964700920785501</v>
      </c>
      <c r="D3903">
        <v>0.610075152199546</v>
      </c>
      <c r="E3903">
        <v>0.56608773404149204</v>
      </c>
    </row>
    <row r="3904" spans="1:5" x14ac:dyDescent="0.2">
      <c r="A3904">
        <v>8.0068333333333297E-2</v>
      </c>
      <c r="B3904">
        <v>0.44858870565415898</v>
      </c>
      <c r="C3904">
        <v>0.39970744853770301</v>
      </c>
      <c r="D3904">
        <v>0.61012425743968102</v>
      </c>
      <c r="E3904">
        <v>0.56615555828391295</v>
      </c>
    </row>
    <row r="3905" spans="1:5" x14ac:dyDescent="0.2">
      <c r="A3905">
        <v>8.0101666666666696E-2</v>
      </c>
      <c r="B3905">
        <v>0.44864739194297498</v>
      </c>
      <c r="C3905">
        <v>0.39976783961775098</v>
      </c>
      <c r="D3905">
        <v>0.61017336926854504</v>
      </c>
      <c r="E3905">
        <v>0.56622337149576196</v>
      </c>
    </row>
    <row r="3906" spans="1:5" x14ac:dyDescent="0.2">
      <c r="A3906">
        <v>8.0134999999999998E-2</v>
      </c>
      <c r="B3906">
        <v>0.44870583783623103</v>
      </c>
      <c r="C3906">
        <v>0.39982818323846903</v>
      </c>
      <c r="D3906">
        <v>0.61022248784722299</v>
      </c>
      <c r="E3906">
        <v>0.56629117354212999</v>
      </c>
    </row>
    <row r="3907" spans="1:5" x14ac:dyDescent="0.2">
      <c r="A3907">
        <v>8.01683333333333E-2</v>
      </c>
      <c r="B3907">
        <v>0.44876405499751798</v>
      </c>
      <c r="C3907">
        <v>0.39988848019032702</v>
      </c>
      <c r="D3907">
        <v>0.61027161333680202</v>
      </c>
      <c r="E3907">
        <v>0.56635896428810795</v>
      </c>
    </row>
    <row r="3908" spans="1:5" x14ac:dyDescent="0.2">
      <c r="A3908">
        <v>8.0201666666666699E-2</v>
      </c>
      <c r="B3908">
        <v>0.44882205509043099</v>
      </c>
      <c r="C3908">
        <v>0.39994873126379299</v>
      </c>
      <c r="D3908">
        <v>0.61032074589836505</v>
      </c>
      <c r="E3908">
        <v>0.56642674359878897</v>
      </c>
    </row>
    <row r="3909" spans="1:5" x14ac:dyDescent="0.2">
      <c r="A3909">
        <v>8.0235000000000001E-2</v>
      </c>
      <c r="B3909">
        <v>0.44887984977856199</v>
      </c>
      <c r="C3909">
        <v>0.40000893724933601</v>
      </c>
      <c r="D3909">
        <v>0.61036988569299899</v>
      </c>
      <c r="E3909">
        <v>0.56649451133926199</v>
      </c>
    </row>
    <row r="3910" spans="1:5" x14ac:dyDescent="0.2">
      <c r="A3910">
        <v>8.0268333333333303E-2</v>
      </c>
      <c r="B3910">
        <v>0.44893745072550401</v>
      </c>
      <c r="C3910">
        <v>0.40006909893742698</v>
      </c>
      <c r="D3910">
        <v>0.610419032881788</v>
      </c>
      <c r="E3910">
        <v>0.56656226737462001</v>
      </c>
    </row>
    <row r="3911" spans="1:5" x14ac:dyDescent="0.2">
      <c r="A3911">
        <v>8.0301666666666702E-2</v>
      </c>
      <c r="B3911">
        <v>0.44899486959485002</v>
      </c>
      <c r="C3911">
        <v>0.400129217118535</v>
      </c>
      <c r="D3911">
        <v>0.610468187625818</v>
      </c>
      <c r="E3911">
        <v>0.56663001156995396</v>
      </c>
    </row>
    <row r="3912" spans="1:5" x14ac:dyDescent="0.2">
      <c r="A3912">
        <v>8.0335000000000004E-2</v>
      </c>
      <c r="B3912">
        <v>0.44905211805019302</v>
      </c>
      <c r="C3912">
        <v>0.40018929258312802</v>
      </c>
      <c r="D3912">
        <v>0.61051735008617403</v>
      </c>
      <c r="E3912">
        <v>0.56669774379035398</v>
      </c>
    </row>
    <row r="3913" spans="1:5" x14ac:dyDescent="0.2">
      <c r="A3913">
        <v>8.0368333333333306E-2</v>
      </c>
      <c r="B3913">
        <v>0.44910920775512497</v>
      </c>
      <c r="C3913">
        <v>0.40024932612167702</v>
      </c>
      <c r="D3913">
        <v>0.61056652042394199</v>
      </c>
      <c r="E3913">
        <v>0.56676546390091298</v>
      </c>
    </row>
    <row r="3914" spans="1:5" x14ac:dyDescent="0.2">
      <c r="A3914">
        <v>8.0401666666666705E-2</v>
      </c>
      <c r="B3914">
        <v>0.44916615037323998</v>
      </c>
      <c r="C3914">
        <v>0.40030931852465002</v>
      </c>
      <c r="D3914">
        <v>0.61061569880020505</v>
      </c>
      <c r="E3914">
        <v>0.56683317176672099</v>
      </c>
    </row>
    <row r="3915" spans="1:5" x14ac:dyDescent="0.2">
      <c r="A3915">
        <v>8.0435000000000006E-2</v>
      </c>
      <c r="B3915">
        <v>0.44922295756813002</v>
      </c>
      <c r="C3915">
        <v>0.40036927058251598</v>
      </c>
      <c r="D3915">
        <v>0.61066488537605002</v>
      </c>
      <c r="E3915">
        <v>0.56690086725287003</v>
      </c>
    </row>
    <row r="3916" spans="1:5" x14ac:dyDescent="0.2">
      <c r="A3916">
        <v>8.0468333333333295E-2</v>
      </c>
      <c r="B3916">
        <v>0.44927964100338902</v>
      </c>
      <c r="C3916">
        <v>0.40042918308574599</v>
      </c>
      <c r="D3916">
        <v>0.61071408031256302</v>
      </c>
      <c r="E3916">
        <v>0.56696855022445103</v>
      </c>
    </row>
    <row r="3917" spans="1:5" x14ac:dyDescent="0.2">
      <c r="A3917">
        <v>8.0501666666666694E-2</v>
      </c>
      <c r="B3917">
        <v>0.44933621234260901</v>
      </c>
      <c r="C3917">
        <v>0.40048905682480901</v>
      </c>
      <c r="D3917">
        <v>0.610763283770827</v>
      </c>
      <c r="E3917">
        <v>0.567036220546555</v>
      </c>
    </row>
    <row r="3918" spans="1:5" x14ac:dyDescent="0.2">
      <c r="A3918">
        <v>8.0534999999999995E-2</v>
      </c>
      <c r="B3918">
        <v>0.44939268324938297</v>
      </c>
      <c r="C3918">
        <v>0.40054889259017401</v>
      </c>
      <c r="D3918">
        <v>0.61081249591192899</v>
      </c>
      <c r="E3918">
        <v>0.56710387808427398</v>
      </c>
    </row>
    <row r="3919" spans="1:5" x14ac:dyDescent="0.2">
      <c r="A3919">
        <v>8.0568333333333297E-2</v>
      </c>
      <c r="B3919">
        <v>0.449449065387304</v>
      </c>
      <c r="C3919">
        <v>0.40060869117230902</v>
      </c>
      <c r="D3919">
        <v>0.61086171689695301</v>
      </c>
      <c r="E3919">
        <v>0.56717152270269899</v>
      </c>
    </row>
    <row r="3920" spans="1:5" x14ac:dyDescent="0.2">
      <c r="A3920">
        <v>8.0601666666666696E-2</v>
      </c>
      <c r="B3920">
        <v>0.44950537041996402</v>
      </c>
      <c r="C3920">
        <v>0.400668453361685</v>
      </c>
      <c r="D3920">
        <v>0.610910946886985</v>
      </c>
      <c r="E3920">
        <v>0.56723915426692095</v>
      </c>
    </row>
    <row r="3921" spans="1:5" x14ac:dyDescent="0.2">
      <c r="A3921">
        <v>8.0634999999999998E-2</v>
      </c>
      <c r="B3921">
        <v>0.44956161001095801</v>
      </c>
      <c r="C3921">
        <v>0.40072817994877202</v>
      </c>
      <c r="D3921">
        <v>0.61096018604310998</v>
      </c>
      <c r="E3921">
        <v>0.567306772642031</v>
      </c>
    </row>
    <row r="3922" spans="1:5" x14ac:dyDescent="0.2">
      <c r="A3922">
        <v>8.06683333333333E-2</v>
      </c>
      <c r="B3922">
        <v>0.44961779582387701</v>
      </c>
      <c r="C3922">
        <v>0.40078787172403701</v>
      </c>
      <c r="D3922">
        <v>0.61100943452641399</v>
      </c>
      <c r="E3922">
        <v>0.56737437769312105</v>
      </c>
    </row>
    <row r="3923" spans="1:5" x14ac:dyDescent="0.2">
      <c r="A3923">
        <v>8.0701666666666699E-2</v>
      </c>
      <c r="B3923">
        <v>0.44967393952231499</v>
      </c>
      <c r="C3923">
        <v>0.40084752947795099</v>
      </c>
      <c r="D3923">
        <v>0.61105869249798095</v>
      </c>
      <c r="E3923">
        <v>0.56744196928528201</v>
      </c>
    </row>
    <row r="3924" spans="1:5" x14ac:dyDescent="0.2">
      <c r="A3924">
        <v>8.0735000000000001E-2</v>
      </c>
      <c r="B3924">
        <v>0.449730052769865</v>
      </c>
      <c r="C3924">
        <v>0.40090715400098298</v>
      </c>
      <c r="D3924">
        <v>0.61110796011889601</v>
      </c>
      <c r="E3924">
        <v>0.56750954728360603</v>
      </c>
    </row>
    <row r="3925" spans="1:5" x14ac:dyDescent="0.2">
      <c r="A3925">
        <v>8.0768333333333303E-2</v>
      </c>
      <c r="B3925">
        <v>0.44978614723011801</v>
      </c>
      <c r="C3925">
        <v>0.400966746083602</v>
      </c>
      <c r="D3925">
        <v>0.61115723755024598</v>
      </c>
      <c r="E3925">
        <v>0.56757711155318302</v>
      </c>
    </row>
    <row r="3926" spans="1:5" x14ac:dyDescent="0.2">
      <c r="A3926">
        <v>8.0801666666666702E-2</v>
      </c>
      <c r="B3926">
        <v>0.449842234566669</v>
      </c>
      <c r="C3926">
        <v>0.40102630651627702</v>
      </c>
      <c r="D3926">
        <v>0.611206524953115</v>
      </c>
      <c r="E3926">
        <v>0.56764466195910501</v>
      </c>
    </row>
    <row r="3927" spans="1:5" x14ac:dyDescent="0.2">
      <c r="A3927">
        <v>8.0835000000000004E-2</v>
      </c>
      <c r="B3927">
        <v>0.44989832644311101</v>
      </c>
      <c r="C3927">
        <v>0.40108583608947901</v>
      </c>
      <c r="D3927">
        <v>0.61125582248858801</v>
      </c>
      <c r="E3927">
        <v>0.56771219836646303</v>
      </c>
    </row>
    <row r="3928" spans="1:5" x14ac:dyDescent="0.2">
      <c r="A3928">
        <v>8.0868333333333306E-2</v>
      </c>
      <c r="B3928">
        <v>0.44995443452303502</v>
      </c>
      <c r="C3928">
        <v>0.40114533559367599</v>
      </c>
      <c r="D3928">
        <v>0.61130513031775102</v>
      </c>
      <c r="E3928">
        <v>0.56777972064034798</v>
      </c>
    </row>
    <row r="3929" spans="1:5" x14ac:dyDescent="0.2">
      <c r="A3929">
        <v>8.0901666666666705E-2</v>
      </c>
      <c r="B3929">
        <v>0.45001057047003501</v>
      </c>
      <c r="C3929">
        <v>0.40120480581933698</v>
      </c>
      <c r="D3929">
        <v>0.61135444860168897</v>
      </c>
      <c r="E3929">
        <v>0.56784722864585202</v>
      </c>
    </row>
    <row r="3930" spans="1:5" x14ac:dyDescent="0.2">
      <c r="A3930">
        <v>8.0935000000000007E-2</v>
      </c>
      <c r="B3930">
        <v>0.45006674594770402</v>
      </c>
      <c r="C3930">
        <v>0.40126424755693202</v>
      </c>
      <c r="D3930">
        <v>0.611403777501487</v>
      </c>
      <c r="E3930">
        <v>0.56791472224806705</v>
      </c>
    </row>
    <row r="3931" spans="1:5" x14ac:dyDescent="0.2">
      <c r="A3931">
        <v>8.0968333333333295E-2</v>
      </c>
      <c r="B3931">
        <v>0.45012297261963502</v>
      </c>
      <c r="C3931">
        <v>0.401323661596931</v>
      </c>
      <c r="D3931">
        <v>0.61145311717823003</v>
      </c>
      <c r="E3931">
        <v>0.56798220131208199</v>
      </c>
    </row>
    <row r="3932" spans="1:5" x14ac:dyDescent="0.2">
      <c r="A3932">
        <v>8.1001666666666694E-2</v>
      </c>
      <c r="B3932">
        <v>0.45017926214911202</v>
      </c>
      <c r="C3932">
        <v>0.40138304872979003</v>
      </c>
      <c r="D3932">
        <v>0.61150246779299899</v>
      </c>
      <c r="E3932">
        <v>0.56804966570298998</v>
      </c>
    </row>
    <row r="3933" spans="1:5" x14ac:dyDescent="0.2">
      <c r="A3933">
        <v>8.1034999999999996E-2</v>
      </c>
      <c r="B3933">
        <v>0.45023562334751699</v>
      </c>
      <c r="C3933">
        <v>0.40144240963324102</v>
      </c>
      <c r="D3933">
        <v>0.61155182946450704</v>
      </c>
      <c r="E3933">
        <v>0.56811711528588205</v>
      </c>
    </row>
    <row r="3934" spans="1:5" x14ac:dyDescent="0.2">
      <c r="A3934">
        <v>8.1068333333333298E-2</v>
      </c>
      <c r="B3934">
        <v>0.45029205520369298</v>
      </c>
      <c r="C3934">
        <v>0.40150174459676702</v>
      </c>
      <c r="D3934">
        <v>0.61160120216554203</v>
      </c>
      <c r="E3934">
        <v>0.56818454992584899</v>
      </c>
    </row>
    <row r="3935" spans="1:5" x14ac:dyDescent="0.2">
      <c r="A3935">
        <v>8.1101666666666697E-2</v>
      </c>
      <c r="B3935">
        <v>0.45034855459335699</v>
      </c>
      <c r="C3935">
        <v>0.40156105382632401</v>
      </c>
      <c r="D3935">
        <v>0.61165058583750098</v>
      </c>
      <c r="E3935">
        <v>0.56825196948798196</v>
      </c>
    </row>
    <row r="3936" spans="1:5" x14ac:dyDescent="0.2">
      <c r="A3936">
        <v>8.1134999999999999E-2</v>
      </c>
      <c r="B3936">
        <v>0.45040511839222602</v>
      </c>
      <c r="C3936">
        <v>0.40162033752787202</v>
      </c>
      <c r="D3936">
        <v>0.61169998042177998</v>
      </c>
      <c r="E3936">
        <v>0.56831937383737297</v>
      </c>
    </row>
    <row r="3937" spans="1:5" x14ac:dyDescent="0.2">
      <c r="A3937">
        <v>8.1168333333333301E-2</v>
      </c>
      <c r="B3937">
        <v>0.45046174347601697</v>
      </c>
      <c r="C3937">
        <v>0.40167959590736801</v>
      </c>
      <c r="D3937">
        <v>0.61174938585977401</v>
      </c>
      <c r="E3937">
        <v>0.56838676283911305</v>
      </c>
    </row>
    <row r="3938" spans="1:5" x14ac:dyDescent="0.2">
      <c r="A3938">
        <v>8.12016666666667E-2</v>
      </c>
      <c r="B3938">
        <v>0.45051842672044701</v>
      </c>
      <c r="C3938">
        <v>0.40173882917077097</v>
      </c>
      <c r="D3938">
        <v>0.61179880209288096</v>
      </c>
      <c r="E3938">
        <v>0.56845413635829301</v>
      </c>
    </row>
    <row r="3939" spans="1:5" x14ac:dyDescent="0.2">
      <c r="A3939">
        <v>8.1235000000000002E-2</v>
      </c>
      <c r="B3939">
        <v>0.45057516500123401</v>
      </c>
      <c r="C3939">
        <v>0.40179803752403698</v>
      </c>
      <c r="D3939">
        <v>0.61184822906249403</v>
      </c>
      <c r="E3939">
        <v>0.56852149426000498</v>
      </c>
    </row>
    <row r="3940" spans="1:5" x14ac:dyDescent="0.2">
      <c r="A3940">
        <v>8.1268333333333304E-2</v>
      </c>
      <c r="B3940">
        <v>0.45063195519409399</v>
      </c>
      <c r="C3940">
        <v>0.401857221173125</v>
      </c>
      <c r="D3940">
        <v>0.611897666710012</v>
      </c>
      <c r="E3940">
        <v>0.56858883640933899</v>
      </c>
    </row>
    <row r="3941" spans="1:5" x14ac:dyDescent="0.2">
      <c r="A3941">
        <v>8.1301666666666703E-2</v>
      </c>
      <c r="B3941">
        <v>0.450688794174744</v>
      </c>
      <c r="C3941">
        <v>0.40191638032399302</v>
      </c>
      <c r="D3941">
        <v>0.61194711497683096</v>
      </c>
      <c r="E3941">
        <v>0.56865616267138797</v>
      </c>
    </row>
    <row r="3942" spans="1:5" x14ac:dyDescent="0.2">
      <c r="A3942">
        <v>8.1335000000000005E-2</v>
      </c>
      <c r="B3942">
        <v>0.45074567881890198</v>
      </c>
      <c r="C3942">
        <v>0.4019755151826</v>
      </c>
      <c r="D3942">
        <v>0.61199657380434502</v>
      </c>
      <c r="E3942">
        <v>0.56872347291124203</v>
      </c>
    </row>
    <row r="3943" spans="1:5" x14ac:dyDescent="0.2">
      <c r="A3943">
        <v>8.1368333333333306E-2</v>
      </c>
      <c r="B3943">
        <v>0.450802606002285</v>
      </c>
      <c r="C3943">
        <v>0.40203462595490203</v>
      </c>
      <c r="D3943">
        <v>0.61204604313395095</v>
      </c>
      <c r="E3943">
        <v>0.568790766993993</v>
      </c>
    </row>
    <row r="3944" spans="1:5" x14ac:dyDescent="0.2">
      <c r="A3944">
        <v>8.1401666666666705E-2</v>
      </c>
      <c r="B3944">
        <v>0.45085957260060899</v>
      </c>
      <c r="C3944">
        <v>0.40209371284685802</v>
      </c>
      <c r="D3944">
        <v>0.61209552290704605</v>
      </c>
      <c r="E3944">
        <v>0.56885804478473101</v>
      </c>
    </row>
    <row r="3945" spans="1:5" x14ac:dyDescent="0.2">
      <c r="A3945">
        <v>8.1434999999999994E-2</v>
      </c>
      <c r="B3945">
        <v>0.45091657548959302</v>
      </c>
      <c r="C3945">
        <v>0.40215277606442601</v>
      </c>
      <c r="D3945">
        <v>0.612145013065026</v>
      </c>
      <c r="E3945">
        <v>0.56892530614854897</v>
      </c>
    </row>
    <row r="3946" spans="1:5" x14ac:dyDescent="0.2">
      <c r="A3946">
        <v>8.1468333333333295E-2</v>
      </c>
      <c r="B3946">
        <v>0.45097361154495202</v>
      </c>
      <c r="C3946">
        <v>0.40221181581356302</v>
      </c>
      <c r="D3946">
        <v>0.612194513549285</v>
      </c>
      <c r="E3946">
        <v>0.56899255095053702</v>
      </c>
    </row>
    <row r="3947" spans="1:5" x14ac:dyDescent="0.2">
      <c r="A3947">
        <v>8.1501666666666694E-2</v>
      </c>
      <c r="B3947">
        <v>0.45103067764240501</v>
      </c>
      <c r="C3947">
        <v>0.40227083230022798</v>
      </c>
      <c r="D3947">
        <v>0.61224402430122205</v>
      </c>
      <c r="E3947">
        <v>0.56905977905578697</v>
      </c>
    </row>
    <row r="3948" spans="1:5" x14ac:dyDescent="0.2">
      <c r="A3948">
        <v>8.1534999999999996E-2</v>
      </c>
      <c r="B3948">
        <v>0.45108777065766698</v>
      </c>
      <c r="C3948">
        <v>0.40232982573037901</v>
      </c>
      <c r="D3948">
        <v>0.61229354526223101</v>
      </c>
      <c r="E3948">
        <v>0.56912699032938996</v>
      </c>
    </row>
    <row r="3949" spans="1:5" x14ac:dyDescent="0.2">
      <c r="A3949">
        <v>8.1568333333333298E-2</v>
      </c>
      <c r="B3949">
        <v>0.45114488746645698</v>
      </c>
      <c r="C3949">
        <v>0.40238879630997298</v>
      </c>
      <c r="D3949">
        <v>0.61234307637370899</v>
      </c>
      <c r="E3949">
        <v>0.56919418463643701</v>
      </c>
    </row>
    <row r="3950" spans="1:5" x14ac:dyDescent="0.2">
      <c r="A3950">
        <v>8.1601666666666697E-2</v>
      </c>
      <c r="B3950">
        <v>0.45120202494449102</v>
      </c>
      <c r="C3950">
        <v>0.40244774424496899</v>
      </c>
      <c r="D3950">
        <v>0.61239261757705199</v>
      </c>
      <c r="E3950">
        <v>0.56926136184202003</v>
      </c>
    </row>
    <row r="3951" spans="1:5" x14ac:dyDescent="0.2">
      <c r="A3951">
        <v>8.1634999999999999E-2</v>
      </c>
      <c r="B3951">
        <v>0.45125917996748699</v>
      </c>
      <c r="C3951">
        <v>0.40250666974132498</v>
      </c>
      <c r="D3951">
        <v>0.61244216881365598</v>
      </c>
      <c r="E3951">
        <v>0.56932852181122995</v>
      </c>
    </row>
    <row r="3952" spans="1:5" x14ac:dyDescent="0.2">
      <c r="A3952">
        <v>8.1668333333333301E-2</v>
      </c>
      <c r="B3952">
        <v>0.451316349411162</v>
      </c>
      <c r="C3952">
        <v>0.40256557300499801</v>
      </c>
      <c r="D3952">
        <v>0.61249173002491697</v>
      </c>
      <c r="E3952">
        <v>0.56939566440915801</v>
      </c>
    </row>
    <row r="3953" spans="1:5" x14ac:dyDescent="0.2">
      <c r="A3953">
        <v>8.17016666666667E-2</v>
      </c>
      <c r="B3953">
        <v>0.45137353015123199</v>
      </c>
      <c r="C3953">
        <v>0.40262445424194598</v>
      </c>
      <c r="D3953">
        <v>0.61254130115223104</v>
      </c>
      <c r="E3953">
        <v>0.56946278950089602</v>
      </c>
    </row>
    <row r="3954" spans="1:5" x14ac:dyDescent="0.2">
      <c r="A3954">
        <v>8.1735000000000002E-2</v>
      </c>
      <c r="B3954">
        <v>0.45143071906341398</v>
      </c>
      <c r="C3954">
        <v>0.40268331365812798</v>
      </c>
      <c r="D3954">
        <v>0.61259088213699497</v>
      </c>
      <c r="E3954">
        <v>0.569529896951534</v>
      </c>
    </row>
    <row r="3955" spans="1:5" x14ac:dyDescent="0.2">
      <c r="A3955">
        <v>8.1768333333333304E-2</v>
      </c>
      <c r="B3955">
        <v>0.451487913023427</v>
      </c>
      <c r="C3955">
        <v>0.40274215145949999</v>
      </c>
      <c r="D3955">
        <v>0.61264047292060297</v>
      </c>
      <c r="E3955">
        <v>0.56959698662616398</v>
      </c>
    </row>
    <row r="3956" spans="1:5" x14ac:dyDescent="0.2">
      <c r="A3956">
        <v>8.1801666666666703E-2</v>
      </c>
      <c r="B3956">
        <v>0.45154510890698701</v>
      </c>
      <c r="C3956">
        <v>0.40280096785202302</v>
      </c>
      <c r="D3956">
        <v>0.61269007344445403</v>
      </c>
      <c r="E3956">
        <v>0.56966405838987799</v>
      </c>
    </row>
    <row r="3957" spans="1:5" x14ac:dyDescent="0.2">
      <c r="A3957">
        <v>8.1835000000000005E-2</v>
      </c>
      <c r="B3957">
        <v>0.45160230358981002</v>
      </c>
      <c r="C3957">
        <v>0.402859763041652</v>
      </c>
      <c r="D3957">
        <v>0.61273968364994102</v>
      </c>
      <c r="E3957">
        <v>0.56973111210776595</v>
      </c>
    </row>
    <row r="3958" spans="1:5" x14ac:dyDescent="0.2">
      <c r="A3958">
        <v>8.1868333333333307E-2</v>
      </c>
      <c r="B3958">
        <v>0.45165949394761501</v>
      </c>
      <c r="C3958">
        <v>0.40291853723434701</v>
      </c>
      <c r="D3958">
        <v>0.61278930347846305</v>
      </c>
      <c r="E3958">
        <v>0.56979814764491998</v>
      </c>
    </row>
    <row r="3959" spans="1:5" x14ac:dyDescent="0.2">
      <c r="A3959">
        <v>8.1901666666666706E-2</v>
      </c>
      <c r="B3959">
        <v>0.45171667685611799</v>
      </c>
      <c r="C3959">
        <v>0.40297729063606402</v>
      </c>
      <c r="D3959">
        <v>0.612838932871414</v>
      </c>
      <c r="E3959">
        <v>0.56986516486643102</v>
      </c>
    </row>
    <row r="3960" spans="1:5" x14ac:dyDescent="0.2">
      <c r="A3960">
        <v>8.1934999999999994E-2</v>
      </c>
      <c r="B3960">
        <v>0.45177384919103702</v>
      </c>
      <c r="C3960">
        <v>0.40303602345276301</v>
      </c>
      <c r="D3960">
        <v>0.61288857177019096</v>
      </c>
      <c r="E3960">
        <v>0.56993216363739096</v>
      </c>
    </row>
    <row r="3961" spans="1:5" x14ac:dyDescent="0.2">
      <c r="A3961">
        <v>8.1968333333333296E-2</v>
      </c>
      <c r="B3961">
        <v>0.45183100782808699</v>
      </c>
      <c r="C3961">
        <v>0.40309473589040001</v>
      </c>
      <c r="D3961">
        <v>0.61293822011619004</v>
      </c>
      <c r="E3961">
        <v>0.56999914382288996</v>
      </c>
    </row>
    <row r="3962" spans="1:5" x14ac:dyDescent="0.2">
      <c r="A3962">
        <v>8.2001666666666695E-2</v>
      </c>
      <c r="B3962">
        <v>0.45188814964307</v>
      </c>
      <c r="C3962">
        <v>0.40315342815493499</v>
      </c>
      <c r="D3962">
        <v>0.61298787785080699</v>
      </c>
      <c r="E3962">
        <v>0.57006610528802004</v>
      </c>
    </row>
    <row r="3963" spans="1:5" x14ac:dyDescent="0.2">
      <c r="A3963">
        <v>8.2034999999999997E-2</v>
      </c>
      <c r="B3963">
        <v>0.45194527227515302</v>
      </c>
      <c r="C3963">
        <v>0.40321210045232497</v>
      </c>
      <c r="D3963">
        <v>0.61303754491543805</v>
      </c>
      <c r="E3963">
        <v>0.570133047897873</v>
      </c>
    </row>
    <row r="3964" spans="1:5" x14ac:dyDescent="0.2">
      <c r="A3964">
        <v>8.2068333333333299E-2</v>
      </c>
      <c r="B3964">
        <v>0.45200237599269799</v>
      </c>
      <c r="C3964">
        <v>0.40327075298852699</v>
      </c>
      <c r="D3964">
        <v>0.61308722125147896</v>
      </c>
      <c r="E3964">
        <v>0.57019997151753898</v>
      </c>
    </row>
    <row r="3965" spans="1:5" x14ac:dyDescent="0.2">
      <c r="A3965">
        <v>8.2101666666666698E-2</v>
      </c>
      <c r="B3965">
        <v>0.45205946162969002</v>
      </c>
      <c r="C3965">
        <v>0.40332938596950002</v>
      </c>
      <c r="D3965">
        <v>0.61313690680032595</v>
      </c>
      <c r="E3965">
        <v>0.57026687601211001</v>
      </c>
    </row>
    <row r="3966" spans="1:5" x14ac:dyDescent="0.2">
      <c r="A3966">
        <v>8.2135E-2</v>
      </c>
      <c r="B3966">
        <v>0.45211653002011198</v>
      </c>
      <c r="C3966">
        <v>0.40338799960120197</v>
      </c>
      <c r="D3966">
        <v>0.61318660150337601</v>
      </c>
      <c r="E3966">
        <v>0.57033376124667701</v>
      </c>
    </row>
    <row r="3967" spans="1:5" x14ac:dyDescent="0.2">
      <c r="A3967">
        <v>8.2168333333333302E-2</v>
      </c>
      <c r="B3967">
        <v>0.45217358199794599</v>
      </c>
      <c r="C3967">
        <v>0.40344659408959099</v>
      </c>
      <c r="D3967">
        <v>0.613236305302024</v>
      </c>
      <c r="E3967">
        <v>0.57040062708633199</v>
      </c>
    </row>
    <row r="3968" spans="1:5" x14ac:dyDescent="0.2">
      <c r="A3968">
        <v>8.2201666666666701E-2</v>
      </c>
      <c r="B3968">
        <v>0.45223061839717499</v>
      </c>
      <c r="C3968">
        <v>0.403505169640624</v>
      </c>
      <c r="D3968">
        <v>0.61328601813766703</v>
      </c>
      <c r="E3968">
        <v>0.57046747339616499</v>
      </c>
    </row>
    <row r="3969" spans="1:5" x14ac:dyDescent="0.2">
      <c r="A3969">
        <v>8.2235000000000003E-2</v>
      </c>
      <c r="B3969">
        <v>0.45228764005178401</v>
      </c>
      <c r="C3969">
        <v>0.40356372646026001</v>
      </c>
      <c r="D3969">
        <v>0.61333573995170099</v>
      </c>
      <c r="E3969">
        <v>0.57053430004126804</v>
      </c>
    </row>
    <row r="3970" spans="1:5" x14ac:dyDescent="0.2">
      <c r="A3970">
        <v>8.2268333333333304E-2</v>
      </c>
      <c r="B3970">
        <v>0.45234464779575501</v>
      </c>
      <c r="C3970">
        <v>0.40362226475445701</v>
      </c>
      <c r="D3970">
        <v>0.61338547068552096</v>
      </c>
      <c r="E3970">
        <v>0.57060110688673205</v>
      </c>
    </row>
    <row r="3971" spans="1:5" x14ac:dyDescent="0.2">
      <c r="A3971">
        <v>8.2301666666666703E-2</v>
      </c>
      <c r="B3971">
        <v>0.45240164246307002</v>
      </c>
      <c r="C3971">
        <v>0.40368078472917202</v>
      </c>
      <c r="D3971">
        <v>0.61343521028052395</v>
      </c>
      <c r="E3971">
        <v>0.57066789379764904</v>
      </c>
    </row>
    <row r="3972" spans="1:5" x14ac:dyDescent="0.2">
      <c r="A3972">
        <v>8.2335000000000005E-2</v>
      </c>
      <c r="B3972">
        <v>0.45245862488771499</v>
      </c>
      <c r="C3972">
        <v>0.40373928659036301</v>
      </c>
      <c r="D3972">
        <v>0.61348495867810604</v>
      </c>
      <c r="E3972">
        <v>0.57073466063911005</v>
      </c>
    </row>
    <row r="3973" spans="1:5" x14ac:dyDescent="0.2">
      <c r="A3973">
        <v>8.2368333333333293E-2</v>
      </c>
      <c r="B3973">
        <v>0.45251559590367102</v>
      </c>
      <c r="C3973">
        <v>0.40379777054398902</v>
      </c>
      <c r="D3973">
        <v>0.61353471581966301</v>
      </c>
      <c r="E3973">
        <v>0.57080140727620499</v>
      </c>
    </row>
    <row r="3974" spans="1:5" x14ac:dyDescent="0.2">
      <c r="A3974">
        <v>8.2401666666666706E-2</v>
      </c>
      <c r="B3974">
        <v>0.452572556344921</v>
      </c>
      <c r="C3974">
        <v>0.40385623679600702</v>
      </c>
      <c r="D3974">
        <v>0.61358448164659096</v>
      </c>
      <c r="E3974">
        <v>0.57086813357402799</v>
      </c>
    </row>
    <row r="3975" spans="1:5" x14ac:dyDescent="0.2">
      <c r="A3975">
        <v>8.2434999999999994E-2</v>
      </c>
      <c r="B3975">
        <v>0.45262950704545002</v>
      </c>
      <c r="C3975">
        <v>0.40391468555237597</v>
      </c>
      <c r="D3975">
        <v>0.61363425610028599</v>
      </c>
      <c r="E3975">
        <v>0.57093483939766698</v>
      </c>
    </row>
    <row r="3976" spans="1:5" x14ac:dyDescent="0.2">
      <c r="A3976">
        <v>8.2468333333333296E-2</v>
      </c>
      <c r="B3976">
        <v>0.45268644883923898</v>
      </c>
      <c r="C3976">
        <v>0.40397311701905297</v>
      </c>
      <c r="D3976">
        <v>0.61368403912214398</v>
      </c>
      <c r="E3976">
        <v>0.57100152461221598</v>
      </c>
    </row>
    <row r="3977" spans="1:5" x14ac:dyDescent="0.2">
      <c r="A3977">
        <v>8.2501666666666695E-2</v>
      </c>
      <c r="B3977">
        <v>0.45274338256027302</v>
      </c>
      <c r="C3977">
        <v>0.40403153140199599</v>
      </c>
      <c r="D3977">
        <v>0.61373383065356202</v>
      </c>
      <c r="E3977">
        <v>0.57106818908276502</v>
      </c>
    </row>
    <row r="3978" spans="1:5" x14ac:dyDescent="0.2">
      <c r="A3978">
        <v>8.2534999999999997E-2</v>
      </c>
      <c r="B3978">
        <v>0.45280030904253399</v>
      </c>
      <c r="C3978">
        <v>0.404089928907163</v>
      </c>
      <c r="D3978">
        <v>0.613783630635935</v>
      </c>
      <c r="E3978">
        <v>0.57113483267440501</v>
      </c>
    </row>
    <row r="3979" spans="1:5" x14ac:dyDescent="0.2">
      <c r="A3979">
        <v>8.2568333333333299E-2</v>
      </c>
      <c r="B3979">
        <v>0.45285722912000598</v>
      </c>
      <c r="C3979">
        <v>0.40414830974051302</v>
      </c>
      <c r="D3979">
        <v>0.61383343901066001</v>
      </c>
      <c r="E3979">
        <v>0.57120145525222799</v>
      </c>
    </row>
    <row r="3980" spans="1:5" x14ac:dyDescent="0.2">
      <c r="A3980">
        <v>8.2601666666666698E-2</v>
      </c>
      <c r="B3980">
        <v>0.45291414362667198</v>
      </c>
      <c r="C3980">
        <v>0.40420667410800198</v>
      </c>
      <c r="D3980">
        <v>0.61388325571913205</v>
      </c>
      <c r="E3980">
        <v>0.57126805668132596</v>
      </c>
    </row>
    <row r="3981" spans="1:5" x14ac:dyDescent="0.2">
      <c r="A3981">
        <v>8.2635E-2</v>
      </c>
      <c r="B3981">
        <v>0.452971053396514</v>
      </c>
      <c r="C3981">
        <v>0.40426502221559002</v>
      </c>
      <c r="D3981">
        <v>0.61393308070274899</v>
      </c>
      <c r="E3981">
        <v>0.57133463682678798</v>
      </c>
    </row>
    <row r="3982" spans="1:5" x14ac:dyDescent="0.2">
      <c r="A3982">
        <v>8.2668333333333302E-2</v>
      </c>
      <c r="B3982">
        <v>0.45302795926351602</v>
      </c>
      <c r="C3982">
        <v>0.40432335426923299</v>
      </c>
      <c r="D3982">
        <v>0.61398291390290505</v>
      </c>
      <c r="E3982">
        <v>0.57140119555370705</v>
      </c>
    </row>
    <row r="3983" spans="1:5" x14ac:dyDescent="0.2">
      <c r="A3983">
        <v>8.2701666666666701E-2</v>
      </c>
      <c r="B3983">
        <v>0.45308486206166199</v>
      </c>
      <c r="C3983">
        <v>0.40438167047488999</v>
      </c>
      <c r="D3983">
        <v>0.61403275526099699</v>
      </c>
      <c r="E3983">
        <v>0.57146773272717399</v>
      </c>
    </row>
    <row r="3984" spans="1:5" x14ac:dyDescent="0.2">
      <c r="A3984">
        <v>8.2735000000000003E-2</v>
      </c>
      <c r="B3984">
        <v>0.453141762624934</v>
      </c>
      <c r="C3984">
        <v>0.40443997103851997</v>
      </c>
      <c r="D3984">
        <v>0.61408260471842102</v>
      </c>
      <c r="E3984">
        <v>0.57153424821228105</v>
      </c>
    </row>
    <row r="3985" spans="1:5" x14ac:dyDescent="0.2">
      <c r="A3985">
        <v>8.2768333333333305E-2</v>
      </c>
      <c r="B3985">
        <v>0.45319866178731499</v>
      </c>
      <c r="C3985">
        <v>0.40449825616607898</v>
      </c>
      <c r="D3985">
        <v>0.61413246221657303</v>
      </c>
      <c r="E3985">
        <v>0.57160074187411702</v>
      </c>
    </row>
    <row r="3986" spans="1:5" x14ac:dyDescent="0.2">
      <c r="A3986">
        <v>8.2801666666666704E-2</v>
      </c>
      <c r="B3986">
        <v>0.45325556038278902</v>
      </c>
      <c r="C3986">
        <v>0.40455652606352599</v>
      </c>
      <c r="D3986">
        <v>0.614182327696849</v>
      </c>
      <c r="E3986">
        <v>0.57166721357777595</v>
      </c>
    </row>
    <row r="3987" spans="1:5" x14ac:dyDescent="0.2">
      <c r="A3987">
        <v>8.2835000000000006E-2</v>
      </c>
      <c r="B3987">
        <v>0.45331245924533897</v>
      </c>
      <c r="C3987">
        <v>0.40461478093681802</v>
      </c>
      <c r="D3987">
        <v>0.61423220110064503</v>
      </c>
      <c r="E3987">
        <v>0.57173366318834695</v>
      </c>
    </row>
    <row r="3988" spans="1:5" x14ac:dyDescent="0.2">
      <c r="A3988">
        <v>8.2868333333333294E-2</v>
      </c>
      <c r="B3988">
        <v>0.453369359208948</v>
      </c>
      <c r="C3988">
        <v>0.40467302099191499</v>
      </c>
      <c r="D3988">
        <v>0.614282082369358</v>
      </c>
      <c r="E3988">
        <v>0.57180009057092296</v>
      </c>
    </row>
    <row r="3989" spans="1:5" x14ac:dyDescent="0.2">
      <c r="A3989">
        <v>8.2901666666666707E-2</v>
      </c>
      <c r="B3989">
        <v>0.45342626110759898</v>
      </c>
      <c r="C3989">
        <v>0.40473124643477298</v>
      </c>
      <c r="D3989">
        <v>0.61433197144438301</v>
      </c>
      <c r="E3989">
        <v>0.57186649559059399</v>
      </c>
    </row>
    <row r="3990" spans="1:5" x14ac:dyDescent="0.2">
      <c r="A3990">
        <v>8.2934999999999995E-2</v>
      </c>
      <c r="B3990">
        <v>0.45348316577527498</v>
      </c>
      <c r="C3990">
        <v>0.40478945747134998</v>
      </c>
      <c r="D3990">
        <v>0.61438186826711705</v>
      </c>
      <c r="E3990">
        <v>0.57193287811245297</v>
      </c>
    </row>
    <row r="3991" spans="1:5" x14ac:dyDescent="0.2">
      <c r="A3991">
        <v>8.2968333333333297E-2</v>
      </c>
      <c r="B3991">
        <v>0.45354007404595997</v>
      </c>
      <c r="C3991">
        <v>0.404847654307605</v>
      </c>
      <c r="D3991">
        <v>0.614431772778956</v>
      </c>
      <c r="E3991">
        <v>0.57199923800158903</v>
      </c>
    </row>
    <row r="3992" spans="1:5" x14ac:dyDescent="0.2">
      <c r="A3992">
        <v>8.3001666666666696E-2</v>
      </c>
      <c r="B3992">
        <v>0.45359698675361498</v>
      </c>
      <c r="C3992">
        <v>0.40490583714949602</v>
      </c>
      <c r="D3992">
        <v>0.61448168492129496</v>
      </c>
      <c r="E3992">
        <v>0.57206557512309497</v>
      </c>
    </row>
    <row r="3993" spans="1:5" x14ac:dyDescent="0.2">
      <c r="A3993">
        <v>8.3034999999999998E-2</v>
      </c>
      <c r="B3993">
        <v>0.45365390453046101</v>
      </c>
      <c r="C3993">
        <v>0.40496400620298001</v>
      </c>
      <c r="D3993">
        <v>0.61453160463553103</v>
      </c>
      <c r="E3993">
        <v>0.57213188934206105</v>
      </c>
    </row>
    <row r="3994" spans="1:5" x14ac:dyDescent="0.2">
      <c r="A3994">
        <v>8.30683333333333E-2</v>
      </c>
      <c r="B3994">
        <v>0.45371082731388301</v>
      </c>
      <c r="C3994">
        <v>0.405022161674016</v>
      </c>
      <c r="D3994">
        <v>0.61458153186305997</v>
      </c>
      <c r="E3994">
        <v>0.57219818052357996</v>
      </c>
    </row>
    <row r="3995" spans="1:5" x14ac:dyDescent="0.2">
      <c r="A3995">
        <v>8.3101666666666699E-2</v>
      </c>
      <c r="B3995">
        <v>0.453767754891788</v>
      </c>
      <c r="C3995">
        <v>0.40508030376856002</v>
      </c>
      <c r="D3995">
        <v>0.614631466545278</v>
      </c>
      <c r="E3995">
        <v>0.57226444853274105</v>
      </c>
    </row>
    <row r="3996" spans="1:5" x14ac:dyDescent="0.2">
      <c r="A3996">
        <v>8.3135000000000001E-2</v>
      </c>
      <c r="B3996">
        <v>0.45382468705208201</v>
      </c>
      <c r="C3996">
        <v>0.40513843269257199</v>
      </c>
      <c r="D3996">
        <v>0.614681408623581</v>
      </c>
      <c r="E3996">
        <v>0.57233069323463803</v>
      </c>
    </row>
    <row r="3997" spans="1:5" x14ac:dyDescent="0.2">
      <c r="A3997">
        <v>8.3168333333333302E-2</v>
      </c>
      <c r="B3997">
        <v>0.45388162358266898</v>
      </c>
      <c r="C3997">
        <v>0.40519654865200999</v>
      </c>
      <c r="D3997">
        <v>0.61473135803936496</v>
      </c>
      <c r="E3997">
        <v>0.57239691449436003</v>
      </c>
    </row>
    <row r="3998" spans="1:5" x14ac:dyDescent="0.2">
      <c r="A3998">
        <v>8.3201666666666702E-2</v>
      </c>
      <c r="B3998">
        <v>0.45393856427145701</v>
      </c>
      <c r="C3998">
        <v>0.40525465185282999</v>
      </c>
      <c r="D3998">
        <v>0.61478131473402697</v>
      </c>
      <c r="E3998">
        <v>0.57246311217699897</v>
      </c>
    </row>
    <row r="3999" spans="1:5" x14ac:dyDescent="0.2">
      <c r="A3999">
        <v>8.3235000000000003E-2</v>
      </c>
      <c r="B3999">
        <v>0.45399550890634999</v>
      </c>
      <c r="C3999">
        <v>0.40531274250099197</v>
      </c>
      <c r="D3999">
        <v>0.61483127864896203</v>
      </c>
      <c r="E3999">
        <v>0.57252928614764698</v>
      </c>
    </row>
    <row r="4000" spans="1:5" x14ac:dyDescent="0.2">
      <c r="A4000">
        <v>8.3268333333333305E-2</v>
      </c>
      <c r="B4000">
        <v>0.45405245727525501</v>
      </c>
      <c r="C4000">
        <v>0.40537082080245301</v>
      </c>
      <c r="D4000">
        <v>0.61488124972556601</v>
      </c>
      <c r="E4000">
        <v>0.57259543627139398</v>
      </c>
    </row>
    <row r="4001" spans="1:5" x14ac:dyDescent="0.2">
      <c r="A4001">
        <v>8.3301666666666704E-2</v>
      </c>
      <c r="B4001">
        <v>0.454109409166078</v>
      </c>
      <c r="C4001">
        <v>0.40542888696317098</v>
      </c>
      <c r="D4001">
        <v>0.61493122790523602</v>
      </c>
      <c r="E4001">
        <v>0.57266156241333299</v>
      </c>
    </row>
    <row r="4002" spans="1:5" x14ac:dyDescent="0.2">
      <c r="A4002">
        <v>8.3335000000000006E-2</v>
      </c>
      <c r="B4002">
        <v>0.45416636436672297</v>
      </c>
      <c r="C4002">
        <v>0.405486941189103</v>
      </c>
      <c r="D4002">
        <v>0.61498121312936804</v>
      </c>
      <c r="E4002">
        <v>0.57272766443855305</v>
      </c>
    </row>
    <row r="4003" spans="1:5" x14ac:dyDescent="0.2">
      <c r="A4003">
        <v>8.3368333333333294E-2</v>
      </c>
      <c r="B4003">
        <v>0.45422332266509802</v>
      </c>
      <c r="C4003">
        <v>0.405544983686209</v>
      </c>
      <c r="D4003">
        <v>0.61503120533935696</v>
      </c>
      <c r="E4003">
        <v>0.57279374221214696</v>
      </c>
    </row>
    <row r="4004" spans="1:5" x14ac:dyDescent="0.2">
      <c r="A4004">
        <v>8.3401666666666693E-2</v>
      </c>
      <c r="B4004">
        <v>0.45428028384910701</v>
      </c>
      <c r="C4004">
        <v>0.40560301466044602</v>
      </c>
      <c r="D4004">
        <v>0.61508120447659997</v>
      </c>
      <c r="E4004">
        <v>0.57285979559920597</v>
      </c>
    </row>
    <row r="4005" spans="1:5" x14ac:dyDescent="0.2">
      <c r="A4005">
        <v>8.3434999999999995E-2</v>
      </c>
      <c r="B4005">
        <v>0.45433724770665701</v>
      </c>
      <c r="C4005">
        <v>0.40566103431777201</v>
      </c>
      <c r="D4005">
        <v>0.61513121048249397</v>
      </c>
      <c r="E4005">
        <v>0.57292582446482099</v>
      </c>
    </row>
    <row r="4006" spans="1:5" x14ac:dyDescent="0.2">
      <c r="A4006">
        <v>8.3468333333333297E-2</v>
      </c>
      <c r="B4006">
        <v>0.454394214025654</v>
      </c>
      <c r="C4006">
        <v>0.40571904286414401</v>
      </c>
      <c r="D4006">
        <v>0.61518122329843306</v>
      </c>
      <c r="E4006">
        <v>0.57299182867408305</v>
      </c>
    </row>
    <row r="4007" spans="1:5" x14ac:dyDescent="0.2">
      <c r="A4007">
        <v>8.3501666666666696E-2</v>
      </c>
      <c r="B4007">
        <v>0.45445118259400302</v>
      </c>
      <c r="C4007">
        <v>0.40577704050552099</v>
      </c>
      <c r="D4007">
        <v>0.61523124286581399</v>
      </c>
      <c r="E4007">
        <v>0.57305780809208495</v>
      </c>
    </row>
    <row r="4008" spans="1:5" x14ac:dyDescent="0.2">
      <c r="A4008">
        <v>8.3534999999999998E-2</v>
      </c>
      <c r="B4008">
        <v>0.45450815319961002</v>
      </c>
      <c r="C4008">
        <v>0.40583502744786099</v>
      </c>
      <c r="D4008">
        <v>0.61528126912603298</v>
      </c>
      <c r="E4008">
        <v>0.57312376258391495</v>
      </c>
    </row>
    <row r="4009" spans="1:5" x14ac:dyDescent="0.2">
      <c r="A4009">
        <v>8.35683333333333E-2</v>
      </c>
      <c r="B4009">
        <v>0.45456512563037998</v>
      </c>
      <c r="C4009">
        <v>0.40589300389712102</v>
      </c>
      <c r="D4009">
        <v>0.61533130202048703</v>
      </c>
      <c r="E4009">
        <v>0.57318969201466796</v>
      </c>
    </row>
    <row r="4010" spans="1:5" x14ac:dyDescent="0.2">
      <c r="A4010">
        <v>8.3601666666666699E-2</v>
      </c>
      <c r="B4010">
        <v>0.45462209967422101</v>
      </c>
      <c r="C4010">
        <v>0.40595097005926001</v>
      </c>
      <c r="D4010">
        <v>0.615381341490571</v>
      </c>
      <c r="E4010">
        <v>0.57325559624943201</v>
      </c>
    </row>
    <row r="4011" spans="1:5" x14ac:dyDescent="0.2">
      <c r="A4011">
        <v>8.3635000000000001E-2</v>
      </c>
      <c r="B4011">
        <v>0.45467907511903699</v>
      </c>
      <c r="C4011">
        <v>0.40600892614023598</v>
      </c>
      <c r="D4011">
        <v>0.615431387477681</v>
      </c>
      <c r="E4011">
        <v>0.57332147515330101</v>
      </c>
    </row>
    <row r="4012" spans="1:5" x14ac:dyDescent="0.2">
      <c r="A4012">
        <v>8.3668333333333303E-2</v>
      </c>
      <c r="B4012">
        <v>0.45473605175273402</v>
      </c>
      <c r="C4012">
        <v>0.40606687234600602</v>
      </c>
      <c r="D4012">
        <v>0.61548143992321502</v>
      </c>
      <c r="E4012">
        <v>0.57338732859136399</v>
      </c>
    </row>
    <row r="4013" spans="1:5" x14ac:dyDescent="0.2">
      <c r="A4013">
        <v>8.3701666666666702E-2</v>
      </c>
      <c r="B4013">
        <v>0.45479302936321803</v>
      </c>
      <c r="C4013">
        <v>0.406124808882529</v>
      </c>
      <c r="D4013">
        <v>0.61553149876856605</v>
      </c>
      <c r="E4013">
        <v>0.57345315642871397</v>
      </c>
    </row>
    <row r="4014" spans="1:5" x14ac:dyDescent="0.2">
      <c r="A4014">
        <v>8.3735000000000004E-2</v>
      </c>
      <c r="B4014">
        <v>0.45485000773839601</v>
      </c>
      <c r="C4014">
        <v>0.40618273595576199</v>
      </c>
      <c r="D4014">
        <v>0.61558156395513297</v>
      </c>
      <c r="E4014">
        <v>0.57351895853044099</v>
      </c>
    </row>
    <row r="4015" spans="1:5" x14ac:dyDescent="0.2">
      <c r="A4015">
        <v>8.3768333333333306E-2</v>
      </c>
      <c r="B4015">
        <v>0.45490698666617202</v>
      </c>
      <c r="C4015">
        <v>0.40624065377166402</v>
      </c>
      <c r="D4015">
        <v>0.61563163542430999</v>
      </c>
      <c r="E4015">
        <v>0.57358473476163796</v>
      </c>
    </row>
    <row r="4016" spans="1:5" x14ac:dyDescent="0.2">
      <c r="A4016">
        <v>8.3801666666666705E-2</v>
      </c>
      <c r="B4016">
        <v>0.45496396593445199</v>
      </c>
      <c r="C4016">
        <v>0.40629856253619101</v>
      </c>
      <c r="D4016">
        <v>0.61568171311749398</v>
      </c>
      <c r="E4016">
        <v>0.57365048498739402</v>
      </c>
    </row>
    <row r="4017" spans="1:5" x14ac:dyDescent="0.2">
      <c r="A4017">
        <v>8.3835000000000007E-2</v>
      </c>
      <c r="B4017">
        <v>0.45502094533114301</v>
      </c>
      <c r="C4017">
        <v>0.40635646245530299</v>
      </c>
      <c r="D4017">
        <v>0.61573179697608105</v>
      </c>
      <c r="E4017">
        <v>0.57371620907280196</v>
      </c>
    </row>
    <row r="4018" spans="1:5" x14ac:dyDescent="0.2">
      <c r="A4018">
        <v>8.3868333333333295E-2</v>
      </c>
      <c r="B4018">
        <v>0.45507792464414998</v>
      </c>
      <c r="C4018">
        <v>0.40641435373495799</v>
      </c>
      <c r="D4018">
        <v>0.61578188694146796</v>
      </c>
      <c r="E4018">
        <v>0.57378190688295305</v>
      </c>
    </row>
    <row r="4019" spans="1:5" x14ac:dyDescent="0.2">
      <c r="A4019">
        <v>8.3901666666666694E-2</v>
      </c>
      <c r="B4019">
        <v>0.45513490366137899</v>
      </c>
      <c r="C4019">
        <v>0.40647223658111198</v>
      </c>
      <c r="D4019">
        <v>0.61583198295504904</v>
      </c>
      <c r="E4019">
        <v>0.57384757828293798</v>
      </c>
    </row>
    <row r="4020" spans="1:5" x14ac:dyDescent="0.2">
      <c r="A4020">
        <v>8.3934999999999996E-2</v>
      </c>
      <c r="B4020">
        <v>0.45519188217073597</v>
      </c>
      <c r="C4020">
        <v>0.40653011119972499</v>
      </c>
      <c r="D4020">
        <v>0.61588208495822205</v>
      </c>
      <c r="E4020">
        <v>0.57391322313784798</v>
      </c>
    </row>
    <row r="4021" spans="1:5" x14ac:dyDescent="0.2">
      <c r="A4021">
        <v>8.3968333333333298E-2</v>
      </c>
      <c r="B4021">
        <v>0.45524885996012598</v>
      </c>
      <c r="C4021">
        <v>0.40658797779675299</v>
      </c>
      <c r="D4021">
        <v>0.61593219289238199</v>
      </c>
      <c r="E4021">
        <v>0.57397884131277399</v>
      </c>
    </row>
    <row r="4022" spans="1:5" x14ac:dyDescent="0.2">
      <c r="A4022">
        <v>8.4001666666666697E-2</v>
      </c>
      <c r="B4022">
        <v>0.45530583681746101</v>
      </c>
      <c r="C4022">
        <v>0.40664583657815601</v>
      </c>
      <c r="D4022">
        <v>0.61598230669892595</v>
      </c>
      <c r="E4022">
        <v>0.57404443267280902</v>
      </c>
    </row>
    <row r="4023" spans="1:5" x14ac:dyDescent="0.2">
      <c r="A4023">
        <v>8.4034999999999999E-2</v>
      </c>
      <c r="B4023">
        <v>0.45536281257441402</v>
      </c>
      <c r="C4023">
        <v>0.40670368774989102</v>
      </c>
      <c r="D4023">
        <v>0.61603242631924904</v>
      </c>
      <c r="E4023">
        <v>0.574109997083042</v>
      </c>
    </row>
    <row r="4024" spans="1:5" x14ac:dyDescent="0.2">
      <c r="A4024">
        <v>8.40683333333333E-2</v>
      </c>
      <c r="B4024">
        <v>0.45541978721339799</v>
      </c>
      <c r="C4024">
        <v>0.406761531517915</v>
      </c>
      <c r="D4024">
        <v>0.61608255169474802</v>
      </c>
      <c r="E4024">
        <v>0.57417553440856695</v>
      </c>
    </row>
    <row r="4025" spans="1:5" x14ac:dyDescent="0.2">
      <c r="A4025">
        <v>8.41016666666667E-2</v>
      </c>
      <c r="B4025">
        <v>0.45547676074924998</v>
      </c>
      <c r="C4025">
        <v>0.40681936808818803</v>
      </c>
      <c r="D4025">
        <v>0.61613268276681898</v>
      </c>
      <c r="E4025">
        <v>0.574241044514472</v>
      </c>
    </row>
    <row r="4026" spans="1:5" x14ac:dyDescent="0.2">
      <c r="A4026">
        <v>8.4135000000000001E-2</v>
      </c>
      <c r="B4026">
        <v>0.45553373319680701</v>
      </c>
      <c r="C4026">
        <v>0.40687719766666602</v>
      </c>
      <c r="D4026">
        <v>0.61618281947685705</v>
      </c>
      <c r="E4026">
        <v>0.57430652726585096</v>
      </c>
    </row>
    <row r="4027" spans="1:5" x14ac:dyDescent="0.2">
      <c r="A4027">
        <v>8.4168333333333303E-2</v>
      </c>
      <c r="B4027">
        <v>0.455590704570909</v>
      </c>
      <c r="C4027">
        <v>0.40693502045930802</v>
      </c>
      <c r="D4027">
        <v>0.61623296176625997</v>
      </c>
      <c r="E4027">
        <v>0.57437198252779398</v>
      </c>
    </row>
    <row r="4028" spans="1:5" x14ac:dyDescent="0.2">
      <c r="A4028">
        <v>8.4201666666666702E-2</v>
      </c>
      <c r="B4028">
        <v>0.45564767488639302</v>
      </c>
      <c r="C4028">
        <v>0.40699283667207198</v>
      </c>
      <c r="D4028">
        <v>0.61628310957642196</v>
      </c>
      <c r="E4028">
        <v>0.57443741016539296</v>
      </c>
    </row>
    <row r="4029" spans="1:5" x14ac:dyDescent="0.2">
      <c r="A4029">
        <v>8.4235000000000004E-2</v>
      </c>
      <c r="B4029">
        <v>0.45570464415809597</v>
      </c>
      <c r="C4029">
        <v>0.40705064651091499</v>
      </c>
      <c r="D4029">
        <v>0.61633326284874101</v>
      </c>
      <c r="E4029">
        <v>0.57450281004373804</v>
      </c>
    </row>
    <row r="4030" spans="1:5" x14ac:dyDescent="0.2">
      <c r="A4030">
        <v>8.4268333333333306E-2</v>
      </c>
      <c r="B4030">
        <v>0.455761612400858</v>
      </c>
      <c r="C4030">
        <v>0.40710845018179698</v>
      </c>
      <c r="D4030">
        <v>0.61638342152461101</v>
      </c>
      <c r="E4030">
        <v>0.57456818202792204</v>
      </c>
    </row>
    <row r="4031" spans="1:5" x14ac:dyDescent="0.2">
      <c r="A4031">
        <v>8.4301666666666705E-2</v>
      </c>
      <c r="B4031">
        <v>0.455818579629516</v>
      </c>
      <c r="C4031">
        <v>0.40716624789067302</v>
      </c>
      <c r="D4031">
        <v>0.61643358554543004</v>
      </c>
      <c r="E4031">
        <v>0.57463352598303497</v>
      </c>
    </row>
    <row r="4032" spans="1:5" x14ac:dyDescent="0.2">
      <c r="A4032">
        <v>8.4334999999999993E-2</v>
      </c>
      <c r="B4032">
        <v>0.45587554585890899</v>
      </c>
      <c r="C4032">
        <v>0.40722403984350403</v>
      </c>
      <c r="D4032">
        <v>0.61648375485259399</v>
      </c>
      <c r="E4032">
        <v>0.57469884177416797</v>
      </c>
    </row>
    <row r="4033" spans="1:5" x14ac:dyDescent="0.2">
      <c r="A4033">
        <v>8.4368333333333295E-2</v>
      </c>
      <c r="B4033">
        <v>0.45593251110387301</v>
      </c>
      <c r="C4033">
        <v>0.40728182624624498</v>
      </c>
      <c r="D4033">
        <v>0.61653392938749796</v>
      </c>
      <c r="E4033">
        <v>0.57476412926641396</v>
      </c>
    </row>
    <row r="4034" spans="1:5" x14ac:dyDescent="0.2">
      <c r="A4034">
        <v>8.4401666666666694E-2</v>
      </c>
      <c r="B4034">
        <v>0.455989475379248</v>
      </c>
      <c r="C4034">
        <v>0.40733960730485702</v>
      </c>
      <c r="D4034">
        <v>0.61658410909153805</v>
      </c>
      <c r="E4034">
        <v>0.57482938832486297</v>
      </c>
    </row>
    <row r="4035" spans="1:5" x14ac:dyDescent="0.2">
      <c r="A4035">
        <v>8.4434999999999996E-2</v>
      </c>
      <c r="B4035">
        <v>0.45604643869987199</v>
      </c>
      <c r="C4035">
        <v>0.40739738322529501</v>
      </c>
      <c r="D4035">
        <v>0.61663429390611102</v>
      </c>
      <c r="E4035">
        <v>0.57489461881460602</v>
      </c>
    </row>
    <row r="4036" spans="1:5" x14ac:dyDescent="0.2">
      <c r="A4036">
        <v>8.4468333333333298E-2</v>
      </c>
      <c r="B4036">
        <v>0.456103401080582</v>
      </c>
      <c r="C4036">
        <v>0.40745515421351902</v>
      </c>
      <c r="D4036">
        <v>0.61668448377261298</v>
      </c>
      <c r="E4036">
        <v>0.57495982060073603</v>
      </c>
    </row>
    <row r="4037" spans="1:5" x14ac:dyDescent="0.2">
      <c r="A4037">
        <v>8.4501666666666697E-2</v>
      </c>
      <c r="B4037">
        <v>0.456160362536216</v>
      </c>
      <c r="C4037">
        <v>0.40751292047548698</v>
      </c>
      <c r="D4037">
        <v>0.61673467863244003</v>
      </c>
      <c r="E4037">
        <v>0.57502499354834202</v>
      </c>
    </row>
    <row r="4038" spans="1:5" x14ac:dyDescent="0.2">
      <c r="A4038">
        <v>8.4534999999999999E-2</v>
      </c>
      <c r="B4038">
        <v>0.456217323081613</v>
      </c>
      <c r="C4038">
        <v>0.40757068221715498</v>
      </c>
      <c r="D4038">
        <v>0.61678487842698704</v>
      </c>
      <c r="E4038">
        <v>0.57509013752251603</v>
      </c>
    </row>
    <row r="4039" spans="1:5" x14ac:dyDescent="0.2">
      <c r="A4039">
        <v>8.4568333333333301E-2</v>
      </c>
      <c r="B4039">
        <v>0.45627428273161003</v>
      </c>
      <c r="C4039">
        <v>0.40762843964448298</v>
      </c>
      <c r="D4039">
        <v>0.616835083097652</v>
      </c>
      <c r="E4039">
        <v>0.57515525238835097</v>
      </c>
    </row>
    <row r="4040" spans="1:5" x14ac:dyDescent="0.2">
      <c r="A4040">
        <v>8.46016666666667E-2</v>
      </c>
      <c r="B4040">
        <v>0.45633124150104698</v>
      </c>
      <c r="C4040">
        <v>0.40768619296342801</v>
      </c>
      <c r="D4040">
        <v>0.61688529258583003</v>
      </c>
      <c r="E4040">
        <v>0.57522033801093597</v>
      </c>
    </row>
    <row r="4041" spans="1:5" x14ac:dyDescent="0.2">
      <c r="A4041">
        <v>8.4635000000000002E-2</v>
      </c>
      <c r="B4041">
        <v>0.45638819940476</v>
      </c>
      <c r="C4041">
        <v>0.40774394237994799</v>
      </c>
      <c r="D4041">
        <v>0.61693550683291698</v>
      </c>
      <c r="E4041">
        <v>0.57528539425536396</v>
      </c>
    </row>
    <row r="4042" spans="1:5" x14ac:dyDescent="0.2">
      <c r="A4042">
        <v>8.4668333333333304E-2</v>
      </c>
      <c r="B4042">
        <v>0.45644515645758699</v>
      </c>
      <c r="C4042">
        <v>0.407801688100001</v>
      </c>
      <c r="D4042">
        <v>0.61698572578030897</v>
      </c>
      <c r="E4042">
        <v>0.57535042098672495</v>
      </c>
    </row>
    <row r="4043" spans="1:5" x14ac:dyDescent="0.2">
      <c r="A4043">
        <v>8.4701666666666703E-2</v>
      </c>
      <c r="B4043">
        <v>0.45650211267436802</v>
      </c>
      <c r="C4043">
        <v>0.40785943032954503</v>
      </c>
      <c r="D4043">
        <v>0.61703594936940298</v>
      </c>
      <c r="E4043">
        <v>0.57541541807010999</v>
      </c>
    </row>
    <row r="4044" spans="1:5" x14ac:dyDescent="0.2">
      <c r="A4044">
        <v>8.4735000000000005E-2</v>
      </c>
      <c r="B4044">
        <v>0.45655906806993901</v>
      </c>
      <c r="C4044">
        <v>0.40791716927453803</v>
      </c>
      <c r="D4044">
        <v>0.61708617754159401</v>
      </c>
      <c r="E4044">
        <v>0.57548038537061197</v>
      </c>
    </row>
    <row r="4045" spans="1:5" x14ac:dyDescent="0.2">
      <c r="A4045">
        <v>8.4768333333333307E-2</v>
      </c>
      <c r="B4045">
        <v>0.45661602265913998</v>
      </c>
      <c r="C4045">
        <v>0.40797490514093798</v>
      </c>
      <c r="D4045">
        <v>0.61713641023827803</v>
      </c>
      <c r="E4045">
        <v>0.57554532275332104</v>
      </c>
    </row>
    <row r="4046" spans="1:5" x14ac:dyDescent="0.2">
      <c r="A4046">
        <v>8.4801666666666706E-2</v>
      </c>
      <c r="B4046">
        <v>0.45667297645680699</v>
      </c>
      <c r="C4046">
        <v>0.40803263813470197</v>
      </c>
      <c r="D4046">
        <v>0.61718664740085305</v>
      </c>
      <c r="E4046">
        <v>0.57561023008332901</v>
      </c>
    </row>
    <row r="4047" spans="1:5" x14ac:dyDescent="0.2">
      <c r="A4047">
        <v>8.4834999999999994E-2</v>
      </c>
      <c r="B4047">
        <v>0.45672992947777902</v>
      </c>
      <c r="C4047">
        <v>0.40809036846178998</v>
      </c>
      <c r="D4047">
        <v>0.61723688897071305</v>
      </c>
      <c r="E4047">
        <v>0.57567510722572701</v>
      </c>
    </row>
    <row r="4048" spans="1:5" x14ac:dyDescent="0.2">
      <c r="A4048">
        <v>8.4868333333333296E-2</v>
      </c>
      <c r="B4048">
        <v>0.45678688173689502</v>
      </c>
      <c r="C4048">
        <v>0.40814809632815802</v>
      </c>
      <c r="D4048">
        <v>0.61728713488925502</v>
      </c>
      <c r="E4048">
        <v>0.57573995404560596</v>
      </c>
    </row>
    <row r="4049" spans="1:5" x14ac:dyDescent="0.2">
      <c r="A4049">
        <v>8.4901666666666695E-2</v>
      </c>
      <c r="B4049">
        <v>0.45684383324899103</v>
      </c>
      <c r="C4049">
        <v>0.40820582193976501</v>
      </c>
      <c r="D4049">
        <v>0.61733738509787495</v>
      </c>
      <c r="E4049">
        <v>0.575804770408057</v>
      </c>
    </row>
    <row r="4050" spans="1:5" x14ac:dyDescent="0.2">
      <c r="A4050">
        <v>8.4934999999999997E-2</v>
      </c>
      <c r="B4050">
        <v>0.45690078402890699</v>
      </c>
      <c r="C4050">
        <v>0.40826354550256899</v>
      </c>
      <c r="D4050">
        <v>0.61738763953796805</v>
      </c>
      <c r="E4050">
        <v>0.57586955617817204</v>
      </c>
    </row>
    <row r="4051" spans="1:5" x14ac:dyDescent="0.2">
      <c r="A4051">
        <v>8.4968333333333299E-2</v>
      </c>
      <c r="B4051">
        <v>0.45695773409147999</v>
      </c>
      <c r="C4051">
        <v>0.40832126722252698</v>
      </c>
      <c r="D4051">
        <v>0.61743789815093297</v>
      </c>
      <c r="E4051">
        <v>0.57593431122104199</v>
      </c>
    </row>
    <row r="4052" spans="1:5" x14ac:dyDescent="0.2">
      <c r="A4052">
        <v>8.5001666666666698E-2</v>
      </c>
      <c r="B4052">
        <v>0.457014683451551</v>
      </c>
      <c r="C4052">
        <v>0.40837898730559802</v>
      </c>
      <c r="D4052">
        <v>0.61748816087816305</v>
      </c>
      <c r="E4052">
        <v>0.57599903540175801</v>
      </c>
    </row>
    <row r="4053" spans="1:5" x14ac:dyDescent="0.2">
      <c r="A4053">
        <v>8.5034999999999999E-2</v>
      </c>
      <c r="B4053">
        <v>0.45707163215047097</v>
      </c>
      <c r="C4053">
        <v>0.40843670595773901</v>
      </c>
      <c r="D4053">
        <v>0.61753842766105504</v>
      </c>
      <c r="E4053">
        <v>0.57606372858541199</v>
      </c>
    </row>
    <row r="4054" spans="1:5" x14ac:dyDescent="0.2">
      <c r="A4054">
        <v>8.5068333333333301E-2</v>
      </c>
      <c r="B4054">
        <v>0.45712858032089398</v>
      </c>
      <c r="C4054">
        <v>0.40849442338490899</v>
      </c>
      <c r="D4054">
        <v>0.61758869844100595</v>
      </c>
      <c r="E4054">
        <v>0.57612839063709498</v>
      </c>
    </row>
    <row r="4055" spans="1:5" x14ac:dyDescent="0.2">
      <c r="A4055">
        <v>8.51016666666667E-2</v>
      </c>
      <c r="B4055">
        <v>0.45718552811511898</v>
      </c>
      <c r="C4055">
        <v>0.40855213979306598</v>
      </c>
      <c r="D4055">
        <v>0.61763897315941196</v>
      </c>
      <c r="E4055">
        <v>0.57619302142189799</v>
      </c>
    </row>
    <row r="4056" spans="1:5" x14ac:dyDescent="0.2">
      <c r="A4056">
        <v>8.5135000000000002E-2</v>
      </c>
      <c r="B4056">
        <v>0.45724247568544302</v>
      </c>
      <c r="C4056">
        <v>0.40860985538816602</v>
      </c>
      <c r="D4056">
        <v>0.61768925175766698</v>
      </c>
      <c r="E4056">
        <v>0.57625762080491305</v>
      </c>
    </row>
    <row r="4057" spans="1:5" x14ac:dyDescent="0.2">
      <c r="A4057">
        <v>8.5168333333333304E-2</v>
      </c>
      <c r="B4057">
        <v>0.457299423184164</v>
      </c>
      <c r="C4057">
        <v>0.40866757037616902</v>
      </c>
      <c r="D4057">
        <v>0.61773953417716998</v>
      </c>
      <c r="E4057">
        <v>0.57632218865122997</v>
      </c>
    </row>
    <row r="4058" spans="1:5" x14ac:dyDescent="0.2">
      <c r="A4058">
        <v>8.5201666666666703E-2</v>
      </c>
      <c r="B4058">
        <v>0.45735637076357799</v>
      </c>
      <c r="C4058">
        <v>0.40872528496303201</v>
      </c>
      <c r="D4058">
        <v>0.61778982035931496</v>
      </c>
      <c r="E4058">
        <v>0.576386724825941</v>
      </c>
    </row>
    <row r="4059" spans="1:5" x14ac:dyDescent="0.2">
      <c r="A4059">
        <v>8.5235000000000005E-2</v>
      </c>
      <c r="B4059">
        <v>0.457413318575984</v>
      </c>
      <c r="C4059">
        <v>0.40878299935471402</v>
      </c>
      <c r="D4059">
        <v>0.61784011024550001</v>
      </c>
      <c r="E4059">
        <v>0.57645122919413705</v>
      </c>
    </row>
    <row r="4060" spans="1:5" x14ac:dyDescent="0.2">
      <c r="A4060">
        <v>8.5268333333333293E-2</v>
      </c>
      <c r="B4060">
        <v>0.45747026677367902</v>
      </c>
      <c r="C4060">
        <v>0.40884071375717101</v>
      </c>
      <c r="D4060">
        <v>0.61789040377711901</v>
      </c>
      <c r="E4060">
        <v>0.57651570162091004</v>
      </c>
    </row>
    <row r="4061" spans="1:5" x14ac:dyDescent="0.2">
      <c r="A4061">
        <v>8.5301666666666706E-2</v>
      </c>
      <c r="B4061">
        <v>0.45752721550896103</v>
      </c>
      <c r="C4061">
        <v>0.40889842837636298</v>
      </c>
      <c r="D4061">
        <v>0.61794070089556896</v>
      </c>
      <c r="E4061">
        <v>0.57658014197135099</v>
      </c>
    </row>
    <row r="4062" spans="1:5" x14ac:dyDescent="0.2">
      <c r="A4062">
        <v>8.5334999999999994E-2</v>
      </c>
      <c r="B4062">
        <v>0.45758416493412701</v>
      </c>
      <c r="C4062">
        <v>0.40895614341824699</v>
      </c>
      <c r="D4062">
        <v>0.61799100154224595</v>
      </c>
      <c r="E4062">
        <v>0.57664455011055105</v>
      </c>
    </row>
    <row r="4063" spans="1:5" x14ac:dyDescent="0.2">
      <c r="A4063">
        <v>8.5368333333333296E-2</v>
      </c>
      <c r="B4063">
        <v>0.45764111520147399</v>
      </c>
      <c r="C4063">
        <v>0.40901385908878102</v>
      </c>
      <c r="D4063">
        <v>0.61804130565854698</v>
      </c>
      <c r="E4063">
        <v>0.57670892590360201</v>
      </c>
    </row>
    <row r="4064" spans="1:5" x14ac:dyDescent="0.2">
      <c r="A4064">
        <v>8.5401666666666695E-2</v>
      </c>
      <c r="B4064">
        <v>0.45769806646330102</v>
      </c>
      <c r="C4064">
        <v>0.40907157559392299</v>
      </c>
      <c r="D4064">
        <v>0.61809161318586603</v>
      </c>
      <c r="E4064">
        <v>0.57677326921559402</v>
      </c>
    </row>
    <row r="4065" spans="1:5" x14ac:dyDescent="0.2">
      <c r="A4065">
        <v>8.5434999999999997E-2</v>
      </c>
      <c r="B4065">
        <v>0.45775501887190501</v>
      </c>
      <c r="C4065">
        <v>0.40912929313963098</v>
      </c>
      <c r="D4065">
        <v>0.61814192406560198</v>
      </c>
      <c r="E4065">
        <v>0.57683757991161899</v>
      </c>
    </row>
    <row r="4066" spans="1:5" x14ac:dyDescent="0.2">
      <c r="A4066">
        <v>8.5468333333333299E-2</v>
      </c>
      <c r="B4066">
        <v>0.457811972579583</v>
      </c>
      <c r="C4066">
        <v>0.40918701193186202</v>
      </c>
      <c r="D4066">
        <v>0.61819223823914804</v>
      </c>
      <c r="E4066">
        <v>0.57690185785676795</v>
      </c>
    </row>
    <row r="4067" spans="1:5" x14ac:dyDescent="0.2">
      <c r="A4067">
        <v>8.5501666666666698E-2</v>
      </c>
      <c r="B4067">
        <v>0.45786892773863302</v>
      </c>
      <c r="C4067">
        <v>0.40924473217657598</v>
      </c>
      <c r="D4067">
        <v>0.61824255564790298</v>
      </c>
      <c r="E4067">
        <v>0.57696610291613304</v>
      </c>
    </row>
    <row r="4068" spans="1:5" x14ac:dyDescent="0.2">
      <c r="A4068">
        <v>8.5535E-2</v>
      </c>
      <c r="B4068">
        <v>0.45792588450135302</v>
      </c>
      <c r="C4068">
        <v>0.40930245407972898</v>
      </c>
      <c r="D4068">
        <v>0.61829287623326001</v>
      </c>
      <c r="E4068">
        <v>0.57703031495480395</v>
      </c>
    </row>
    <row r="4069" spans="1:5" x14ac:dyDescent="0.2">
      <c r="A4069">
        <v>8.5568333333333302E-2</v>
      </c>
      <c r="B4069">
        <v>0.457982843020039</v>
      </c>
      <c r="C4069">
        <v>0.40936017784728002</v>
      </c>
      <c r="D4069">
        <v>0.61834319993661802</v>
      </c>
      <c r="E4069">
        <v>0.57709449383787403</v>
      </c>
    </row>
    <row r="4070" spans="1:5" x14ac:dyDescent="0.2">
      <c r="A4070">
        <v>8.5601666666666701E-2</v>
      </c>
      <c r="B4070">
        <v>0.45803980344699102</v>
      </c>
      <c r="C4070">
        <v>0.40941790368518699</v>
      </c>
      <c r="D4070">
        <v>0.61839352669937198</v>
      </c>
      <c r="E4070">
        <v>0.577158639430433</v>
      </c>
    </row>
    <row r="4071" spans="1:5" x14ac:dyDescent="0.2">
      <c r="A4071">
        <v>8.5635000000000003E-2</v>
      </c>
      <c r="B4071">
        <v>0.45809676593450399</v>
      </c>
      <c r="C4071">
        <v>0.40947563179940699</v>
      </c>
      <c r="D4071">
        <v>0.618443856462917</v>
      </c>
      <c r="E4071">
        <v>0.57722275159757297</v>
      </c>
    </row>
    <row r="4072" spans="1:5" x14ac:dyDescent="0.2">
      <c r="A4072">
        <v>8.5668333333333305E-2</v>
      </c>
      <c r="B4072">
        <v>0.45815373063487702</v>
      </c>
      <c r="C4072">
        <v>0.40953336239589899</v>
      </c>
      <c r="D4072">
        <v>0.61849418916865095</v>
      </c>
      <c r="E4072">
        <v>0.57728683020438398</v>
      </c>
    </row>
    <row r="4073" spans="1:5" x14ac:dyDescent="0.2">
      <c r="A4073">
        <v>8.5701666666666704E-2</v>
      </c>
      <c r="B4073">
        <v>0.45821069770040701</v>
      </c>
      <c r="C4073">
        <v>0.40959109568062102</v>
      </c>
      <c r="D4073">
        <v>0.61854452475796795</v>
      </c>
      <c r="E4073">
        <v>0.57735087511595895</v>
      </c>
    </row>
    <row r="4074" spans="1:5" x14ac:dyDescent="0.2">
      <c r="A4074">
        <v>8.5735000000000006E-2</v>
      </c>
      <c r="B4074">
        <v>0.45826766728339102</v>
      </c>
      <c r="C4074">
        <v>0.40964883185952899</v>
      </c>
      <c r="D4074">
        <v>0.61859486317226597</v>
      </c>
      <c r="E4074">
        <v>0.57741488619738901</v>
      </c>
    </row>
    <row r="4075" spans="1:5" x14ac:dyDescent="0.2">
      <c r="A4075">
        <v>8.5768333333333294E-2</v>
      </c>
      <c r="B4075">
        <v>0.45832463953612801</v>
      </c>
      <c r="C4075">
        <v>0.409706571138584</v>
      </c>
      <c r="D4075">
        <v>0.61864520435294001</v>
      </c>
      <c r="E4075">
        <v>0.57747886331376397</v>
      </c>
    </row>
    <row r="4076" spans="1:5" x14ac:dyDescent="0.2">
      <c r="A4076">
        <v>8.5801666666666707E-2</v>
      </c>
      <c r="B4076">
        <v>0.45838161461091498</v>
      </c>
      <c r="C4076">
        <v>0.409764313723742</v>
      </c>
      <c r="D4076">
        <v>0.61869554824138695</v>
      </c>
      <c r="E4076">
        <v>0.57754280633017596</v>
      </c>
    </row>
    <row r="4077" spans="1:5" x14ac:dyDescent="0.2">
      <c r="A4077">
        <v>8.5834999999999995E-2</v>
      </c>
      <c r="B4077">
        <v>0.45843859266004899</v>
      </c>
      <c r="C4077">
        <v>0.40982205982096098</v>
      </c>
      <c r="D4077">
        <v>0.61874589477900199</v>
      </c>
      <c r="E4077">
        <v>0.57760671511171702</v>
      </c>
    </row>
    <row r="4078" spans="1:5" x14ac:dyDescent="0.2">
      <c r="A4078">
        <v>8.5868333333333297E-2</v>
      </c>
      <c r="B4078">
        <v>0.45849557383582801</v>
      </c>
      <c r="C4078">
        <v>0.40987980963619902</v>
      </c>
      <c r="D4078">
        <v>0.61879624390718102</v>
      </c>
      <c r="E4078">
        <v>0.57767058952347705</v>
      </c>
    </row>
    <row r="4079" spans="1:5" x14ac:dyDescent="0.2">
      <c r="A4079">
        <v>8.5901666666666696E-2</v>
      </c>
      <c r="B4079">
        <v>0.45855255829055003</v>
      </c>
      <c r="C4079">
        <v>0.40993756337541498</v>
      </c>
      <c r="D4079">
        <v>0.61884659556732202</v>
      </c>
      <c r="E4079">
        <v>0.57773442943054798</v>
      </c>
    </row>
    <row r="4080" spans="1:5" x14ac:dyDescent="0.2">
      <c r="A4080">
        <v>8.5934999999999997E-2</v>
      </c>
      <c r="B4080">
        <v>0.45860954617651101</v>
      </c>
      <c r="C4080">
        <v>0.409995321244566</v>
      </c>
      <c r="D4080">
        <v>0.61889694970081899</v>
      </c>
      <c r="E4080">
        <v>0.57779823469802105</v>
      </c>
    </row>
    <row r="4081" spans="1:5" x14ac:dyDescent="0.2">
      <c r="A4081">
        <v>8.5968333333333299E-2</v>
      </c>
      <c r="B4081">
        <v>0.45866653764601001</v>
      </c>
      <c r="C4081">
        <v>0.41005308344961</v>
      </c>
      <c r="D4081">
        <v>0.61894730624906802</v>
      </c>
      <c r="E4081">
        <v>0.57786200519098796</v>
      </c>
    </row>
    <row r="4082" spans="1:5" x14ac:dyDescent="0.2">
      <c r="A4082">
        <v>8.6001666666666698E-2</v>
      </c>
      <c r="B4082">
        <v>0.458723532851328</v>
      </c>
      <c r="C4082">
        <v>0.41011085019650501</v>
      </c>
      <c r="D4082">
        <v>0.61899766515346699</v>
      </c>
      <c r="E4082">
        <v>0.57792574077453895</v>
      </c>
    </row>
    <row r="4083" spans="1:5" x14ac:dyDescent="0.2">
      <c r="A4083">
        <v>8.6035E-2</v>
      </c>
      <c r="B4083">
        <v>0.45878053179511402</v>
      </c>
      <c r="C4083">
        <v>0.41016862169120899</v>
      </c>
      <c r="D4083">
        <v>0.61904802635541101</v>
      </c>
      <c r="E4083">
        <v>0.57798944131376695</v>
      </c>
    </row>
    <row r="4084" spans="1:5" x14ac:dyDescent="0.2">
      <c r="A4084">
        <v>8.6068333333333302E-2</v>
      </c>
      <c r="B4084">
        <v>0.45883753396465499</v>
      </c>
      <c r="C4084">
        <v>0.41022639813968098</v>
      </c>
      <c r="D4084">
        <v>0.61909838979629594</v>
      </c>
      <c r="E4084">
        <v>0.57805310667376197</v>
      </c>
    </row>
    <row r="4085" spans="1:5" x14ac:dyDescent="0.2">
      <c r="A4085">
        <v>8.6101666666666701E-2</v>
      </c>
      <c r="B4085">
        <v>0.45889453873636699</v>
      </c>
      <c r="C4085">
        <v>0.41028417974787701</v>
      </c>
      <c r="D4085">
        <v>0.61914875541751802</v>
      </c>
      <c r="E4085">
        <v>0.57811673671961505</v>
      </c>
    </row>
    <row r="4086" spans="1:5" x14ac:dyDescent="0.2">
      <c r="A4086">
        <v>8.6135000000000003E-2</v>
      </c>
      <c r="B4086">
        <v>0.458951545486666</v>
      </c>
      <c r="C4086">
        <v>0.41034196672175599</v>
      </c>
      <c r="D4086">
        <v>0.61919912316047399</v>
      </c>
      <c r="E4086">
        <v>0.57818033131641799</v>
      </c>
    </row>
    <row r="4087" spans="1:5" x14ac:dyDescent="0.2">
      <c r="A4087">
        <v>8.6168333333333305E-2</v>
      </c>
      <c r="B4087">
        <v>0.45900855359196902</v>
      </c>
      <c r="C4087">
        <v>0.41039975926727601</v>
      </c>
      <c r="D4087">
        <v>0.61924949296655896</v>
      </c>
      <c r="E4087">
        <v>0.57824389032926304</v>
      </c>
    </row>
    <row r="4088" spans="1:5" x14ac:dyDescent="0.2">
      <c r="A4088">
        <v>8.6201666666666704E-2</v>
      </c>
      <c r="B4088">
        <v>0.45906556242869101</v>
      </c>
      <c r="C4088">
        <v>0.41045755759039498</v>
      </c>
      <c r="D4088">
        <v>0.61929986477716903</v>
      </c>
      <c r="E4088">
        <v>0.57830741362324001</v>
      </c>
    </row>
    <row r="4089" spans="1:5" x14ac:dyDescent="0.2">
      <c r="A4089">
        <v>8.6235000000000006E-2</v>
      </c>
      <c r="B4089">
        <v>0.45912257137324902</v>
      </c>
      <c r="C4089">
        <v>0.41051536189707</v>
      </c>
      <c r="D4089">
        <v>0.61935023853370097</v>
      </c>
      <c r="E4089">
        <v>0.57837090106344002</v>
      </c>
    </row>
    <row r="4090" spans="1:5" x14ac:dyDescent="0.2">
      <c r="A4090">
        <v>8.6268333333333294E-2</v>
      </c>
      <c r="B4090">
        <v>0.45917957980205898</v>
      </c>
      <c r="C4090">
        <v>0.41057317239326002</v>
      </c>
      <c r="D4090">
        <v>0.61940061417755099</v>
      </c>
      <c r="E4090">
        <v>0.57843435251495601</v>
      </c>
    </row>
    <row r="4091" spans="1:5" x14ac:dyDescent="0.2">
      <c r="A4091">
        <v>8.6301666666666693E-2</v>
      </c>
      <c r="B4091">
        <v>0.45923658709153697</v>
      </c>
      <c r="C4091">
        <v>0.41063098928492298</v>
      </c>
      <c r="D4091">
        <v>0.61945099165011397</v>
      </c>
      <c r="E4091">
        <v>0.57849776784287799</v>
      </c>
    </row>
    <row r="4092" spans="1:5" x14ac:dyDescent="0.2">
      <c r="A4092">
        <v>8.6334999999999995E-2</v>
      </c>
      <c r="B4092">
        <v>0.45929359261809999</v>
      </c>
      <c r="C4092">
        <v>0.410688812778017</v>
      </c>
      <c r="D4092">
        <v>0.61950137089278701</v>
      </c>
      <c r="E4092">
        <v>0.57856114691229699</v>
      </c>
    </row>
    <row r="4093" spans="1:5" x14ac:dyDescent="0.2">
      <c r="A4093">
        <v>8.6368333333333297E-2</v>
      </c>
      <c r="B4093">
        <v>0.459350595758164</v>
      </c>
      <c r="C4093">
        <v>0.41074664307849901</v>
      </c>
      <c r="D4093">
        <v>0.61955175184696698</v>
      </c>
      <c r="E4093">
        <v>0.57862448958830603</v>
      </c>
    </row>
    <row r="4094" spans="1:5" x14ac:dyDescent="0.2">
      <c r="A4094">
        <v>8.6401666666666696E-2</v>
      </c>
      <c r="B4094">
        <v>0.459407595888145</v>
      </c>
      <c r="C4094">
        <v>0.41080448039232698</v>
      </c>
      <c r="D4094">
        <v>0.61960213445404799</v>
      </c>
      <c r="E4094">
        <v>0.57868779573599405</v>
      </c>
    </row>
    <row r="4095" spans="1:5" x14ac:dyDescent="0.2">
      <c r="A4095">
        <v>8.6434999999999998E-2</v>
      </c>
      <c r="B4095">
        <v>0.45946459238445803</v>
      </c>
      <c r="C4095">
        <v>0.41086232492545999</v>
      </c>
      <c r="D4095">
        <v>0.61965251865542703</v>
      </c>
      <c r="E4095">
        <v>0.57875106522045405</v>
      </c>
    </row>
    <row r="4096" spans="1:5" x14ac:dyDescent="0.2">
      <c r="A4096">
        <v>8.64683333333333E-2</v>
      </c>
      <c r="B4096">
        <v>0.45952158462352199</v>
      </c>
      <c r="C4096">
        <v>0.41092017688385601</v>
      </c>
      <c r="D4096">
        <v>0.61970290439250098</v>
      </c>
      <c r="E4096">
        <v>0.57881429790677597</v>
      </c>
    </row>
    <row r="4097" spans="1:5" x14ac:dyDescent="0.2">
      <c r="A4097">
        <v>8.6501666666666699E-2</v>
      </c>
      <c r="B4097">
        <v>0.45957857198175101</v>
      </c>
      <c r="C4097">
        <v>0.41097803647347197</v>
      </c>
      <c r="D4097">
        <v>0.61975329160666504</v>
      </c>
      <c r="E4097">
        <v>0.57887749366005303</v>
      </c>
    </row>
    <row r="4098" spans="1:5" x14ac:dyDescent="0.2">
      <c r="A4098">
        <v>8.6535000000000001E-2</v>
      </c>
      <c r="B4098">
        <v>0.45963555383556098</v>
      </c>
      <c r="C4098">
        <v>0.41103590390026601</v>
      </c>
      <c r="D4098">
        <v>0.61980368023931498</v>
      </c>
      <c r="E4098">
        <v>0.57894065234537495</v>
      </c>
    </row>
    <row r="4099" spans="1:5" x14ac:dyDescent="0.2">
      <c r="A4099">
        <v>8.6568333333333303E-2</v>
      </c>
      <c r="B4099">
        <v>0.45969252956137002</v>
      </c>
      <c r="C4099">
        <v>0.41109377937019598</v>
      </c>
      <c r="D4099">
        <v>0.61985407023184802</v>
      </c>
      <c r="E4099">
        <v>0.57900377382783297</v>
      </c>
    </row>
    <row r="4100" spans="1:5" x14ac:dyDescent="0.2">
      <c r="A4100">
        <v>8.6601666666666702E-2</v>
      </c>
      <c r="B4100">
        <v>0.45974949853559299</v>
      </c>
      <c r="C4100">
        <v>0.41115166308922102</v>
      </c>
      <c r="D4100">
        <v>0.61990446152565903</v>
      </c>
      <c r="E4100">
        <v>0.579066857972519</v>
      </c>
    </row>
    <row r="4101" spans="1:5" x14ac:dyDescent="0.2">
      <c r="A4101">
        <v>8.6635000000000004E-2</v>
      </c>
      <c r="B4101">
        <v>0.45980646013464599</v>
      </c>
      <c r="C4101">
        <v>0.411209555263298</v>
      </c>
      <c r="D4101">
        <v>0.61995485406214501</v>
      </c>
      <c r="E4101">
        <v>0.57912990464452396</v>
      </c>
    </row>
    <row r="4102" spans="1:5" x14ac:dyDescent="0.2">
      <c r="A4102">
        <v>8.6668333333333306E-2</v>
      </c>
      <c r="B4102">
        <v>0.45986341373494599</v>
      </c>
      <c r="C4102">
        <v>0.411267456098385</v>
      </c>
      <c r="D4102">
        <v>0.62000524778270205</v>
      </c>
      <c r="E4102">
        <v>0.57919291370893999</v>
      </c>
    </row>
    <row r="4103" spans="1:5" x14ac:dyDescent="0.2">
      <c r="A4103">
        <v>8.6701666666666705E-2</v>
      </c>
      <c r="B4103">
        <v>0.45992035871290898</v>
      </c>
      <c r="C4103">
        <v>0.41132536580043999</v>
      </c>
      <c r="D4103">
        <v>0.62005564262872603</v>
      </c>
      <c r="E4103">
        <v>0.57925588503085701</v>
      </c>
    </row>
    <row r="4104" spans="1:5" x14ac:dyDescent="0.2">
      <c r="A4104">
        <v>8.6735000000000007E-2</v>
      </c>
      <c r="B4104">
        <v>0.459977294444952</v>
      </c>
      <c r="C4104">
        <v>0.411383284575421</v>
      </c>
      <c r="D4104">
        <v>0.62010603854161195</v>
      </c>
      <c r="E4104">
        <v>0.57931881847536704</v>
      </c>
    </row>
    <row r="4105" spans="1:5" x14ac:dyDescent="0.2">
      <c r="A4105">
        <v>8.6768333333333295E-2</v>
      </c>
      <c r="B4105">
        <v>0.46003422030748897</v>
      </c>
      <c r="C4105">
        <v>0.41144121262928601</v>
      </c>
      <c r="D4105">
        <v>0.620156435462758</v>
      </c>
      <c r="E4105">
        <v>0.57938171390756099</v>
      </c>
    </row>
    <row r="4106" spans="1:5" x14ac:dyDescent="0.2">
      <c r="A4106">
        <v>8.6801666666666694E-2</v>
      </c>
      <c r="B4106">
        <v>0.46009113567693799</v>
      </c>
      <c r="C4106">
        <v>0.41149915016799299</v>
      </c>
      <c r="D4106">
        <v>0.62020683333355897</v>
      </c>
      <c r="E4106">
        <v>0.57944457119253101</v>
      </c>
    </row>
    <row r="4107" spans="1:5" x14ac:dyDescent="0.2">
      <c r="A4107">
        <v>8.6834999999999996E-2</v>
      </c>
      <c r="B4107">
        <v>0.46014803992971498</v>
      </c>
      <c r="C4107">
        <v>0.41155709739750002</v>
      </c>
      <c r="D4107">
        <v>0.62025723209541095</v>
      </c>
      <c r="E4107">
        <v>0.57950739019536801</v>
      </c>
    </row>
    <row r="4108" spans="1:5" x14ac:dyDescent="0.2">
      <c r="A4108">
        <v>8.6868333333333297E-2</v>
      </c>
      <c r="B4108">
        <v>0.46020493244223598</v>
      </c>
      <c r="C4108">
        <v>0.41161505452376401</v>
      </c>
      <c r="D4108">
        <v>0.62030763168971004</v>
      </c>
      <c r="E4108">
        <v>0.57957017078116302</v>
      </c>
    </row>
    <row r="4109" spans="1:5" x14ac:dyDescent="0.2">
      <c r="A4109">
        <v>8.6901666666666696E-2</v>
      </c>
      <c r="B4109">
        <v>0.46026181259091797</v>
      </c>
      <c r="C4109">
        <v>0.41167302175274501</v>
      </c>
      <c r="D4109">
        <v>0.620358032057853</v>
      </c>
      <c r="E4109">
        <v>0.57963291281500695</v>
      </c>
    </row>
    <row r="4110" spans="1:5" x14ac:dyDescent="0.2">
      <c r="A4110">
        <v>8.6934999999999998E-2</v>
      </c>
      <c r="B4110">
        <v>0.460318679752175</v>
      </c>
      <c r="C4110">
        <v>0.41173099929039902</v>
      </c>
      <c r="D4110">
        <v>0.62040843314123495</v>
      </c>
      <c r="E4110">
        <v>0.57969561616199095</v>
      </c>
    </row>
    <row r="4111" spans="1:5" x14ac:dyDescent="0.2">
      <c r="A4111">
        <v>8.69683333333333E-2</v>
      </c>
      <c r="B4111">
        <v>0.46037553330242598</v>
      </c>
      <c r="C4111">
        <v>0.41178898734268499</v>
      </c>
      <c r="D4111">
        <v>0.62045883488125297</v>
      </c>
      <c r="E4111">
        <v>0.57975828068720803</v>
      </c>
    </row>
    <row r="4112" spans="1:5" x14ac:dyDescent="0.2">
      <c r="A4112">
        <v>8.7001666666666699E-2</v>
      </c>
      <c r="B4112">
        <v>0.46043237261811798</v>
      </c>
      <c r="C4112">
        <v>0.41184698611556098</v>
      </c>
      <c r="D4112">
        <v>0.62050923721930196</v>
      </c>
      <c r="E4112">
        <v>0.579820906255748</v>
      </c>
    </row>
    <row r="4113" spans="1:5" x14ac:dyDescent="0.2">
      <c r="A4113">
        <v>8.7035000000000001E-2</v>
      </c>
      <c r="B4113">
        <v>0.46048919738034999</v>
      </c>
      <c r="C4113">
        <v>0.41190499581498402</v>
      </c>
      <c r="D4113">
        <v>0.62055964009678</v>
      </c>
      <c r="E4113">
        <v>0.57988349273270201</v>
      </c>
    </row>
    <row r="4114" spans="1:5" x14ac:dyDescent="0.2">
      <c r="A4114">
        <v>8.7068333333333303E-2</v>
      </c>
      <c r="B4114">
        <v>0.460546008319492</v>
      </c>
      <c r="C4114">
        <v>0.41196301664691198</v>
      </c>
      <c r="D4114">
        <v>0.62061004345508097</v>
      </c>
      <c r="E4114">
        <v>0.57994603998316197</v>
      </c>
    </row>
    <row r="4115" spans="1:5" x14ac:dyDescent="0.2">
      <c r="A4115">
        <v>8.7101666666666702E-2</v>
      </c>
      <c r="B4115">
        <v>0.46060280639164503</v>
      </c>
      <c r="C4115">
        <v>0.412021048817305</v>
      </c>
      <c r="D4115">
        <v>0.62066044723560199</v>
      </c>
      <c r="E4115">
        <v>0.580008547872219</v>
      </c>
    </row>
    <row r="4116" spans="1:5" x14ac:dyDescent="0.2">
      <c r="A4116">
        <v>8.7135000000000004E-2</v>
      </c>
      <c r="B4116">
        <v>0.460659592552911</v>
      </c>
      <c r="C4116">
        <v>0.412079092532118</v>
      </c>
      <c r="D4116">
        <v>0.62071085137973903</v>
      </c>
      <c r="E4116">
        <v>0.58007101626496405</v>
      </c>
    </row>
    <row r="4117" spans="1:5" x14ac:dyDescent="0.2">
      <c r="A4117">
        <v>8.7168333333333306E-2</v>
      </c>
      <c r="B4117">
        <v>0.46071636775939001</v>
      </c>
      <c r="C4117">
        <v>0.41213714799731099</v>
      </c>
      <c r="D4117">
        <v>0.62076125582888797</v>
      </c>
      <c r="E4117">
        <v>0.580133445026489</v>
      </c>
    </row>
    <row r="4118" spans="1:5" x14ac:dyDescent="0.2">
      <c r="A4118">
        <v>8.7201666666666705E-2</v>
      </c>
      <c r="B4118">
        <v>0.46077313296718297</v>
      </c>
      <c r="C4118">
        <v>0.41219521541884202</v>
      </c>
      <c r="D4118">
        <v>0.62081166052444603</v>
      </c>
      <c r="E4118">
        <v>0.58019583402188502</v>
      </c>
    </row>
    <row r="4119" spans="1:5" x14ac:dyDescent="0.2">
      <c r="A4119">
        <v>8.7234999999999993E-2</v>
      </c>
      <c r="B4119">
        <v>0.46082988913239098</v>
      </c>
      <c r="C4119">
        <v>0.412253295002667</v>
      </c>
      <c r="D4119">
        <v>0.62086206540780797</v>
      </c>
      <c r="E4119">
        <v>0.580258183116243</v>
      </c>
    </row>
    <row r="4120" spans="1:5" x14ac:dyDescent="0.2">
      <c r="A4120">
        <v>8.7268333333333295E-2</v>
      </c>
      <c r="B4120">
        <v>0.460886637211115</v>
      </c>
      <c r="C4120">
        <v>0.41231138695474601</v>
      </c>
      <c r="D4120">
        <v>0.62091247042037001</v>
      </c>
      <c r="E4120">
        <v>0.58032049217465398</v>
      </c>
    </row>
    <row r="4121" spans="1:5" x14ac:dyDescent="0.2">
      <c r="A4121">
        <v>8.7301666666666694E-2</v>
      </c>
      <c r="B4121">
        <v>0.46094337815945602</v>
      </c>
      <c r="C4121">
        <v>0.41236949148103602</v>
      </c>
      <c r="D4121">
        <v>0.62096287550352802</v>
      </c>
      <c r="E4121">
        <v>0.58038276106221098</v>
      </c>
    </row>
    <row r="4122" spans="1:5" x14ac:dyDescent="0.2">
      <c r="A4122">
        <v>8.7334999999999996E-2</v>
      </c>
      <c r="B4122">
        <v>0.461000112933515</v>
      </c>
      <c r="C4122">
        <v>0.41242760878749601</v>
      </c>
      <c r="D4122">
        <v>0.62101328059868</v>
      </c>
      <c r="E4122">
        <v>0.58044498964400304</v>
      </c>
    </row>
    <row r="4123" spans="1:5" x14ac:dyDescent="0.2">
      <c r="A4123">
        <v>8.7368333333333298E-2</v>
      </c>
      <c r="B4123">
        <v>0.46105684248939299</v>
      </c>
      <c r="C4123">
        <v>0.41248573908008201</v>
      </c>
      <c r="D4123">
        <v>0.62106368564722003</v>
      </c>
      <c r="E4123">
        <v>0.58050717778512195</v>
      </c>
    </row>
    <row r="4124" spans="1:5" x14ac:dyDescent="0.2">
      <c r="A4124">
        <v>8.7401666666666697E-2</v>
      </c>
      <c r="B4124">
        <v>0.46111356778319001</v>
      </c>
      <c r="C4124">
        <v>0.412543882564753</v>
      </c>
      <c r="D4124">
        <v>0.62111409059054501</v>
      </c>
      <c r="E4124">
        <v>0.58056932535065997</v>
      </c>
    </row>
    <row r="4125" spans="1:5" x14ac:dyDescent="0.2">
      <c r="A4125">
        <v>8.7434999999999999E-2</v>
      </c>
      <c r="B4125">
        <v>0.46117028977100899</v>
      </c>
      <c r="C4125">
        <v>0.41260203944746798</v>
      </c>
      <c r="D4125">
        <v>0.62116449537005003</v>
      </c>
      <c r="E4125">
        <v>0.58063143220570801</v>
      </c>
    </row>
    <row r="4126" spans="1:5" x14ac:dyDescent="0.2">
      <c r="A4126">
        <v>8.7468333333333301E-2</v>
      </c>
      <c r="B4126">
        <v>0.46122700940894901</v>
      </c>
      <c r="C4126">
        <v>0.41266020993418301</v>
      </c>
      <c r="D4126">
        <v>0.62121489992713297</v>
      </c>
      <c r="E4126">
        <v>0.58069349821535698</v>
      </c>
    </row>
    <row r="4127" spans="1:5" x14ac:dyDescent="0.2">
      <c r="A4127">
        <v>8.75016666666667E-2</v>
      </c>
      <c r="B4127">
        <v>0.46128372765311199</v>
      </c>
      <c r="C4127">
        <v>0.41271839423085699</v>
      </c>
      <c r="D4127">
        <v>0.62126530420318804</v>
      </c>
      <c r="E4127">
        <v>0.58075552324469804</v>
      </c>
    </row>
    <row r="4128" spans="1:5" x14ac:dyDescent="0.2">
      <c r="A4128">
        <v>8.7535000000000002E-2</v>
      </c>
      <c r="B4128">
        <v>0.46134044545959901</v>
      </c>
      <c r="C4128">
        <v>0.41277659254344901</v>
      </c>
      <c r="D4128">
        <v>0.62131570813961301</v>
      </c>
      <c r="E4128">
        <v>0.58081750715882297</v>
      </c>
    </row>
    <row r="4129" spans="1:5" x14ac:dyDescent="0.2">
      <c r="A4129">
        <v>8.7568333333333304E-2</v>
      </c>
      <c r="B4129">
        <v>0.46139716378451001</v>
      </c>
      <c r="C4129">
        <v>0.41283480507791498</v>
      </c>
      <c r="D4129">
        <v>0.62136611167780298</v>
      </c>
      <c r="E4129">
        <v>0.58087944982282302</v>
      </c>
    </row>
    <row r="4130" spans="1:5" x14ac:dyDescent="0.2">
      <c r="A4130">
        <v>8.7601666666666703E-2</v>
      </c>
      <c r="B4130">
        <v>0.46145388358394701</v>
      </c>
      <c r="C4130">
        <v>0.41289303204021299</v>
      </c>
      <c r="D4130">
        <v>0.62141651475915405</v>
      </c>
      <c r="E4130">
        <v>0.58094135110179002</v>
      </c>
    </row>
    <row r="4131" spans="1:5" x14ac:dyDescent="0.2">
      <c r="A4131">
        <v>8.7635000000000005E-2</v>
      </c>
      <c r="B4131">
        <v>0.46151060581400999</v>
      </c>
      <c r="C4131">
        <v>0.41295127363630302</v>
      </c>
      <c r="D4131">
        <v>0.62146691732506298</v>
      </c>
      <c r="E4131">
        <v>0.58100321086081297</v>
      </c>
    </row>
    <row r="4132" spans="1:5" x14ac:dyDescent="0.2">
      <c r="A4132">
        <v>8.7668333333333306E-2</v>
      </c>
      <c r="B4132">
        <v>0.46156733143080098</v>
      </c>
      <c r="C4132">
        <v>0.41300953007214097</v>
      </c>
      <c r="D4132">
        <v>0.621517319316925</v>
      </c>
      <c r="E4132">
        <v>0.58106502896498602</v>
      </c>
    </row>
    <row r="4133" spans="1:5" x14ac:dyDescent="0.2">
      <c r="A4133">
        <v>8.7701666666666706E-2</v>
      </c>
      <c r="B4133">
        <v>0.46162406139042</v>
      </c>
      <c r="C4133">
        <v>0.413067801553685</v>
      </c>
      <c r="D4133">
        <v>0.62156772067613697</v>
      </c>
      <c r="E4133">
        <v>0.58112680527939897</v>
      </c>
    </row>
    <row r="4134" spans="1:5" x14ac:dyDescent="0.2">
      <c r="A4134">
        <v>8.7734999999999994E-2</v>
      </c>
      <c r="B4134">
        <v>0.46168079664896899</v>
      </c>
      <c r="C4134">
        <v>0.41312608828689501</v>
      </c>
      <c r="D4134">
        <v>0.621618121344095</v>
      </c>
      <c r="E4134">
        <v>0.58118853966914297</v>
      </c>
    </row>
    <row r="4135" spans="1:5" x14ac:dyDescent="0.2">
      <c r="A4135">
        <v>8.7768333333333295E-2</v>
      </c>
      <c r="B4135">
        <v>0.46173753816254798</v>
      </c>
      <c r="C4135">
        <v>0.41318439047772698</v>
      </c>
      <c r="D4135">
        <v>0.62166852126219396</v>
      </c>
      <c r="E4135">
        <v>0.58125023199931003</v>
      </c>
    </row>
    <row r="4136" spans="1:5" x14ac:dyDescent="0.2">
      <c r="A4136">
        <v>8.7801666666666695E-2</v>
      </c>
      <c r="B4136">
        <v>0.46179428688725799</v>
      </c>
      <c r="C4136">
        <v>0.413242708332139</v>
      </c>
      <c r="D4136">
        <v>0.62171892037183096</v>
      </c>
      <c r="E4136">
        <v>0.58131188213498997</v>
      </c>
    </row>
    <row r="4137" spans="1:5" x14ac:dyDescent="0.2">
      <c r="A4137">
        <v>8.7834999999999996E-2</v>
      </c>
      <c r="B4137">
        <v>0.461851043779201</v>
      </c>
      <c r="C4137">
        <v>0.41330104205608897</v>
      </c>
      <c r="D4137">
        <v>0.62176931861440199</v>
      </c>
      <c r="E4137">
        <v>0.58137348994127602</v>
      </c>
    </row>
    <row r="4138" spans="1:5" x14ac:dyDescent="0.2">
      <c r="A4138">
        <v>8.7868333333333298E-2</v>
      </c>
      <c r="B4138">
        <v>0.46190780979447699</v>
      </c>
      <c r="C4138">
        <v>0.413359391855537</v>
      </c>
      <c r="D4138">
        <v>0.62181971593130403</v>
      </c>
      <c r="E4138">
        <v>0.58143505528325901</v>
      </c>
    </row>
    <row r="4139" spans="1:5" x14ac:dyDescent="0.2">
      <c r="A4139">
        <v>8.7901666666666697E-2</v>
      </c>
      <c r="B4139">
        <v>0.46196458588918698</v>
      </c>
      <c r="C4139">
        <v>0.41341775793643798</v>
      </c>
      <c r="D4139">
        <v>0.62187011226393096</v>
      </c>
      <c r="E4139">
        <v>0.58149657802602905</v>
      </c>
    </row>
    <row r="4140" spans="1:5" x14ac:dyDescent="0.2">
      <c r="A4140">
        <v>8.7934999999999999E-2</v>
      </c>
      <c r="B4140">
        <v>0.46202137301943202</v>
      </c>
      <c r="C4140">
        <v>0.41347614050475201</v>
      </c>
      <c r="D4140">
        <v>0.62192050755368</v>
      </c>
      <c r="E4140">
        <v>0.58155805803467797</v>
      </c>
    </row>
    <row r="4141" spans="1:5" x14ac:dyDescent="0.2">
      <c r="A4141">
        <v>8.7968333333333301E-2</v>
      </c>
      <c r="B4141">
        <v>0.46207817214131303</v>
      </c>
      <c r="C4141">
        <v>0.41353453976643501</v>
      </c>
      <c r="D4141">
        <v>0.62197090174194802</v>
      </c>
      <c r="E4141">
        <v>0.58161949517429801</v>
      </c>
    </row>
    <row r="4142" spans="1:5" x14ac:dyDescent="0.2">
      <c r="A4142">
        <v>8.80016666666667E-2</v>
      </c>
      <c r="B4142">
        <v>0.46213498421093102</v>
      </c>
      <c r="C4142">
        <v>0.41359295592744699</v>
      </c>
      <c r="D4142">
        <v>0.62202129477013102</v>
      </c>
      <c r="E4142">
        <v>0.58168088930997897</v>
      </c>
    </row>
    <row r="4143" spans="1:5" x14ac:dyDescent="0.2">
      <c r="A4143">
        <v>8.8035000000000002E-2</v>
      </c>
      <c r="B4143">
        <v>0.46219181018438699</v>
      </c>
      <c r="C4143">
        <v>0.413651389193746</v>
      </c>
      <c r="D4143">
        <v>0.62207168657962297</v>
      </c>
      <c r="E4143">
        <v>0.58174224030681299</v>
      </c>
    </row>
    <row r="4144" spans="1:5" x14ac:dyDescent="0.2">
      <c r="A4144">
        <v>8.8068333333333304E-2</v>
      </c>
      <c r="B4144">
        <v>0.46224865101778201</v>
      </c>
      <c r="C4144">
        <v>0.413709839771288</v>
      </c>
      <c r="D4144">
        <v>0.62212207711182299</v>
      </c>
      <c r="E4144">
        <v>0.58180354802989198</v>
      </c>
    </row>
    <row r="4145" spans="1:5" x14ac:dyDescent="0.2">
      <c r="A4145">
        <v>8.8101666666666703E-2</v>
      </c>
      <c r="B4145">
        <v>0.46230550766721701</v>
      </c>
      <c r="C4145">
        <v>0.41376830786603203</v>
      </c>
      <c r="D4145">
        <v>0.62217246630812495</v>
      </c>
      <c r="E4145">
        <v>0.58186481234430498</v>
      </c>
    </row>
    <row r="4146" spans="1:5" x14ac:dyDescent="0.2">
      <c r="A4146">
        <v>8.8135000000000005E-2</v>
      </c>
      <c r="B4146">
        <v>0.46236238108879302</v>
      </c>
      <c r="C4146">
        <v>0.41382679368393599</v>
      </c>
      <c r="D4146">
        <v>0.62222285410992595</v>
      </c>
      <c r="E4146">
        <v>0.58192603311514601</v>
      </c>
    </row>
    <row r="4147" spans="1:5" x14ac:dyDescent="0.2">
      <c r="A4147">
        <v>8.8168333333333307E-2</v>
      </c>
      <c r="B4147">
        <v>0.46241927223861001</v>
      </c>
      <c r="C4147">
        <v>0.41388529743095898</v>
      </c>
      <c r="D4147">
        <v>0.62227324045862098</v>
      </c>
      <c r="E4147">
        <v>0.58198721020750499</v>
      </c>
    </row>
    <row r="4148" spans="1:5" x14ac:dyDescent="0.2">
      <c r="A4148">
        <v>8.8201666666666706E-2</v>
      </c>
      <c r="B4148">
        <v>0.46247618207277102</v>
      </c>
      <c r="C4148">
        <v>0.41394381931305702</v>
      </c>
      <c r="D4148">
        <v>0.62232362529560803</v>
      </c>
      <c r="E4148">
        <v>0.58204834348647205</v>
      </c>
    </row>
    <row r="4149" spans="1:5" x14ac:dyDescent="0.2">
      <c r="A4149">
        <v>8.8234999999999994E-2</v>
      </c>
      <c r="B4149">
        <v>0.46253311154737498</v>
      </c>
      <c r="C4149">
        <v>0.41400235953618902</v>
      </c>
      <c r="D4149">
        <v>0.62237400856228198</v>
      </c>
      <c r="E4149">
        <v>0.582109432817141</v>
      </c>
    </row>
    <row r="4150" spans="1:5" x14ac:dyDescent="0.2">
      <c r="A4150">
        <v>8.8268333333333296E-2</v>
      </c>
      <c r="B4150">
        <v>0.46259006161852301</v>
      </c>
      <c r="C4150">
        <v>0.41406091830631198</v>
      </c>
      <c r="D4150">
        <v>0.62242439020003903</v>
      </c>
      <c r="E4150">
        <v>0.58217047806460098</v>
      </c>
    </row>
    <row r="4151" spans="1:5" x14ac:dyDescent="0.2">
      <c r="A4151">
        <v>8.8301666666666695E-2</v>
      </c>
      <c r="B4151">
        <v>0.46264703324231798</v>
      </c>
      <c r="C4151">
        <v>0.41411949582938601</v>
      </c>
      <c r="D4151">
        <v>0.62247477015027497</v>
      </c>
      <c r="E4151">
        <v>0.58223147909394501</v>
      </c>
    </row>
    <row r="4152" spans="1:5" x14ac:dyDescent="0.2">
      <c r="A4152">
        <v>8.8334999999999997E-2</v>
      </c>
      <c r="B4152">
        <v>0.462704027374858</v>
      </c>
      <c r="C4152">
        <v>0.41417809231136699</v>
      </c>
      <c r="D4152">
        <v>0.62252514835438599</v>
      </c>
      <c r="E4152">
        <v>0.58229243577026302</v>
      </c>
    </row>
    <row r="4153" spans="1:5" x14ac:dyDescent="0.2">
      <c r="A4153">
        <v>8.8368333333333299E-2</v>
      </c>
      <c r="B4153">
        <v>0.46276104497224702</v>
      </c>
      <c r="C4153">
        <v>0.41423670795821399</v>
      </c>
      <c r="D4153">
        <v>0.62257552475376898</v>
      </c>
      <c r="E4153">
        <v>0.58235334795864702</v>
      </c>
    </row>
    <row r="4154" spans="1:5" x14ac:dyDescent="0.2">
      <c r="A4154">
        <v>8.8401666666666698E-2</v>
      </c>
      <c r="B4154">
        <v>0.46281808699058402</v>
      </c>
      <c r="C4154">
        <v>0.414295342975884</v>
      </c>
      <c r="D4154">
        <v>0.62262589928981904</v>
      </c>
      <c r="E4154">
        <v>0.58241421552418804</v>
      </c>
    </row>
    <row r="4155" spans="1:5" x14ac:dyDescent="0.2">
      <c r="A4155">
        <v>8.8435E-2</v>
      </c>
      <c r="B4155">
        <v>0.46287515438596999</v>
      </c>
      <c r="C4155">
        <v>0.41435399757033597</v>
      </c>
      <c r="D4155">
        <v>0.62267627190393304</v>
      </c>
      <c r="E4155">
        <v>0.582475038331977</v>
      </c>
    </row>
    <row r="4156" spans="1:5" x14ac:dyDescent="0.2">
      <c r="A4156">
        <v>8.8468333333333302E-2</v>
      </c>
      <c r="B4156">
        <v>0.46293224811450701</v>
      </c>
      <c r="C4156">
        <v>0.41441267194752701</v>
      </c>
      <c r="D4156">
        <v>0.62272664253750698</v>
      </c>
      <c r="E4156">
        <v>0.58253581624710504</v>
      </c>
    </row>
    <row r="4157" spans="1:5" x14ac:dyDescent="0.2">
      <c r="A4157">
        <v>8.8501666666666701E-2</v>
      </c>
      <c r="B4157">
        <v>0.46298936913229499</v>
      </c>
      <c r="C4157">
        <v>0.41447136631341602</v>
      </c>
      <c r="D4157">
        <v>0.62277701113193695</v>
      </c>
      <c r="E4157">
        <v>0.58259654913466496</v>
      </c>
    </row>
    <row r="4158" spans="1:5" x14ac:dyDescent="0.2">
      <c r="A4158">
        <v>8.8535000000000003E-2</v>
      </c>
      <c r="B4158">
        <v>0.46304651839543498</v>
      </c>
      <c r="C4158">
        <v>0.41453008087395998</v>
      </c>
      <c r="D4158">
        <v>0.62282737762861795</v>
      </c>
      <c r="E4158">
        <v>0.58265723685974602</v>
      </c>
    </row>
    <row r="4159" spans="1:5" x14ac:dyDescent="0.2">
      <c r="A4159">
        <v>8.8568333333333304E-2</v>
      </c>
      <c r="B4159">
        <v>0.463103696860029</v>
      </c>
      <c r="C4159">
        <v>0.41458881583511797</v>
      </c>
      <c r="D4159">
        <v>0.62287774196894696</v>
      </c>
      <c r="E4159">
        <v>0.58271787928744101</v>
      </c>
    </row>
    <row r="4160" spans="1:5" x14ac:dyDescent="0.2">
      <c r="A4160">
        <v>8.8601666666666704E-2</v>
      </c>
      <c r="B4160">
        <v>0.46316090548217598</v>
      </c>
      <c r="C4160">
        <v>0.41464757140284703</v>
      </c>
      <c r="D4160">
        <v>0.62292810409432098</v>
      </c>
      <c r="E4160">
        <v>0.58277847628284096</v>
      </c>
    </row>
    <row r="4161" spans="1:5" x14ac:dyDescent="0.2">
      <c r="A4161">
        <v>8.8635000000000005E-2</v>
      </c>
      <c r="B4161">
        <v>0.46321814521797899</v>
      </c>
      <c r="C4161">
        <v>0.414706347783105</v>
      </c>
      <c r="D4161">
        <v>0.62297846394613399</v>
      </c>
      <c r="E4161">
        <v>0.58283902771103602</v>
      </c>
    </row>
    <row r="4162" spans="1:5" x14ac:dyDescent="0.2">
      <c r="A4162">
        <v>8.8668333333333293E-2</v>
      </c>
      <c r="B4162">
        <v>0.46327541702353803</v>
      </c>
      <c r="C4162">
        <v>0.41476514518184998</v>
      </c>
      <c r="D4162">
        <v>0.62302882146578398</v>
      </c>
      <c r="E4162">
        <v>0.58289953343711898</v>
      </c>
    </row>
    <row r="4163" spans="1:5" x14ac:dyDescent="0.2">
      <c r="A4163">
        <v>8.8701666666666706E-2</v>
      </c>
      <c r="B4163">
        <v>0.463332721854954</v>
      </c>
      <c r="C4163">
        <v>0.414823963805041</v>
      </c>
      <c r="D4163">
        <v>0.62307917659466605</v>
      </c>
      <c r="E4163">
        <v>0.58295999332618098</v>
      </c>
    </row>
    <row r="4164" spans="1:5" x14ac:dyDescent="0.2">
      <c r="A4164">
        <v>8.8734999999999994E-2</v>
      </c>
      <c r="B4164">
        <v>0.463390060668328</v>
      </c>
      <c r="C4164">
        <v>0.41488280385863402</v>
      </c>
      <c r="D4164">
        <v>0.62312952927417598</v>
      </c>
      <c r="E4164">
        <v>0.58302040724331206</v>
      </c>
    </row>
    <row r="4165" spans="1:5" x14ac:dyDescent="0.2">
      <c r="A4165">
        <v>8.8768333333333296E-2</v>
      </c>
      <c r="B4165">
        <v>0.463447434419761</v>
      </c>
      <c r="C4165">
        <v>0.41494166554858902</v>
      </c>
      <c r="D4165">
        <v>0.62317987944571096</v>
      </c>
      <c r="E4165">
        <v>0.58308077505360401</v>
      </c>
    </row>
    <row r="4166" spans="1:5" x14ac:dyDescent="0.2">
      <c r="A4166">
        <v>8.8801666666666695E-2</v>
      </c>
      <c r="B4166">
        <v>0.46350484406535403</v>
      </c>
      <c r="C4166">
        <v>0.41500054908086298</v>
      </c>
      <c r="D4166">
        <v>0.623230227050667</v>
      </c>
      <c r="E4166">
        <v>0.58314109662214897</v>
      </c>
    </row>
    <row r="4167" spans="1:5" x14ac:dyDescent="0.2">
      <c r="A4167">
        <v>8.8834999999999997E-2</v>
      </c>
      <c r="B4167">
        <v>0.46356229056120801</v>
      </c>
      <c r="C4167">
        <v>0.41505945466141297</v>
      </c>
      <c r="D4167">
        <v>0.62328057203043896</v>
      </c>
      <c r="E4167">
        <v>0.58320137181403797</v>
      </c>
    </row>
    <row r="4168" spans="1:5" x14ac:dyDescent="0.2">
      <c r="A4168">
        <v>8.8868333333333299E-2</v>
      </c>
      <c r="B4168">
        <v>0.46361977486342398</v>
      </c>
      <c r="C4168">
        <v>0.41511838249619898</v>
      </c>
      <c r="D4168">
        <v>0.62333091432642396</v>
      </c>
      <c r="E4168">
        <v>0.58326160049436104</v>
      </c>
    </row>
    <row r="4169" spans="1:5" x14ac:dyDescent="0.2">
      <c r="A4169">
        <v>8.8901666666666698E-2</v>
      </c>
      <c r="B4169">
        <v>0.46367729792810197</v>
      </c>
      <c r="C4169">
        <v>0.41517733279117702</v>
      </c>
      <c r="D4169">
        <v>0.62338125388001797</v>
      </c>
      <c r="E4169">
        <v>0.58332178252821099</v>
      </c>
    </row>
    <row r="4170" spans="1:5" x14ac:dyDescent="0.2">
      <c r="A4170">
        <v>8.8935E-2</v>
      </c>
      <c r="B4170">
        <v>0.46373486071134501</v>
      </c>
      <c r="C4170">
        <v>0.41523630575230602</v>
      </c>
      <c r="D4170">
        <v>0.62343159063261699</v>
      </c>
      <c r="E4170">
        <v>0.58338191778067805</v>
      </c>
    </row>
    <row r="4171" spans="1:5" x14ac:dyDescent="0.2">
      <c r="A4171">
        <v>8.8968333333333302E-2</v>
      </c>
      <c r="B4171">
        <v>0.46379246416925202</v>
      </c>
      <c r="C4171">
        <v>0.41529530158554401</v>
      </c>
      <c r="D4171">
        <v>0.62348192452561702</v>
      </c>
      <c r="E4171">
        <v>0.58344200611685304</v>
      </c>
    </row>
    <row r="4172" spans="1:5" x14ac:dyDescent="0.2">
      <c r="A4172">
        <v>8.9001666666666701E-2</v>
      </c>
      <c r="B4172">
        <v>0.46385010925771802</v>
      </c>
      <c r="C4172">
        <v>0.41535432049668303</v>
      </c>
      <c r="D4172">
        <v>0.62353225550041402</v>
      </c>
      <c r="E4172">
        <v>0.58350204740182898</v>
      </c>
    </row>
    <row r="4173" spans="1:5" x14ac:dyDescent="0.2">
      <c r="A4173">
        <v>8.9035000000000003E-2</v>
      </c>
      <c r="B4173">
        <v>0.463907795024674</v>
      </c>
      <c r="C4173">
        <v>0.41541336115426702</v>
      </c>
      <c r="D4173">
        <v>0.62358258349840501</v>
      </c>
      <c r="E4173">
        <v>0.58356204150069702</v>
      </c>
    </row>
    <row r="4174" spans="1:5" x14ac:dyDescent="0.2">
      <c r="A4174">
        <v>8.9068333333333305E-2</v>
      </c>
      <c r="B4174">
        <v>0.46396551394662799</v>
      </c>
      <c r="C4174">
        <v>0.41547241693225201</v>
      </c>
      <c r="D4174">
        <v>0.62363290846098396</v>
      </c>
      <c r="E4174">
        <v>0.58362198827854705</v>
      </c>
    </row>
    <row r="4175" spans="1:5" x14ac:dyDescent="0.2">
      <c r="A4175">
        <v>8.9101666666666704E-2</v>
      </c>
      <c r="B4175">
        <v>0.46402325708637598</v>
      </c>
      <c r="C4175">
        <v>0.41553148006556401</v>
      </c>
      <c r="D4175">
        <v>0.62368323032954998</v>
      </c>
      <c r="E4175">
        <v>0.58368188760047002</v>
      </c>
    </row>
    <row r="4176" spans="1:5" x14ac:dyDescent="0.2">
      <c r="A4176">
        <v>8.9135000000000006E-2</v>
      </c>
      <c r="B4176">
        <v>0.46408101550671399</v>
      </c>
      <c r="C4176">
        <v>0.41559054278912999</v>
      </c>
      <c r="D4176">
        <v>0.62373354904549605</v>
      </c>
      <c r="E4176">
        <v>0.58374173933155904</v>
      </c>
    </row>
    <row r="4177" spans="1:5" x14ac:dyDescent="0.2">
      <c r="A4177">
        <v>8.9168333333333294E-2</v>
      </c>
      <c r="B4177">
        <v>0.46413878027043998</v>
      </c>
      <c r="C4177">
        <v>0.41564959733787699</v>
      </c>
      <c r="D4177">
        <v>0.62378386455021995</v>
      </c>
      <c r="E4177">
        <v>0.58380154333690504</v>
      </c>
    </row>
    <row r="4178" spans="1:5" x14ac:dyDescent="0.2">
      <c r="A4178">
        <v>8.9201666666666707E-2</v>
      </c>
      <c r="B4178">
        <v>0.46419654244035002</v>
      </c>
      <c r="C4178">
        <v>0.41570863594673202</v>
      </c>
      <c r="D4178">
        <v>0.62383417678511799</v>
      </c>
      <c r="E4178">
        <v>0.58386129948159804</v>
      </c>
    </row>
    <row r="4179" spans="1:5" x14ac:dyDescent="0.2">
      <c r="A4179">
        <v>8.9234999999999995E-2</v>
      </c>
      <c r="B4179">
        <v>0.46425429307923999</v>
      </c>
      <c r="C4179">
        <v>0.41576765085062301</v>
      </c>
      <c r="D4179">
        <v>0.62388448569158605</v>
      </c>
      <c r="E4179">
        <v>0.58392100763073096</v>
      </c>
    </row>
    <row r="4180" spans="1:5" x14ac:dyDescent="0.2">
      <c r="A4180">
        <v>8.9268333333333297E-2</v>
      </c>
      <c r="B4180">
        <v>0.464312023249906</v>
      </c>
      <c r="C4180">
        <v>0.41582663428447603</v>
      </c>
      <c r="D4180">
        <v>0.62393479121102002</v>
      </c>
      <c r="E4180">
        <v>0.58398066764939305</v>
      </c>
    </row>
    <row r="4181" spans="1:5" x14ac:dyDescent="0.2">
      <c r="A4181">
        <v>8.9301666666666696E-2</v>
      </c>
      <c r="B4181">
        <v>0.46436972401514598</v>
      </c>
      <c r="C4181">
        <v>0.415885578483218</v>
      </c>
      <c r="D4181">
        <v>0.623985093284815</v>
      </c>
      <c r="E4181">
        <v>0.584040279402677</v>
      </c>
    </row>
    <row r="4182" spans="1:5" x14ac:dyDescent="0.2">
      <c r="A4182">
        <v>8.9334999999999998E-2</v>
      </c>
      <c r="B4182">
        <v>0.464427386437755</v>
      </c>
      <c r="C4182">
        <v>0.415944475681776</v>
      </c>
      <c r="D4182">
        <v>0.62403539185436896</v>
      </c>
      <c r="E4182">
        <v>0.58409984275567395</v>
      </c>
    </row>
    <row r="4183" spans="1:5" x14ac:dyDescent="0.2">
      <c r="A4183">
        <v>8.93683333333333E-2</v>
      </c>
      <c r="B4183">
        <v>0.46448500158053002</v>
      </c>
      <c r="C4183">
        <v>0.41600331811507701</v>
      </c>
      <c r="D4183">
        <v>0.62408568686107702</v>
      </c>
      <c r="E4183">
        <v>0.58415935757347603</v>
      </c>
    </row>
    <row r="4184" spans="1:5" x14ac:dyDescent="0.2">
      <c r="A4184">
        <v>8.9401666666666699E-2</v>
      </c>
      <c r="B4184">
        <v>0.46454256050626702</v>
      </c>
      <c r="C4184">
        <v>0.416062098018049</v>
      </c>
      <c r="D4184">
        <v>0.62413597824633504</v>
      </c>
      <c r="E4184">
        <v>0.58421882372117195</v>
      </c>
    </row>
    <row r="4185" spans="1:5" x14ac:dyDescent="0.2">
      <c r="A4185">
        <v>8.9435000000000001E-2</v>
      </c>
      <c r="B4185">
        <v>0.46460005427776402</v>
      </c>
      <c r="C4185">
        <v>0.41612080762561798</v>
      </c>
      <c r="D4185">
        <v>0.62418626595153903</v>
      </c>
      <c r="E4185">
        <v>0.58427824106385595</v>
      </c>
    </row>
    <row r="4186" spans="1:5" x14ac:dyDescent="0.2">
      <c r="A4186">
        <v>8.9468333333333303E-2</v>
      </c>
      <c r="B4186">
        <v>0.46465747395781498</v>
      </c>
      <c r="C4186">
        <v>0.416179439172711</v>
      </c>
      <c r="D4186">
        <v>0.62423654991808597</v>
      </c>
      <c r="E4186">
        <v>0.58433760946661695</v>
      </c>
    </row>
    <row r="4187" spans="1:5" x14ac:dyDescent="0.2">
      <c r="A4187">
        <v>8.9501666666666702E-2</v>
      </c>
      <c r="B4187">
        <v>0.46471481060921899</v>
      </c>
      <c r="C4187">
        <v>0.41623798489425501</v>
      </c>
      <c r="D4187">
        <v>0.62428683008737196</v>
      </c>
      <c r="E4187">
        <v>0.58439692879454797</v>
      </c>
    </row>
    <row r="4188" spans="1:5" x14ac:dyDescent="0.2">
      <c r="A4188">
        <v>8.9535000000000003E-2</v>
      </c>
      <c r="B4188">
        <v>0.464772055294771</v>
      </c>
      <c r="C4188">
        <v>0.41629643702517799</v>
      </c>
      <c r="D4188">
        <v>0.62433710640079099</v>
      </c>
      <c r="E4188">
        <v>0.58445619891273903</v>
      </c>
    </row>
    <row r="4189" spans="1:5" x14ac:dyDescent="0.2">
      <c r="A4189">
        <v>8.9568333333333305E-2</v>
      </c>
      <c r="B4189">
        <v>0.464829199077267</v>
      </c>
      <c r="C4189">
        <v>0.41635478780040602</v>
      </c>
      <c r="D4189">
        <v>0.62438737879974204</v>
      </c>
      <c r="E4189">
        <v>0.58451541968628196</v>
      </c>
    </row>
    <row r="4190" spans="1:5" x14ac:dyDescent="0.2">
      <c r="A4190">
        <v>8.9601666666666704E-2</v>
      </c>
      <c r="B4190">
        <v>0.46488623301950499</v>
      </c>
      <c r="C4190">
        <v>0.41641302945486602</v>
      </c>
      <c r="D4190">
        <v>0.62443764722562001</v>
      </c>
      <c r="E4190">
        <v>0.58457459098026898</v>
      </c>
    </row>
    <row r="4191" spans="1:5" x14ac:dyDescent="0.2">
      <c r="A4191">
        <v>8.9635000000000006E-2</v>
      </c>
      <c r="B4191">
        <v>0.46494314818428101</v>
      </c>
      <c r="C4191">
        <v>0.41647115422348502</v>
      </c>
      <c r="D4191">
        <v>0.62448791161981998</v>
      </c>
      <c r="E4191">
        <v>0.58463371265978903</v>
      </c>
    </row>
    <row r="4192" spans="1:5" x14ac:dyDescent="0.2">
      <c r="A4192">
        <v>8.9668333333333294E-2</v>
      </c>
      <c r="B4192">
        <v>0.46499993563439002</v>
      </c>
      <c r="C4192">
        <v>0.41652915434119098</v>
      </c>
      <c r="D4192">
        <v>0.62453817192373895</v>
      </c>
      <c r="E4192">
        <v>0.58469278458993601</v>
      </c>
    </row>
    <row r="4193" spans="1:5" x14ac:dyDescent="0.2">
      <c r="A4193">
        <v>8.9701666666666693E-2</v>
      </c>
      <c r="B4193">
        <v>0.46505658643263098</v>
      </c>
      <c r="C4193">
        <v>0.41658702204291098</v>
      </c>
      <c r="D4193">
        <v>0.62458842807877402</v>
      </c>
      <c r="E4193">
        <v>0.58475180663579895</v>
      </c>
    </row>
    <row r="4194" spans="1:5" x14ac:dyDescent="0.2">
      <c r="A4194">
        <v>8.9734999999999995E-2</v>
      </c>
      <c r="B4194">
        <v>0.46511309164179798</v>
      </c>
      <c r="C4194">
        <v>0.41664474956357</v>
      </c>
      <c r="D4194">
        <v>0.62463868002631895</v>
      </c>
      <c r="E4194">
        <v>0.584810778662471</v>
      </c>
    </row>
    <row r="4195" spans="1:5" x14ac:dyDescent="0.2">
      <c r="A4195">
        <v>8.9768333333333297E-2</v>
      </c>
      <c r="B4195">
        <v>0.46516944232468899</v>
      </c>
      <c r="C4195">
        <v>0.41670232913809702</v>
      </c>
      <c r="D4195">
        <v>0.62468892770777196</v>
      </c>
      <c r="E4195">
        <v>0.58486970053504195</v>
      </c>
    </row>
    <row r="4196" spans="1:5" x14ac:dyDescent="0.2">
      <c r="A4196">
        <v>8.9801666666666696E-2</v>
      </c>
      <c r="B4196">
        <v>0.46522562954409902</v>
      </c>
      <c r="C4196">
        <v>0.41675975300141799</v>
      </c>
      <c r="D4196">
        <v>0.62473917106452803</v>
      </c>
      <c r="E4196">
        <v>0.58492857211860405</v>
      </c>
    </row>
    <row r="4197" spans="1:5" x14ac:dyDescent="0.2">
      <c r="A4197">
        <v>8.9834999999999998E-2</v>
      </c>
      <c r="B4197">
        <v>0.46528164436282698</v>
      </c>
      <c r="C4197">
        <v>0.416817013388461</v>
      </c>
      <c r="D4197">
        <v>0.62478941003798405</v>
      </c>
      <c r="E4197">
        <v>0.584987393278248</v>
      </c>
    </row>
    <row r="4198" spans="1:5" x14ac:dyDescent="0.2">
      <c r="A4198">
        <v>8.98683333333333E-2</v>
      </c>
      <c r="B4198">
        <v>0.46533747784366702</v>
      </c>
      <c r="C4198">
        <v>0.41687410253415202</v>
      </c>
      <c r="D4198">
        <v>0.624839644569535</v>
      </c>
      <c r="E4198">
        <v>0.58504616387906505</v>
      </c>
    </row>
    <row r="4199" spans="1:5" x14ac:dyDescent="0.2">
      <c r="A4199">
        <v>8.9901666666666699E-2</v>
      </c>
      <c r="B4199">
        <v>0.46539312104941599</v>
      </c>
      <c r="C4199">
        <v>0.41693101267341798</v>
      </c>
      <c r="D4199">
        <v>0.62488987460057699</v>
      </c>
      <c r="E4199">
        <v>0.585104883786147</v>
      </c>
    </row>
    <row r="4200" spans="1:5" x14ac:dyDescent="0.2">
      <c r="A4200">
        <v>8.9935000000000001E-2</v>
      </c>
      <c r="B4200">
        <v>0.46544856504287202</v>
      </c>
      <c r="C4200">
        <v>0.416987736041187</v>
      </c>
      <c r="D4200">
        <v>0.624940100072508</v>
      </c>
      <c r="E4200">
        <v>0.58516355286458599</v>
      </c>
    </row>
    <row r="4201" spans="1:5" x14ac:dyDescent="0.2">
      <c r="A4201">
        <v>8.9968333333333303E-2</v>
      </c>
      <c r="B4201">
        <v>0.46550380088682902</v>
      </c>
      <c r="C4201">
        <v>0.41704426487238599</v>
      </c>
      <c r="D4201">
        <v>0.62499032092672202</v>
      </c>
      <c r="E4201">
        <v>0.58522217097947105</v>
      </c>
    </row>
    <row r="4202" spans="1:5" x14ac:dyDescent="0.2">
      <c r="A4202">
        <v>9.0001666666666702E-2</v>
      </c>
      <c r="B4202">
        <v>0.46555881964444601</v>
      </c>
      <c r="C4202">
        <v>0.41710059140226002</v>
      </c>
      <c r="D4202">
        <v>0.62504053710461605</v>
      </c>
      <c r="E4202">
        <v>0.58528073799589497</v>
      </c>
    </row>
    <row r="4203" spans="1:5" x14ac:dyDescent="0.2">
      <c r="A4203">
        <v>9.0035000000000004E-2</v>
      </c>
      <c r="B4203">
        <v>0.46561361571694299</v>
      </c>
      <c r="C4203">
        <v>0.41715671082695299</v>
      </c>
      <c r="D4203">
        <v>0.62509074854758595</v>
      </c>
      <c r="E4203">
        <v>0.58533925377894802</v>
      </c>
    </row>
    <row r="4204" spans="1:5" x14ac:dyDescent="0.2">
      <c r="A4204">
        <v>9.0068333333333306E-2</v>
      </c>
      <c r="B4204">
        <v>0.46566819500251</v>
      </c>
      <c r="C4204">
        <v>0.41721262854053298</v>
      </c>
      <c r="D4204">
        <v>0.62514095519702795</v>
      </c>
      <c r="E4204">
        <v>0.58539771819372299</v>
      </c>
    </row>
    <row r="4205" spans="1:5" x14ac:dyDescent="0.2">
      <c r="A4205">
        <v>9.0101666666666705E-2</v>
      </c>
      <c r="B4205">
        <v>0.46572256587268701</v>
      </c>
      <c r="C4205">
        <v>0.41726835213095398</v>
      </c>
      <c r="D4205">
        <v>0.62519115699433903</v>
      </c>
      <c r="E4205">
        <v>0.58545613110531003</v>
      </c>
    </row>
    <row r="4206" spans="1:5" x14ac:dyDescent="0.2">
      <c r="A4206">
        <v>9.0135000000000007E-2</v>
      </c>
      <c r="B4206">
        <v>0.46577673669901298</v>
      </c>
      <c r="C4206">
        <v>0.41732388918616897</v>
      </c>
      <c r="D4206">
        <v>0.62524135388091295</v>
      </c>
      <c r="E4206">
        <v>0.58551449237880104</v>
      </c>
    </row>
    <row r="4207" spans="1:5" x14ac:dyDescent="0.2">
      <c r="A4207">
        <v>9.0168333333333295E-2</v>
      </c>
      <c r="B4207">
        <v>0.46583071585302599</v>
      </c>
      <c r="C4207">
        <v>0.41737924729413001</v>
      </c>
      <c r="D4207">
        <v>0.62529154579814805</v>
      </c>
      <c r="E4207">
        <v>0.58557280187928595</v>
      </c>
    </row>
    <row r="4208" spans="1:5" x14ac:dyDescent="0.2">
      <c r="A4208">
        <v>9.0201666666666694E-2</v>
      </c>
      <c r="B4208">
        <v>0.46588451170626399</v>
      </c>
      <c r="C4208">
        <v>0.41743443404279001</v>
      </c>
      <c r="D4208">
        <v>0.62534173268743898</v>
      </c>
      <c r="E4208">
        <v>0.58563105947185801</v>
      </c>
    </row>
    <row r="4209" spans="1:5" x14ac:dyDescent="0.2">
      <c r="A4209">
        <v>9.0234999999999996E-2</v>
      </c>
      <c r="B4209">
        <v>0.46593813263026801</v>
      </c>
      <c r="C4209">
        <v>0.41748945702010298</v>
      </c>
      <c r="D4209">
        <v>0.62539191449018305</v>
      </c>
      <c r="E4209">
        <v>0.58568926502160701</v>
      </c>
    </row>
    <row r="4210" spans="1:5" x14ac:dyDescent="0.2">
      <c r="A4210">
        <v>9.0268333333333298E-2</v>
      </c>
      <c r="B4210">
        <v>0.465991586996575</v>
      </c>
      <c r="C4210">
        <v>0.41754432381402101</v>
      </c>
      <c r="D4210">
        <v>0.62544209114777605</v>
      </c>
      <c r="E4210">
        <v>0.58574741839362499</v>
      </c>
    </row>
    <row r="4211" spans="1:5" x14ac:dyDescent="0.2">
      <c r="A4211">
        <v>9.0301666666666697E-2</v>
      </c>
      <c r="B4211">
        <v>0.46604488317672299</v>
      </c>
      <c r="C4211">
        <v>0.41759904201249698</v>
      </c>
      <c r="D4211">
        <v>0.62549226260161295</v>
      </c>
      <c r="E4211">
        <v>0.58580551945300297</v>
      </c>
    </row>
    <row r="4212" spans="1:5" x14ac:dyDescent="0.2">
      <c r="A4212">
        <v>9.0334999999999999E-2</v>
      </c>
      <c r="B4212">
        <v>0.46609802954225299</v>
      </c>
      <c r="C4212">
        <v>0.41765361920348398</v>
      </c>
      <c r="D4212">
        <v>0.62554242879309097</v>
      </c>
      <c r="E4212">
        <v>0.58586356806483297</v>
      </c>
    </row>
    <row r="4213" spans="1:5" x14ac:dyDescent="0.2">
      <c r="A4213">
        <v>9.0368333333333301E-2</v>
      </c>
      <c r="B4213">
        <v>0.46615103446470202</v>
      </c>
      <c r="C4213">
        <v>0.41770806297493501</v>
      </c>
      <c r="D4213">
        <v>0.62559258966360598</v>
      </c>
      <c r="E4213">
        <v>0.58592156409420404</v>
      </c>
    </row>
    <row r="4214" spans="1:5" x14ac:dyDescent="0.2">
      <c r="A4214">
        <v>9.04016666666667E-2</v>
      </c>
      <c r="B4214">
        <v>0.46620390631560898</v>
      </c>
      <c r="C4214">
        <v>0.417762380914803</v>
      </c>
      <c r="D4214">
        <v>0.62564274515455398</v>
      </c>
      <c r="E4214">
        <v>0.58597950740620997</v>
      </c>
    </row>
    <row r="4215" spans="1:5" x14ac:dyDescent="0.2">
      <c r="A4215">
        <v>9.0435000000000001E-2</v>
      </c>
      <c r="B4215">
        <v>0.46625665346651401</v>
      </c>
      <c r="C4215">
        <v>0.41781658061104099</v>
      </c>
      <c r="D4215">
        <v>0.62569289520732996</v>
      </c>
      <c r="E4215">
        <v>0.586037397865941</v>
      </c>
    </row>
    <row r="4216" spans="1:5" x14ac:dyDescent="0.2">
      <c r="A4216">
        <v>9.0468333333333303E-2</v>
      </c>
      <c r="B4216">
        <v>0.46630928428895302</v>
      </c>
      <c r="C4216">
        <v>0.41787066965160102</v>
      </c>
      <c r="D4216">
        <v>0.62574303976333301</v>
      </c>
      <c r="E4216">
        <v>0.58609523533848895</v>
      </c>
    </row>
    <row r="4217" spans="1:5" x14ac:dyDescent="0.2">
      <c r="A4217">
        <v>9.0501666666666702E-2</v>
      </c>
      <c r="B4217">
        <v>0.46636180715446801</v>
      </c>
      <c r="C4217">
        <v>0.41792465562443698</v>
      </c>
      <c r="D4217">
        <v>0.62579317876395602</v>
      </c>
      <c r="E4217">
        <v>0.58615301968894395</v>
      </c>
    </row>
    <row r="4218" spans="1:5" x14ac:dyDescent="0.2">
      <c r="A4218">
        <v>9.0535000000000004E-2</v>
      </c>
      <c r="B4218">
        <v>0.46641423043459501</v>
      </c>
      <c r="C4218">
        <v>0.41797854611750201</v>
      </c>
      <c r="D4218">
        <v>0.62584331215059696</v>
      </c>
      <c r="E4218">
        <v>0.58621075078239804</v>
      </c>
    </row>
    <row r="4219" spans="1:5" x14ac:dyDescent="0.2">
      <c r="A4219">
        <v>9.0568333333333306E-2</v>
      </c>
      <c r="B4219">
        <v>0.46646656250087398</v>
      </c>
      <c r="C4219">
        <v>0.418032348718749</v>
      </c>
      <c r="D4219">
        <v>0.62589343986465096</v>
      </c>
      <c r="E4219">
        <v>0.586268428483943</v>
      </c>
    </row>
    <row r="4220" spans="1:5" x14ac:dyDescent="0.2">
      <c r="A4220">
        <v>9.0601666666666705E-2</v>
      </c>
      <c r="B4220">
        <v>0.466518811724844</v>
      </c>
      <c r="C4220">
        <v>0.41808607101612999</v>
      </c>
      <c r="D4220">
        <v>0.62594356184751399</v>
      </c>
      <c r="E4220">
        <v>0.58632605265866899</v>
      </c>
    </row>
    <row r="4221" spans="1:5" x14ac:dyDescent="0.2">
      <c r="A4221">
        <v>9.0634999999999993E-2</v>
      </c>
      <c r="B4221">
        <v>0.46657098647804301</v>
      </c>
      <c r="C4221">
        <v>0.41813972059759802</v>
      </c>
      <c r="D4221">
        <v>0.62599367804058403</v>
      </c>
      <c r="E4221">
        <v>0.58638362317166803</v>
      </c>
    </row>
    <row r="4222" spans="1:5" x14ac:dyDescent="0.2">
      <c r="A4222">
        <v>9.0668333333333295E-2</v>
      </c>
      <c r="B4222">
        <v>0.466623095132009</v>
      </c>
      <c r="C4222">
        <v>0.41819330505110702</v>
      </c>
      <c r="D4222">
        <v>0.62604378838525498</v>
      </c>
      <c r="E4222">
        <v>0.58644113988803104</v>
      </c>
    </row>
    <row r="4223" spans="1:5" x14ac:dyDescent="0.2">
      <c r="A4223">
        <v>9.0701666666666694E-2</v>
      </c>
      <c r="B4223">
        <v>0.46667514605828297</v>
      </c>
      <c r="C4223">
        <v>0.41824683196460899</v>
      </c>
      <c r="D4223">
        <v>0.62609389282292305</v>
      </c>
      <c r="E4223">
        <v>0.58649860267284903</v>
      </c>
    </row>
    <row r="4224" spans="1:5" x14ac:dyDescent="0.2">
      <c r="A4224">
        <v>9.0734999999999996E-2</v>
      </c>
      <c r="B4224">
        <v>0.46672714762840201</v>
      </c>
      <c r="C4224">
        <v>0.41830030892605702</v>
      </c>
      <c r="D4224">
        <v>0.62614399129498599</v>
      </c>
      <c r="E4224">
        <v>0.58655601139121405</v>
      </c>
    </row>
    <row r="4225" spans="1:5" x14ac:dyDescent="0.2">
      <c r="A4225">
        <v>9.0768333333333298E-2</v>
      </c>
      <c r="B4225">
        <v>0.466779108213905</v>
      </c>
      <c r="C4225">
        <v>0.41835374352340399</v>
      </c>
      <c r="D4225">
        <v>0.62619408374283902</v>
      </c>
      <c r="E4225">
        <v>0.586613365908218</v>
      </c>
    </row>
    <row r="4226" spans="1:5" x14ac:dyDescent="0.2">
      <c r="A4226">
        <v>9.0801666666666697E-2</v>
      </c>
      <c r="B4226">
        <v>0.46683103618633098</v>
      </c>
      <c r="C4226">
        <v>0.41840714334460299</v>
      </c>
      <c r="D4226">
        <v>0.62624417010787703</v>
      </c>
      <c r="E4226">
        <v>0.58667066608895002</v>
      </c>
    </row>
    <row r="4227" spans="1:5" x14ac:dyDescent="0.2">
      <c r="A4227">
        <v>9.0834999999999999E-2</v>
      </c>
      <c r="B4227">
        <v>0.46688293991721802</v>
      </c>
      <c r="C4227">
        <v>0.41846051597760697</v>
      </c>
      <c r="D4227">
        <v>0.62629425033149799</v>
      </c>
      <c r="E4227">
        <v>0.58672791179850303</v>
      </c>
    </row>
    <row r="4228" spans="1:5" x14ac:dyDescent="0.2">
      <c r="A4228">
        <v>9.0868333333333301E-2</v>
      </c>
      <c r="B4228">
        <v>0.46693482777810602</v>
      </c>
      <c r="C4228">
        <v>0.41851386901036902</v>
      </c>
      <c r="D4228">
        <v>0.62634432435509702</v>
      </c>
      <c r="E4228">
        <v>0.58678510290196795</v>
      </c>
    </row>
    <row r="4229" spans="1:5" x14ac:dyDescent="0.2">
      <c r="A4229">
        <v>9.09016666666667E-2</v>
      </c>
      <c r="B4229">
        <v>0.466986708140532</v>
      </c>
      <c r="C4229">
        <v>0.41856721003084202</v>
      </c>
      <c r="D4229">
        <v>0.62639439212007098</v>
      </c>
      <c r="E4229">
        <v>0.58684223926443502</v>
      </c>
    </row>
    <row r="4230" spans="1:5" x14ac:dyDescent="0.2">
      <c r="A4230">
        <v>9.0935000000000002E-2</v>
      </c>
      <c r="B4230">
        <v>0.46703858937603698</v>
      </c>
      <c r="C4230">
        <v>0.41862054662697901</v>
      </c>
      <c r="D4230">
        <v>0.62644445356781497</v>
      </c>
      <c r="E4230">
        <v>0.58689932075099804</v>
      </c>
    </row>
    <row r="4231" spans="1:5" x14ac:dyDescent="0.2">
      <c r="A4231">
        <v>9.0968333333333304E-2</v>
      </c>
      <c r="B4231">
        <v>0.46709047985615698</v>
      </c>
      <c r="C4231">
        <v>0.41867388638673197</v>
      </c>
      <c r="D4231">
        <v>0.626494508639725</v>
      </c>
      <c r="E4231">
        <v>0.58695634722674594</v>
      </c>
    </row>
    <row r="4232" spans="1:5" x14ac:dyDescent="0.2">
      <c r="A4232">
        <v>9.1001666666666703E-2</v>
      </c>
      <c r="B4232">
        <v>0.46714238795225399</v>
      </c>
      <c r="C4232">
        <v>0.41872723689789398</v>
      </c>
      <c r="D4232">
        <v>0.62654455727719904</v>
      </c>
      <c r="E4232">
        <v>0.58701331855677097</v>
      </c>
    </row>
    <row r="4233" spans="1:5" x14ac:dyDescent="0.2">
      <c r="A4233">
        <v>9.1035000000000005E-2</v>
      </c>
      <c r="B4233">
        <v>0.46719432037861602</v>
      </c>
      <c r="C4233">
        <v>0.41878060425818803</v>
      </c>
      <c r="D4233">
        <v>0.62659459942162998</v>
      </c>
      <c r="E4233">
        <v>0.58707023460616403</v>
      </c>
    </row>
    <row r="4234" spans="1:5" x14ac:dyDescent="0.2">
      <c r="A4234">
        <v>9.1068333333333307E-2</v>
      </c>
      <c r="B4234">
        <v>0.46724627814224001</v>
      </c>
      <c r="C4234">
        <v>0.41883398943323402</v>
      </c>
      <c r="D4234">
        <v>0.62664463501441703</v>
      </c>
      <c r="E4234">
        <v>0.58712709524001605</v>
      </c>
    </row>
    <row r="4235" spans="1:5" x14ac:dyDescent="0.2">
      <c r="A4235">
        <v>9.1101666666666706E-2</v>
      </c>
      <c r="B4235">
        <v>0.46729826102231398</v>
      </c>
      <c r="C4235">
        <v>0.41888739228458499</v>
      </c>
      <c r="D4235">
        <v>0.62669466399695495</v>
      </c>
      <c r="E4235">
        <v>0.58718390032342005</v>
      </c>
    </row>
    <row r="4236" spans="1:5" x14ac:dyDescent="0.2">
      <c r="A4236">
        <v>9.1134999999999994E-2</v>
      </c>
      <c r="B4236">
        <v>0.46735026879802299</v>
      </c>
      <c r="C4236">
        <v>0.41894081267379102</v>
      </c>
      <c r="D4236">
        <v>0.62674468631063895</v>
      </c>
      <c r="E4236">
        <v>0.58724064972146495</v>
      </c>
    </row>
    <row r="4237" spans="1:5" x14ac:dyDescent="0.2">
      <c r="A4237">
        <v>9.1168333333333296E-2</v>
      </c>
      <c r="B4237">
        <v>0.46740230124855398</v>
      </c>
      <c r="C4237">
        <v>0.41899425046240202</v>
      </c>
      <c r="D4237">
        <v>0.62679470189686703</v>
      </c>
      <c r="E4237">
        <v>0.58729734329924399</v>
      </c>
    </row>
    <row r="4238" spans="1:5" x14ac:dyDescent="0.2">
      <c r="A4238">
        <v>9.1201666666666695E-2</v>
      </c>
      <c r="B4238">
        <v>0.467454358153093</v>
      </c>
      <c r="C4238">
        <v>0.41904770551196902</v>
      </c>
      <c r="D4238">
        <v>0.62684471069703296</v>
      </c>
      <c r="E4238">
        <v>0.58735398092184699</v>
      </c>
    </row>
    <row r="4239" spans="1:5" x14ac:dyDescent="0.2">
      <c r="A4239">
        <v>9.1234999999999997E-2</v>
      </c>
      <c r="B4239">
        <v>0.46750643929082802</v>
      </c>
      <c r="C4239">
        <v>0.41910117768404398</v>
      </c>
      <c r="D4239">
        <v>0.62689471265253505</v>
      </c>
      <c r="E4239">
        <v>0.58741056245436696</v>
      </c>
    </row>
    <row r="4240" spans="1:5" x14ac:dyDescent="0.2">
      <c r="A4240">
        <v>9.1268333333333299E-2</v>
      </c>
      <c r="B4240">
        <v>0.46755854444094302</v>
      </c>
      <c r="C4240">
        <v>0.41915466684017599</v>
      </c>
      <c r="D4240">
        <v>0.62694470770476896</v>
      </c>
      <c r="E4240">
        <v>0.58746708776189305</v>
      </c>
    </row>
    <row r="4241" spans="1:5" x14ac:dyDescent="0.2">
      <c r="A4241">
        <v>9.1301666666666698E-2</v>
      </c>
      <c r="B4241">
        <v>0.46761067338262702</v>
      </c>
      <c r="C4241">
        <v>0.41920817284191803</v>
      </c>
      <c r="D4241">
        <v>0.62699469579513001</v>
      </c>
      <c r="E4241">
        <v>0.58752355670951895</v>
      </c>
    </row>
    <row r="4242" spans="1:5" x14ac:dyDescent="0.2">
      <c r="A4242">
        <v>9.1335E-2</v>
      </c>
      <c r="B4242">
        <v>0.46766282589506403</v>
      </c>
      <c r="C4242">
        <v>0.41926169555081899</v>
      </c>
      <c r="D4242">
        <v>0.62704467686501397</v>
      </c>
      <c r="E4242">
        <v>0.58757996916233302</v>
      </c>
    </row>
    <row r="4243" spans="1:5" x14ac:dyDescent="0.2">
      <c r="A4243">
        <v>9.1368333333333301E-2</v>
      </c>
      <c r="B4243">
        <v>0.46771500175744202</v>
      </c>
      <c r="C4243">
        <v>0.41931523482842997</v>
      </c>
      <c r="D4243">
        <v>0.62709465085581795</v>
      </c>
      <c r="E4243">
        <v>0.58763632498542895</v>
      </c>
    </row>
    <row r="4244" spans="1:5" x14ac:dyDescent="0.2">
      <c r="A4244">
        <v>9.14016666666667E-2</v>
      </c>
      <c r="B4244">
        <v>0.46776720074894701</v>
      </c>
      <c r="C4244">
        <v>0.41936879053630199</v>
      </c>
      <c r="D4244">
        <v>0.62714461770893803</v>
      </c>
      <c r="E4244">
        <v>0.58769262404389699</v>
      </c>
    </row>
    <row r="4245" spans="1:5" x14ac:dyDescent="0.2">
      <c r="A4245">
        <v>9.1435000000000002E-2</v>
      </c>
      <c r="B4245">
        <v>0.46781942264876603</v>
      </c>
      <c r="C4245">
        <v>0.41942236253598603</v>
      </c>
      <c r="D4245">
        <v>0.627194577365769</v>
      </c>
      <c r="E4245">
        <v>0.58774886620282896</v>
      </c>
    </row>
    <row r="4246" spans="1:5" x14ac:dyDescent="0.2">
      <c r="A4246">
        <v>9.1468333333333304E-2</v>
      </c>
      <c r="B4246">
        <v>0.46787166723608398</v>
      </c>
      <c r="C4246">
        <v>0.41947595068903298</v>
      </c>
      <c r="D4246">
        <v>0.62724452976770895</v>
      </c>
      <c r="E4246">
        <v>0.58780505132731597</v>
      </c>
    </row>
    <row r="4247" spans="1:5" x14ac:dyDescent="0.2">
      <c r="A4247">
        <v>9.1501666666666703E-2</v>
      </c>
      <c r="B4247">
        <v>0.46792393429008899</v>
      </c>
      <c r="C4247">
        <v>0.419529554856993</v>
      </c>
      <c r="D4247">
        <v>0.62729447485615197</v>
      </c>
      <c r="E4247">
        <v>0.58786117928244896</v>
      </c>
    </row>
    <row r="4248" spans="1:5" x14ac:dyDescent="0.2">
      <c r="A4248">
        <v>9.1535000000000005E-2</v>
      </c>
      <c r="B4248">
        <v>0.46797622358996599</v>
      </c>
      <c r="C4248">
        <v>0.419583174901418</v>
      </c>
      <c r="D4248">
        <v>0.62734441257249596</v>
      </c>
      <c r="E4248">
        <v>0.58791724993331895</v>
      </c>
    </row>
    <row r="4249" spans="1:5" x14ac:dyDescent="0.2">
      <c r="A4249">
        <v>9.1568333333333293E-2</v>
      </c>
      <c r="B4249">
        <v>0.46802853491490298</v>
      </c>
      <c r="C4249">
        <v>0.419636810683857</v>
      </c>
      <c r="D4249">
        <v>0.627394342858135</v>
      </c>
      <c r="E4249">
        <v>0.58797326314501797</v>
      </c>
    </row>
    <row r="4250" spans="1:5" x14ac:dyDescent="0.2">
      <c r="A4250">
        <v>9.1601666666666706E-2</v>
      </c>
      <c r="B4250">
        <v>0.468080868044085</v>
      </c>
      <c r="C4250">
        <v>0.41969046206586302</v>
      </c>
      <c r="D4250">
        <v>0.62744426565446698</v>
      </c>
      <c r="E4250">
        <v>0.58802921878263703</v>
      </c>
    </row>
    <row r="4251" spans="1:5" x14ac:dyDescent="0.2">
      <c r="A4251">
        <v>9.1634999999999994E-2</v>
      </c>
      <c r="B4251">
        <v>0.468133222756699</v>
      </c>
      <c r="C4251">
        <v>0.41974412890898499</v>
      </c>
      <c r="D4251">
        <v>0.627494180902887</v>
      </c>
      <c r="E4251">
        <v>0.58808511671126695</v>
      </c>
    </row>
    <row r="4252" spans="1:5" x14ac:dyDescent="0.2">
      <c r="A4252">
        <v>9.1668333333333296E-2</v>
      </c>
      <c r="B4252">
        <v>0.468185598831932</v>
      </c>
      <c r="C4252">
        <v>0.41979781107477498</v>
      </c>
      <c r="D4252">
        <v>0.62754408854479204</v>
      </c>
      <c r="E4252">
        <v>0.58814095679599998</v>
      </c>
    </row>
    <row r="4253" spans="1:5" x14ac:dyDescent="0.2">
      <c r="A4253">
        <v>9.1701666666666695E-2</v>
      </c>
      <c r="B4253">
        <v>0.46823799604896998</v>
      </c>
      <c r="C4253">
        <v>0.41985150842478303</v>
      </c>
      <c r="D4253">
        <v>0.627593988521577</v>
      </c>
      <c r="E4253">
        <v>0.58819673890192703</v>
      </c>
    </row>
    <row r="4254" spans="1:5" x14ac:dyDescent="0.2">
      <c r="A4254">
        <v>9.1734999999999997E-2</v>
      </c>
      <c r="B4254">
        <v>0.46829041418699902</v>
      </c>
      <c r="C4254">
        <v>0.41990522082055898</v>
      </c>
      <c r="D4254">
        <v>0.62764388077463895</v>
      </c>
      <c r="E4254">
        <v>0.58825246289413902</v>
      </c>
    </row>
    <row r="4255" spans="1:5" x14ac:dyDescent="0.2">
      <c r="A4255">
        <v>9.1768333333333299E-2</v>
      </c>
      <c r="B4255">
        <v>0.46834285302520601</v>
      </c>
      <c r="C4255">
        <v>0.41995894812365597</v>
      </c>
      <c r="D4255">
        <v>0.62769376524537401</v>
      </c>
      <c r="E4255">
        <v>0.58830812863772697</v>
      </c>
    </row>
    <row r="4256" spans="1:5" x14ac:dyDescent="0.2">
      <c r="A4256">
        <v>9.1801666666666698E-2</v>
      </c>
      <c r="B4256">
        <v>0.46839531234277698</v>
      </c>
      <c r="C4256">
        <v>0.42001269019562298</v>
      </c>
      <c r="D4256">
        <v>0.62774364187517695</v>
      </c>
      <c r="E4256">
        <v>0.58836373599778302</v>
      </c>
    </row>
    <row r="4257" spans="1:5" x14ac:dyDescent="0.2">
      <c r="A4257">
        <v>9.1835E-2</v>
      </c>
      <c r="B4257">
        <v>0.46844779191889901</v>
      </c>
      <c r="C4257">
        <v>0.42006644689801198</v>
      </c>
      <c r="D4257">
        <v>0.62779351060544597</v>
      </c>
      <c r="E4257">
        <v>0.58841928483939798</v>
      </c>
    </row>
    <row r="4258" spans="1:5" x14ac:dyDescent="0.2">
      <c r="A4258">
        <v>9.1868333333333302E-2</v>
      </c>
      <c r="B4258">
        <v>0.46850029153275802</v>
      </c>
      <c r="C4258">
        <v>0.42012021809237299</v>
      </c>
      <c r="D4258">
        <v>0.62784337137757495</v>
      </c>
      <c r="E4258">
        <v>0.58847477502766399</v>
      </c>
    </row>
    <row r="4259" spans="1:5" x14ac:dyDescent="0.2">
      <c r="A4259">
        <v>9.1901666666666701E-2</v>
      </c>
      <c r="B4259">
        <v>0.46855281096354001</v>
      </c>
      <c r="C4259">
        <v>0.42017400364025598</v>
      </c>
      <c r="D4259">
        <v>0.627893224132961</v>
      </c>
      <c r="E4259">
        <v>0.58853020642767095</v>
      </c>
    </row>
    <row r="4260" spans="1:5" x14ac:dyDescent="0.2">
      <c r="A4260">
        <v>9.1935000000000003E-2</v>
      </c>
      <c r="B4260">
        <v>0.46860534999043302</v>
      </c>
      <c r="C4260">
        <v>0.42022780340321397</v>
      </c>
      <c r="D4260">
        <v>0.62794306881300099</v>
      </c>
      <c r="E4260">
        <v>0.58858557890451002</v>
      </c>
    </row>
    <row r="4261" spans="1:5" x14ac:dyDescent="0.2">
      <c r="A4261">
        <v>9.1968333333333305E-2</v>
      </c>
      <c r="B4261">
        <v>0.468657908392622</v>
      </c>
      <c r="C4261">
        <v>0.420281617242796</v>
      </c>
      <c r="D4261">
        <v>0.62799290535909003</v>
      </c>
      <c r="E4261">
        <v>0.58864089232327399</v>
      </c>
    </row>
    <row r="4262" spans="1:5" x14ac:dyDescent="0.2">
      <c r="A4262">
        <v>9.2001666666666704E-2</v>
      </c>
      <c r="B4262">
        <v>0.46871048594929299</v>
      </c>
      <c r="C4262">
        <v>0.42033544502055298</v>
      </c>
      <c r="D4262">
        <v>0.62804273371262398</v>
      </c>
      <c r="E4262">
        <v>0.588696146549053</v>
      </c>
    </row>
    <row r="4263" spans="1:5" x14ac:dyDescent="0.2">
      <c r="A4263">
        <v>9.2035000000000006E-2</v>
      </c>
      <c r="B4263">
        <v>0.46876308243963399</v>
      </c>
      <c r="C4263">
        <v>0.42038928659803698</v>
      </c>
      <c r="D4263">
        <v>0.62809255381499995</v>
      </c>
      <c r="E4263">
        <v>0.58875134144693897</v>
      </c>
    </row>
    <row r="4264" spans="1:5" x14ac:dyDescent="0.2">
      <c r="A4264">
        <v>9.2068333333333294E-2</v>
      </c>
      <c r="B4264">
        <v>0.46881569764283099</v>
      </c>
      <c r="C4264">
        <v>0.42044314183679798</v>
      </c>
      <c r="D4264">
        <v>0.62814236560761305</v>
      </c>
      <c r="E4264">
        <v>0.58880647688202303</v>
      </c>
    </row>
    <row r="4265" spans="1:5" x14ac:dyDescent="0.2">
      <c r="A4265">
        <v>9.2101666666666707E-2</v>
      </c>
      <c r="B4265">
        <v>0.46886833133806899</v>
      </c>
      <c r="C4265">
        <v>0.42049701059838601</v>
      </c>
      <c r="D4265">
        <v>0.62819216903186004</v>
      </c>
      <c r="E4265">
        <v>0.588861552719396</v>
      </c>
    </row>
    <row r="4266" spans="1:5" x14ac:dyDescent="0.2">
      <c r="A4266">
        <v>9.2134999999999995E-2</v>
      </c>
      <c r="B4266">
        <v>0.46892098330453702</v>
      </c>
      <c r="C4266">
        <v>0.42055089274435298</v>
      </c>
      <c r="D4266">
        <v>0.62824196402913601</v>
      </c>
      <c r="E4266">
        <v>0.588916568824149</v>
      </c>
    </row>
    <row r="4267" spans="1:5" x14ac:dyDescent="0.2">
      <c r="A4267">
        <v>9.2168333333333297E-2</v>
      </c>
      <c r="B4267">
        <v>0.46897365332141899</v>
      </c>
      <c r="C4267">
        <v>0.42060478813624902</v>
      </c>
      <c r="D4267">
        <v>0.62829175054083897</v>
      </c>
      <c r="E4267">
        <v>0.58897152506137396</v>
      </c>
    </row>
    <row r="4268" spans="1:5" x14ac:dyDescent="0.2">
      <c r="A4268">
        <v>9.2201666666666696E-2</v>
      </c>
      <c r="B4268">
        <v>0.46902634116790298</v>
      </c>
      <c r="C4268">
        <v>0.420658696635625</v>
      </c>
      <c r="D4268">
        <v>0.628341528508363</v>
      </c>
      <c r="E4268">
        <v>0.58902642129616301</v>
      </c>
    </row>
    <row r="4269" spans="1:5" x14ac:dyDescent="0.2">
      <c r="A4269">
        <v>9.2234999999999998E-2</v>
      </c>
      <c r="B4269">
        <v>0.46907904662317501</v>
      </c>
      <c r="C4269">
        <v>0.42071261810403199</v>
      </c>
      <c r="D4269">
        <v>0.62839129787310599</v>
      </c>
      <c r="E4269">
        <v>0.58908125739360595</v>
      </c>
    </row>
    <row r="4270" spans="1:5" x14ac:dyDescent="0.2">
      <c r="A4270">
        <v>9.2268333333333299E-2</v>
      </c>
      <c r="B4270">
        <v>0.46913176946641999</v>
      </c>
      <c r="C4270">
        <v>0.42076655240302102</v>
      </c>
      <c r="D4270">
        <v>0.62844105857646204</v>
      </c>
      <c r="E4270">
        <v>0.58913603321879404</v>
      </c>
    </row>
    <row r="4271" spans="1:5" x14ac:dyDescent="0.2">
      <c r="A4271">
        <v>9.2301666666666699E-2</v>
      </c>
      <c r="B4271">
        <v>0.46918450947682699</v>
      </c>
      <c r="C4271">
        <v>0.42082049939414201</v>
      </c>
      <c r="D4271">
        <v>0.62849081055982803</v>
      </c>
      <c r="E4271">
        <v>0.58919074863681897</v>
      </c>
    </row>
    <row r="4272" spans="1:5" x14ac:dyDescent="0.2">
      <c r="A4272">
        <v>9.2335E-2</v>
      </c>
      <c r="B4272">
        <v>0.46923726643358099</v>
      </c>
      <c r="C4272">
        <v>0.42087445893894598</v>
      </c>
      <c r="D4272">
        <v>0.62854055376460105</v>
      </c>
      <c r="E4272">
        <v>0.58924540351277299</v>
      </c>
    </row>
    <row r="4273" spans="1:5" x14ac:dyDescent="0.2">
      <c r="A4273">
        <v>9.2368333333333302E-2</v>
      </c>
      <c r="B4273">
        <v>0.469290040115869</v>
      </c>
      <c r="C4273">
        <v>0.42092843089898502</v>
      </c>
      <c r="D4273">
        <v>0.62859028813217599</v>
      </c>
      <c r="E4273">
        <v>0.58929999771174602</v>
      </c>
    </row>
    <row r="4274" spans="1:5" x14ac:dyDescent="0.2">
      <c r="A4274">
        <v>9.2401666666666701E-2</v>
      </c>
      <c r="B4274">
        <v>0.46934283030287599</v>
      </c>
      <c r="C4274">
        <v>0.42098241513580797</v>
      </c>
      <c r="D4274">
        <v>0.62864001360395005</v>
      </c>
      <c r="E4274">
        <v>0.58935453109882896</v>
      </c>
    </row>
    <row r="4275" spans="1:5" x14ac:dyDescent="0.2">
      <c r="A4275">
        <v>9.2435000000000003E-2</v>
      </c>
      <c r="B4275">
        <v>0.46939563677378998</v>
      </c>
      <c r="C4275">
        <v>0.42103641151096699</v>
      </c>
      <c r="D4275">
        <v>0.62868973012131801</v>
      </c>
      <c r="E4275">
        <v>0.58940900353911496</v>
      </c>
    </row>
    <row r="4276" spans="1:5" x14ac:dyDescent="0.2">
      <c r="A4276">
        <v>9.2468333333333305E-2</v>
      </c>
      <c r="B4276">
        <v>0.46944845930779699</v>
      </c>
      <c r="C4276">
        <v>0.42109041988601198</v>
      </c>
      <c r="D4276">
        <v>0.62873943762567697</v>
      </c>
      <c r="E4276">
        <v>0.58946341489769405</v>
      </c>
    </row>
    <row r="4277" spans="1:5" x14ac:dyDescent="0.2">
      <c r="A4277">
        <v>9.2501666666666704E-2</v>
      </c>
      <c r="B4277">
        <v>0.469501297684083</v>
      </c>
      <c r="C4277">
        <v>0.42114444012249502</v>
      </c>
      <c r="D4277">
        <v>0.62878913605842301</v>
      </c>
      <c r="E4277">
        <v>0.58951776503965803</v>
      </c>
    </row>
    <row r="4278" spans="1:5" x14ac:dyDescent="0.2">
      <c r="A4278">
        <v>9.2535000000000006E-2</v>
      </c>
      <c r="B4278">
        <v>0.46955415168183601</v>
      </c>
      <c r="C4278">
        <v>0.42119847208196598</v>
      </c>
      <c r="D4278">
        <v>0.62883882536095104</v>
      </c>
      <c r="E4278">
        <v>0.58957205383009703</v>
      </c>
    </row>
    <row r="4279" spans="1:5" x14ac:dyDescent="0.2">
      <c r="A4279">
        <v>9.2568333333333294E-2</v>
      </c>
      <c r="B4279">
        <v>0.46960702108023999</v>
      </c>
      <c r="C4279">
        <v>0.42125251562597499</v>
      </c>
      <c r="D4279">
        <v>0.62888850547465802</v>
      </c>
      <c r="E4279">
        <v>0.58962628113410398</v>
      </c>
    </row>
    <row r="4280" spans="1:5" x14ac:dyDescent="0.2">
      <c r="A4280">
        <v>9.2601666666666693E-2</v>
      </c>
      <c r="B4280">
        <v>0.46965990565848298</v>
      </c>
      <c r="C4280">
        <v>0.42130657061607402</v>
      </c>
      <c r="D4280">
        <v>0.62893817634094096</v>
      </c>
      <c r="E4280">
        <v>0.58968044681676901</v>
      </c>
    </row>
    <row r="4281" spans="1:5" x14ac:dyDescent="0.2">
      <c r="A4281">
        <v>9.2634999999999995E-2</v>
      </c>
      <c r="B4281">
        <v>0.46971280519575098</v>
      </c>
      <c r="C4281">
        <v>0.42136063691381298</v>
      </c>
      <c r="D4281">
        <v>0.62898783790119395</v>
      </c>
      <c r="E4281">
        <v>0.58973455074318404</v>
      </c>
    </row>
    <row r="4282" spans="1:5" x14ac:dyDescent="0.2">
      <c r="A4282">
        <v>9.2668333333333297E-2</v>
      </c>
      <c r="B4282">
        <v>0.46976571947123102</v>
      </c>
      <c r="C4282">
        <v>0.42141471438074402</v>
      </c>
      <c r="D4282">
        <v>0.62903749009681498</v>
      </c>
      <c r="E4282">
        <v>0.58978859277843998</v>
      </c>
    </row>
    <row r="4283" spans="1:5" x14ac:dyDescent="0.2">
      <c r="A4283">
        <v>9.2701666666666696E-2</v>
      </c>
      <c r="B4283">
        <v>0.46981864826410802</v>
      </c>
      <c r="C4283">
        <v>0.42146880287841698</v>
      </c>
      <c r="D4283">
        <v>0.62908713286919804</v>
      </c>
      <c r="E4283">
        <v>0.58984257278762897</v>
      </c>
    </row>
    <row r="4284" spans="1:5" x14ac:dyDescent="0.2">
      <c r="A4284">
        <v>9.2734999999999998E-2</v>
      </c>
      <c r="B4284">
        <v>0.46987159135356998</v>
      </c>
      <c r="C4284">
        <v>0.42152290226838202</v>
      </c>
      <c r="D4284">
        <v>0.62913676615974201</v>
      </c>
      <c r="E4284">
        <v>0.58989649063584104</v>
      </c>
    </row>
    <row r="4285" spans="1:5" x14ac:dyDescent="0.2">
      <c r="A4285">
        <v>9.27683333333333E-2</v>
      </c>
      <c r="B4285">
        <v>0.469924548518803</v>
      </c>
      <c r="C4285">
        <v>0.42157701241219098</v>
      </c>
      <c r="D4285">
        <v>0.62918638990983999</v>
      </c>
      <c r="E4285">
        <v>0.589950346188167</v>
      </c>
    </row>
    <row r="4286" spans="1:5" x14ac:dyDescent="0.2">
      <c r="A4286">
        <v>9.2801666666666699E-2</v>
      </c>
      <c r="B4286">
        <v>0.46997751953899303</v>
      </c>
      <c r="C4286">
        <v>0.421631133171394</v>
      </c>
      <c r="D4286">
        <v>0.62923600406089097</v>
      </c>
      <c r="E4286">
        <v>0.59000413930969997</v>
      </c>
    </row>
    <row r="4287" spans="1:5" x14ac:dyDescent="0.2">
      <c r="A4287">
        <v>9.2835000000000001E-2</v>
      </c>
      <c r="B4287">
        <v>0.47003050419332698</v>
      </c>
      <c r="C4287">
        <v>0.421685264407542</v>
      </c>
      <c r="D4287">
        <v>0.62928560855428795</v>
      </c>
      <c r="E4287">
        <v>0.59005786986552999</v>
      </c>
    </row>
    <row r="4288" spans="1:5" x14ac:dyDescent="0.2">
      <c r="A4288">
        <v>9.2868333333333303E-2</v>
      </c>
      <c r="B4288">
        <v>0.47008350226098999</v>
      </c>
      <c r="C4288">
        <v>0.42173940598218601</v>
      </c>
      <c r="D4288">
        <v>0.62933520333143</v>
      </c>
      <c r="E4288">
        <v>0.59011153772074898</v>
      </c>
    </row>
    <row r="4289" spans="1:5" x14ac:dyDescent="0.2">
      <c r="A4289">
        <v>9.2901666666666702E-2</v>
      </c>
      <c r="B4289">
        <v>0.47013651352117097</v>
      </c>
      <c r="C4289">
        <v>0.42179355775687699</v>
      </c>
      <c r="D4289">
        <v>0.62938478833371103</v>
      </c>
      <c r="E4289">
        <v>0.59016514274044796</v>
      </c>
    </row>
    <row r="4290" spans="1:5" x14ac:dyDescent="0.2">
      <c r="A4290">
        <v>9.2935000000000004E-2</v>
      </c>
      <c r="B4290">
        <v>0.470189537753054</v>
      </c>
      <c r="C4290">
        <v>0.42184771959316603</v>
      </c>
      <c r="D4290">
        <v>0.62943436350252902</v>
      </c>
      <c r="E4290">
        <v>0.59021868478971895</v>
      </c>
    </row>
    <row r="4291" spans="1:5" x14ac:dyDescent="0.2">
      <c r="A4291">
        <v>9.2968333333333306E-2</v>
      </c>
      <c r="B4291">
        <v>0.47024257473582698</v>
      </c>
      <c r="C4291">
        <v>0.42190189135260298</v>
      </c>
      <c r="D4291">
        <v>0.62948392877927795</v>
      </c>
      <c r="E4291">
        <v>0.59027216373365099</v>
      </c>
    </row>
    <row r="4292" spans="1:5" x14ac:dyDescent="0.2">
      <c r="A4292">
        <v>9.3001666666666705E-2</v>
      </c>
      <c r="B4292">
        <v>0.47029562424867599</v>
      </c>
      <c r="C4292">
        <v>0.42195607289673798</v>
      </c>
      <c r="D4292">
        <v>0.62953348410535503</v>
      </c>
      <c r="E4292">
        <v>0.59032557943733799</v>
      </c>
    </row>
    <row r="4293" spans="1:5" x14ac:dyDescent="0.2">
      <c r="A4293">
        <v>9.3035000000000007E-2</v>
      </c>
      <c r="B4293">
        <v>0.470348686070787</v>
      </c>
      <c r="C4293">
        <v>0.422010264087124</v>
      </c>
      <c r="D4293">
        <v>0.62958302942215705</v>
      </c>
      <c r="E4293">
        <v>0.59037893176586997</v>
      </c>
    </row>
    <row r="4294" spans="1:5" x14ac:dyDescent="0.2">
      <c r="A4294">
        <v>9.3068333333333295E-2</v>
      </c>
      <c r="B4294">
        <v>0.47040175998134698</v>
      </c>
      <c r="C4294">
        <v>0.42206446478531001</v>
      </c>
      <c r="D4294">
        <v>0.62963256467107898</v>
      </c>
      <c r="E4294">
        <v>0.59043222058433797</v>
      </c>
    </row>
    <row r="4295" spans="1:5" x14ac:dyDescent="0.2">
      <c r="A4295">
        <v>9.3101666666666694E-2</v>
      </c>
      <c r="B4295">
        <v>0.470454845759542</v>
      </c>
      <c r="C4295">
        <v>0.42211867485284799</v>
      </c>
      <c r="D4295">
        <v>0.62968208979351703</v>
      </c>
      <c r="E4295">
        <v>0.59048544575783302</v>
      </c>
    </row>
    <row r="4296" spans="1:5" x14ac:dyDescent="0.2">
      <c r="A4296">
        <v>9.3134999999999996E-2</v>
      </c>
      <c r="B4296">
        <v>0.47050794318455802</v>
      </c>
      <c r="C4296">
        <v>0.422172894151288</v>
      </c>
      <c r="D4296">
        <v>0.62973160473086798</v>
      </c>
      <c r="E4296">
        <v>0.59053860715144801</v>
      </c>
    </row>
    <row r="4297" spans="1:5" x14ac:dyDescent="0.2">
      <c r="A4297">
        <v>9.3168333333333297E-2</v>
      </c>
      <c r="B4297">
        <v>0.47056105203558302</v>
      </c>
      <c r="C4297">
        <v>0.42222712254218098</v>
      </c>
      <c r="D4297">
        <v>0.62978110942452703</v>
      </c>
      <c r="E4297">
        <v>0.590591704630273</v>
      </c>
    </row>
    <row r="4298" spans="1:5" x14ac:dyDescent="0.2">
      <c r="A4298">
        <v>9.3201666666666697E-2</v>
      </c>
      <c r="B4298">
        <v>0.47061417209180201</v>
      </c>
      <c r="C4298">
        <v>0.42228135988707799</v>
      </c>
      <c r="D4298">
        <v>0.62983060381589095</v>
      </c>
      <c r="E4298">
        <v>0.59064473805939999</v>
      </c>
    </row>
    <row r="4299" spans="1:5" x14ac:dyDescent="0.2">
      <c r="A4299">
        <v>9.3234999999999998E-2</v>
      </c>
      <c r="B4299">
        <v>0.47066730313240202</v>
      </c>
      <c r="C4299">
        <v>0.42233560604753001</v>
      </c>
      <c r="D4299">
        <v>0.62988008784635596</v>
      </c>
      <c r="E4299">
        <v>0.59069770730391902</v>
      </c>
    </row>
    <row r="4300" spans="1:5" x14ac:dyDescent="0.2">
      <c r="A4300">
        <v>9.32683333333333E-2</v>
      </c>
      <c r="B4300">
        <v>0.470720444936569</v>
      </c>
      <c r="C4300">
        <v>0.42238986088508701</v>
      </c>
      <c r="D4300">
        <v>0.62992956145731704</v>
      </c>
      <c r="E4300">
        <v>0.590750612228922</v>
      </c>
    </row>
    <row r="4301" spans="1:5" x14ac:dyDescent="0.2">
      <c r="A4301">
        <v>9.3301666666666699E-2</v>
      </c>
      <c r="B4301">
        <v>0.47077359728349</v>
      </c>
      <c r="C4301">
        <v>0.42244412426130001</v>
      </c>
      <c r="D4301">
        <v>0.62997902459017197</v>
      </c>
      <c r="E4301">
        <v>0.59080345269950096</v>
      </c>
    </row>
    <row r="4302" spans="1:5" x14ac:dyDescent="0.2">
      <c r="A4302">
        <v>9.3335000000000001E-2</v>
      </c>
      <c r="B4302">
        <v>0.47082675995235201</v>
      </c>
      <c r="C4302">
        <v>0.42249839603771999</v>
      </c>
      <c r="D4302">
        <v>0.63002847718631505</v>
      </c>
      <c r="E4302">
        <v>0.59085622858074605</v>
      </c>
    </row>
    <row r="4303" spans="1:5" x14ac:dyDescent="0.2">
      <c r="A4303">
        <v>9.3368333333333303E-2</v>
      </c>
      <c r="B4303">
        <v>0.47087993272234002</v>
      </c>
      <c r="C4303">
        <v>0.42255267607589803</v>
      </c>
      <c r="D4303">
        <v>0.63007791918714395</v>
      </c>
      <c r="E4303">
        <v>0.59090893973774905</v>
      </c>
    </row>
    <row r="4304" spans="1:5" x14ac:dyDescent="0.2">
      <c r="A4304">
        <v>9.3401666666666702E-2</v>
      </c>
      <c r="B4304">
        <v>0.47093311537264099</v>
      </c>
      <c r="C4304">
        <v>0.42260696423738497</v>
      </c>
      <c r="D4304">
        <v>0.630127350534053</v>
      </c>
      <c r="E4304">
        <v>0.590961586035602</v>
      </c>
    </row>
    <row r="4305" spans="1:5" x14ac:dyDescent="0.2">
      <c r="A4305">
        <v>9.3435000000000004E-2</v>
      </c>
      <c r="B4305">
        <v>0.47098630768244099</v>
      </c>
      <c r="C4305">
        <v>0.42266126038373097</v>
      </c>
      <c r="D4305">
        <v>0.63017677116843995</v>
      </c>
      <c r="E4305">
        <v>0.59101416733939505</v>
      </c>
    </row>
    <row r="4306" spans="1:5" x14ac:dyDescent="0.2">
      <c r="A4306">
        <v>9.3468333333333306E-2</v>
      </c>
      <c r="B4306">
        <v>0.47103950943092798</v>
      </c>
      <c r="C4306">
        <v>0.422715564376487</v>
      </c>
      <c r="D4306">
        <v>0.63022618103170003</v>
      </c>
      <c r="E4306">
        <v>0.59106668351421998</v>
      </c>
    </row>
    <row r="4307" spans="1:5" x14ac:dyDescent="0.2">
      <c r="A4307">
        <v>9.3501666666666705E-2</v>
      </c>
      <c r="B4307">
        <v>0.471092720397287</v>
      </c>
      <c r="C4307">
        <v>0.42276987607720401</v>
      </c>
      <c r="D4307">
        <v>0.63027558006522999</v>
      </c>
      <c r="E4307">
        <v>0.59111913442516695</v>
      </c>
    </row>
    <row r="4308" spans="1:5" x14ac:dyDescent="0.2">
      <c r="A4308">
        <v>9.3534999999999993E-2</v>
      </c>
      <c r="B4308">
        <v>0.47114594036070501</v>
      </c>
      <c r="C4308">
        <v>0.42282419534743299</v>
      </c>
      <c r="D4308">
        <v>0.63032496821042605</v>
      </c>
      <c r="E4308">
        <v>0.59117151993732997</v>
      </c>
    </row>
    <row r="4309" spans="1:5" x14ac:dyDescent="0.2">
      <c r="A4309">
        <v>9.3568333333333295E-2</v>
      </c>
      <c r="B4309">
        <v>0.47119916910036802</v>
      </c>
      <c r="C4309">
        <v>0.422878522048724</v>
      </c>
      <c r="D4309">
        <v>0.63037434540868298</v>
      </c>
      <c r="E4309">
        <v>0.59122383991579697</v>
      </c>
    </row>
    <row r="4310" spans="1:5" x14ac:dyDescent="0.2">
      <c r="A4310">
        <v>9.3601666666666694E-2</v>
      </c>
      <c r="B4310">
        <v>0.47125240639546201</v>
      </c>
      <c r="C4310">
        <v>0.42293285604262898</v>
      </c>
      <c r="D4310">
        <v>0.63042371160139699</v>
      </c>
      <c r="E4310">
        <v>0.59127609422566196</v>
      </c>
    </row>
    <row r="4311" spans="1:5" x14ac:dyDescent="0.2">
      <c r="A4311">
        <v>9.3634999999999996E-2</v>
      </c>
      <c r="B4311">
        <v>0.47130565202517499</v>
      </c>
      <c r="C4311">
        <v>0.42298719719069799</v>
      </c>
      <c r="D4311">
        <v>0.63047306672996595</v>
      </c>
      <c r="E4311">
        <v>0.59132828273201499</v>
      </c>
    </row>
    <row r="4312" spans="1:5" x14ac:dyDescent="0.2">
      <c r="A4312">
        <v>9.3668333333333298E-2</v>
      </c>
      <c r="B4312">
        <v>0.47135890576869199</v>
      </c>
      <c r="C4312">
        <v>0.42304154535448102</v>
      </c>
      <c r="D4312">
        <v>0.63052241073578397</v>
      </c>
      <c r="E4312">
        <v>0.59138040529994695</v>
      </c>
    </row>
    <row r="4313" spans="1:5" x14ac:dyDescent="0.2">
      <c r="A4313">
        <v>9.3701666666666697E-2</v>
      </c>
      <c r="B4313">
        <v>0.47141216740520098</v>
      </c>
      <c r="C4313">
        <v>0.42309590039553102</v>
      </c>
      <c r="D4313">
        <v>0.63057174356024903</v>
      </c>
      <c r="E4313">
        <v>0.59143246179455</v>
      </c>
    </row>
    <row r="4314" spans="1:5" x14ac:dyDescent="0.2">
      <c r="A4314">
        <v>9.3734999999999999E-2</v>
      </c>
      <c r="B4314">
        <v>0.47146543671388702</v>
      </c>
      <c r="C4314">
        <v>0.42315026217539697</v>
      </c>
      <c r="D4314">
        <v>0.63062106514475602</v>
      </c>
      <c r="E4314">
        <v>0.59148445208091505</v>
      </c>
    </row>
    <row r="4315" spans="1:5" x14ac:dyDescent="0.2">
      <c r="A4315">
        <v>9.3768333333333301E-2</v>
      </c>
      <c r="B4315">
        <v>0.47151871347393598</v>
      </c>
      <c r="C4315">
        <v>0.42320463055563001</v>
      </c>
      <c r="D4315">
        <v>0.63067037543070004</v>
      </c>
      <c r="E4315">
        <v>0.591536376024133</v>
      </c>
    </row>
    <row r="4316" spans="1:5" x14ac:dyDescent="0.2">
      <c r="A4316">
        <v>9.38016666666667E-2</v>
      </c>
      <c r="B4316">
        <v>0.47157199746453599</v>
      </c>
      <c r="C4316">
        <v>0.423259005397781</v>
      </c>
      <c r="D4316">
        <v>0.63071967435947895</v>
      </c>
      <c r="E4316">
        <v>0.59158823348929601</v>
      </c>
    </row>
    <row r="4317" spans="1:5" x14ac:dyDescent="0.2">
      <c r="A4317">
        <v>9.3835000000000002E-2</v>
      </c>
      <c r="B4317">
        <v>0.471625288464873</v>
      </c>
      <c r="C4317">
        <v>0.42331338656340101</v>
      </c>
      <c r="D4317">
        <v>0.63076896187248899</v>
      </c>
      <c r="E4317">
        <v>0.59164002434149499</v>
      </c>
    </row>
    <row r="4318" spans="1:5" x14ac:dyDescent="0.2">
      <c r="A4318">
        <v>9.3868333333333304E-2</v>
      </c>
      <c r="B4318">
        <v>0.471678586254133</v>
      </c>
      <c r="C4318">
        <v>0.42336777391404101</v>
      </c>
      <c r="D4318">
        <v>0.63081823791112501</v>
      </c>
      <c r="E4318">
        <v>0.59169174844581995</v>
      </c>
    </row>
    <row r="4319" spans="1:5" x14ac:dyDescent="0.2">
      <c r="A4319">
        <v>9.3901666666666703E-2</v>
      </c>
      <c r="B4319">
        <v>0.471731890611502</v>
      </c>
      <c r="C4319">
        <v>0.42342216731125099</v>
      </c>
      <c r="D4319">
        <v>0.63086750241678302</v>
      </c>
      <c r="E4319">
        <v>0.59174340566736505</v>
      </c>
    </row>
    <row r="4320" spans="1:5" x14ac:dyDescent="0.2">
      <c r="A4320">
        <v>9.3935000000000005E-2</v>
      </c>
      <c r="B4320">
        <v>0.47178520131616802</v>
      </c>
      <c r="C4320">
        <v>0.42347656661658301</v>
      </c>
      <c r="D4320">
        <v>0.63091675533086</v>
      </c>
      <c r="E4320">
        <v>0.59179499587121898</v>
      </c>
    </row>
    <row r="4321" spans="1:5" x14ac:dyDescent="0.2">
      <c r="A4321">
        <v>9.3968333333333307E-2</v>
      </c>
      <c r="B4321">
        <v>0.47183851814731598</v>
      </c>
      <c r="C4321">
        <v>0.42353097169158599</v>
      </c>
      <c r="D4321">
        <v>0.63096599659475205</v>
      </c>
      <c r="E4321">
        <v>0.59184651892247397</v>
      </c>
    </row>
    <row r="4322" spans="1:5" x14ac:dyDescent="0.2">
      <c r="A4322">
        <v>9.4001666666666706E-2</v>
      </c>
      <c r="B4322">
        <v>0.471891840884132</v>
      </c>
      <c r="C4322">
        <v>0.42358538239781302</v>
      </c>
      <c r="D4322">
        <v>0.63101522614985495</v>
      </c>
      <c r="E4322">
        <v>0.59189797468622096</v>
      </c>
    </row>
    <row r="4323" spans="1:5" x14ac:dyDescent="0.2">
      <c r="A4323">
        <v>9.4034999999999994E-2</v>
      </c>
      <c r="B4323">
        <v>0.47194516930580499</v>
      </c>
      <c r="C4323">
        <v>0.423639798596812</v>
      </c>
      <c r="D4323">
        <v>0.631064443937565</v>
      </c>
      <c r="E4323">
        <v>0.59194936302755197</v>
      </c>
    </row>
    <row r="4324" spans="1:5" x14ac:dyDescent="0.2">
      <c r="A4324">
        <v>9.4068333333333295E-2</v>
      </c>
      <c r="B4324">
        <v>0.47199850319151798</v>
      </c>
      <c r="C4324">
        <v>0.42369422015013702</v>
      </c>
      <c r="D4324">
        <v>0.63111364989927698</v>
      </c>
      <c r="E4324">
        <v>0.59200068381155702</v>
      </c>
    </row>
    <row r="4325" spans="1:5" x14ac:dyDescent="0.2">
      <c r="A4325">
        <v>9.4101666666666695E-2</v>
      </c>
      <c r="B4325">
        <v>0.47205184232046099</v>
      </c>
      <c r="C4325">
        <v>0.423748646919336</v>
      </c>
      <c r="D4325">
        <v>0.631162843976389</v>
      </c>
      <c r="E4325">
        <v>0.59205193690332902</v>
      </c>
    </row>
    <row r="4326" spans="1:5" x14ac:dyDescent="0.2">
      <c r="A4326">
        <v>9.4134999999999996E-2</v>
      </c>
      <c r="B4326">
        <v>0.47210518647181698</v>
      </c>
      <c r="C4326">
        <v>0.42380307876596202</v>
      </c>
      <c r="D4326">
        <v>0.63121202611029603</v>
      </c>
      <c r="E4326">
        <v>0.59210312216795802</v>
      </c>
    </row>
    <row r="4327" spans="1:5" x14ac:dyDescent="0.2">
      <c r="A4327">
        <v>9.4168333333333298E-2</v>
      </c>
      <c r="B4327">
        <v>0.47215853542477498</v>
      </c>
      <c r="C4327">
        <v>0.42385751555156398</v>
      </c>
      <c r="D4327">
        <v>0.63126119624239396</v>
      </c>
      <c r="E4327">
        <v>0.59215423947053603</v>
      </c>
    </row>
    <row r="4328" spans="1:5" x14ac:dyDescent="0.2">
      <c r="A4328">
        <v>9.4201666666666697E-2</v>
      </c>
      <c r="B4328">
        <v>0.47221188895852101</v>
      </c>
      <c r="C4328">
        <v>0.42391195713769397</v>
      </c>
      <c r="D4328">
        <v>0.63131035431408</v>
      </c>
      <c r="E4328">
        <v>0.59220528867615396</v>
      </c>
    </row>
    <row r="4329" spans="1:5" x14ac:dyDescent="0.2">
      <c r="A4329">
        <v>9.4234999999999999E-2</v>
      </c>
      <c r="B4329">
        <v>0.47226524685223997</v>
      </c>
      <c r="C4329">
        <v>0.42396640338590202</v>
      </c>
      <c r="D4329">
        <v>0.63135950026674903</v>
      </c>
      <c r="E4329">
        <v>0.59225626964990297</v>
      </c>
    </row>
    <row r="4330" spans="1:5" x14ac:dyDescent="0.2">
      <c r="A4330">
        <v>9.4268333333333301E-2</v>
      </c>
      <c r="B4330">
        <v>0.47231860888512001</v>
      </c>
      <c r="C4330">
        <v>0.42402085415773999</v>
      </c>
      <c r="D4330">
        <v>0.63140863404179703</v>
      </c>
      <c r="E4330">
        <v>0.59230718225687395</v>
      </c>
    </row>
    <row r="4331" spans="1:5" x14ac:dyDescent="0.2">
      <c r="A4331">
        <v>9.43016666666667E-2</v>
      </c>
      <c r="B4331">
        <v>0.47237197483634602</v>
      </c>
      <c r="C4331">
        <v>0.42407530931475701</v>
      </c>
      <c r="D4331">
        <v>0.631457755580622</v>
      </c>
      <c r="E4331">
        <v>0.59235802636215995</v>
      </c>
    </row>
    <row r="4332" spans="1:5" x14ac:dyDescent="0.2">
      <c r="A4332">
        <v>9.4335000000000002E-2</v>
      </c>
      <c r="B4332">
        <v>0.47242534448510598</v>
      </c>
      <c r="C4332">
        <v>0.424129768718505</v>
      </c>
      <c r="D4332">
        <v>0.63150686482461804</v>
      </c>
      <c r="E4332">
        <v>0.59240880183084998</v>
      </c>
    </row>
    <row r="4333" spans="1:5" x14ac:dyDescent="0.2">
      <c r="A4333">
        <v>9.4368333333333304E-2</v>
      </c>
      <c r="B4333">
        <v>0.47247871761058502</v>
      </c>
      <c r="C4333">
        <v>0.42418423223053497</v>
      </c>
      <c r="D4333">
        <v>0.63155596171518202</v>
      </c>
      <c r="E4333">
        <v>0.59245950852803697</v>
      </c>
    </row>
    <row r="4334" spans="1:5" x14ac:dyDescent="0.2">
      <c r="A4334">
        <v>9.4401666666666703E-2</v>
      </c>
      <c r="B4334">
        <v>0.47253209399197099</v>
      </c>
      <c r="C4334">
        <v>0.42423869971239703</v>
      </c>
      <c r="D4334">
        <v>0.63160504619370905</v>
      </c>
      <c r="E4334">
        <v>0.59251014631881105</v>
      </c>
    </row>
    <row r="4335" spans="1:5" x14ac:dyDescent="0.2">
      <c r="A4335">
        <v>9.4435000000000005E-2</v>
      </c>
      <c r="B4335">
        <v>0.47258547340844897</v>
      </c>
      <c r="C4335">
        <v>0.42429317102564201</v>
      </c>
      <c r="D4335">
        <v>0.631654118201597</v>
      </c>
      <c r="E4335">
        <v>0.59256071506826402</v>
      </c>
    </row>
    <row r="4336" spans="1:5" x14ac:dyDescent="0.2">
      <c r="A4336">
        <v>9.4468333333333293E-2</v>
      </c>
      <c r="B4336">
        <v>0.47263885563920599</v>
      </c>
      <c r="C4336">
        <v>0.42434764603182101</v>
      </c>
      <c r="D4336">
        <v>0.63170317768024098</v>
      </c>
      <c r="E4336">
        <v>0.59261121464148803</v>
      </c>
    </row>
    <row r="4337" spans="1:5" x14ac:dyDescent="0.2">
      <c r="A4337">
        <v>9.4501666666666706E-2</v>
      </c>
      <c r="B4337">
        <v>0.472692240463429</v>
      </c>
      <c r="C4337">
        <v>0.424402124592484</v>
      </c>
      <c r="D4337">
        <v>0.63175222457103697</v>
      </c>
      <c r="E4337">
        <v>0.59266164490357298</v>
      </c>
    </row>
    <row r="4338" spans="1:5" x14ac:dyDescent="0.2">
      <c r="A4338">
        <v>9.4534999999999994E-2</v>
      </c>
      <c r="B4338">
        <v>0.47274562766030298</v>
      </c>
      <c r="C4338">
        <v>0.42445660656918299</v>
      </c>
      <c r="D4338">
        <v>0.63180125881538196</v>
      </c>
      <c r="E4338">
        <v>0.59271200571961102</v>
      </c>
    </row>
    <row r="4339" spans="1:5" x14ac:dyDescent="0.2">
      <c r="A4339">
        <v>9.4568333333333296E-2</v>
      </c>
      <c r="B4339">
        <v>0.472799017009016</v>
      </c>
      <c r="C4339">
        <v>0.42451109182346902</v>
      </c>
      <c r="D4339">
        <v>0.63185028035467095</v>
      </c>
      <c r="E4339">
        <v>0.59276229695469296</v>
      </c>
    </row>
    <row r="4340" spans="1:5" x14ac:dyDescent="0.2">
      <c r="A4340">
        <v>9.4601666666666695E-2</v>
      </c>
      <c r="B4340">
        <v>0.47285240828875302</v>
      </c>
      <c r="C4340">
        <v>0.424565580216891</v>
      </c>
      <c r="D4340">
        <v>0.63189928913030002</v>
      </c>
      <c r="E4340">
        <v>0.59281251847391003</v>
      </c>
    </row>
    <row r="4341" spans="1:5" x14ac:dyDescent="0.2">
      <c r="A4341">
        <v>9.4634999999999997E-2</v>
      </c>
      <c r="B4341">
        <v>0.47290580127870202</v>
      </c>
      <c r="C4341">
        <v>0.42462007161100102</v>
      </c>
      <c r="D4341">
        <v>0.63194828508366596</v>
      </c>
      <c r="E4341">
        <v>0.59286267014235405</v>
      </c>
    </row>
    <row r="4342" spans="1:5" x14ac:dyDescent="0.2">
      <c r="A4342">
        <v>9.4668333333333299E-2</v>
      </c>
      <c r="B4342">
        <v>0.47295919575804801</v>
      </c>
      <c r="C4342">
        <v>0.42467456586734997</v>
      </c>
      <c r="D4342">
        <v>0.63199726815616397</v>
      </c>
      <c r="E4342">
        <v>0.59291275182511505</v>
      </c>
    </row>
    <row r="4343" spans="1:5" x14ac:dyDescent="0.2">
      <c r="A4343">
        <v>9.4701666666666698E-2</v>
      </c>
      <c r="B4343">
        <v>0.47301259150597802</v>
      </c>
      <c r="C4343">
        <v>0.42472906284748901</v>
      </c>
      <c r="D4343">
        <v>0.63204623828919104</v>
      </c>
      <c r="E4343">
        <v>0.59296276338728604</v>
      </c>
    </row>
    <row r="4344" spans="1:5" x14ac:dyDescent="0.2">
      <c r="A4344">
        <v>9.4735E-2</v>
      </c>
      <c r="B4344">
        <v>0.47306598830167801</v>
      </c>
      <c r="C4344">
        <v>0.424783562412967</v>
      </c>
      <c r="D4344">
        <v>0.63209519542414305</v>
      </c>
      <c r="E4344">
        <v>0.59301270469395695</v>
      </c>
    </row>
    <row r="4345" spans="1:5" x14ac:dyDescent="0.2">
      <c r="A4345">
        <v>9.4768333333333302E-2</v>
      </c>
      <c r="B4345">
        <v>0.473119385924336</v>
      </c>
      <c r="C4345">
        <v>0.424838064425337</v>
      </c>
      <c r="D4345">
        <v>0.63214413950241699</v>
      </c>
      <c r="E4345">
        <v>0.59306257561022002</v>
      </c>
    </row>
    <row r="4346" spans="1:5" x14ac:dyDescent="0.2">
      <c r="A4346">
        <v>9.4801666666666701E-2</v>
      </c>
      <c r="B4346">
        <v>0.47317278415313702</v>
      </c>
      <c r="C4346">
        <v>0.424892568746148</v>
      </c>
      <c r="D4346">
        <v>0.63219307046540696</v>
      </c>
      <c r="E4346">
        <v>0.59311237600116695</v>
      </c>
    </row>
    <row r="4347" spans="1:5" x14ac:dyDescent="0.2">
      <c r="A4347">
        <v>9.4835000000000003E-2</v>
      </c>
      <c r="B4347">
        <v>0.47322618276726702</v>
      </c>
      <c r="C4347">
        <v>0.42494707523695202</v>
      </c>
      <c r="D4347">
        <v>0.63224198825450995</v>
      </c>
      <c r="E4347">
        <v>0.59316210573188699</v>
      </c>
    </row>
    <row r="4348" spans="1:5" x14ac:dyDescent="0.2">
      <c r="A4348">
        <v>9.4868333333333305E-2</v>
      </c>
      <c r="B4348">
        <v>0.47327958154591399</v>
      </c>
      <c r="C4348">
        <v>0.42500158375929997</v>
      </c>
      <c r="D4348">
        <v>0.63229089281112205</v>
      </c>
      <c r="E4348">
        <v>0.59321176466747305</v>
      </c>
    </row>
    <row r="4349" spans="1:5" x14ac:dyDescent="0.2">
      <c r="A4349">
        <v>9.4901666666666704E-2</v>
      </c>
      <c r="B4349">
        <v>0.47333298026826398</v>
      </c>
      <c r="C4349">
        <v>0.42505609417474199</v>
      </c>
      <c r="D4349">
        <v>0.63233978407664004</v>
      </c>
      <c r="E4349">
        <v>0.59326135267301605</v>
      </c>
    </row>
    <row r="4350" spans="1:5" x14ac:dyDescent="0.2">
      <c r="A4350">
        <v>9.4935000000000005E-2</v>
      </c>
      <c r="B4350">
        <v>0.47338637871350198</v>
      </c>
      <c r="C4350">
        <v>0.425110606344828</v>
      </c>
      <c r="D4350">
        <v>0.63238866199245902</v>
      </c>
      <c r="E4350">
        <v>0.59331086961360702</v>
      </c>
    </row>
    <row r="4351" spans="1:5" x14ac:dyDescent="0.2">
      <c r="A4351">
        <v>9.4968333333333294E-2</v>
      </c>
      <c r="B4351">
        <v>0.47343977666081599</v>
      </c>
      <c r="C4351">
        <v>0.42516512013111102</v>
      </c>
      <c r="D4351">
        <v>0.63243752649997498</v>
      </c>
      <c r="E4351">
        <v>0.59336031535433698</v>
      </c>
    </row>
    <row r="4352" spans="1:5" x14ac:dyDescent="0.2">
      <c r="A4352">
        <v>9.5001666666666706E-2</v>
      </c>
      <c r="B4352">
        <v>0.47349317388939199</v>
      </c>
      <c r="C4352">
        <v>0.42521963539514002</v>
      </c>
      <c r="D4352">
        <v>0.63248637754058501</v>
      </c>
      <c r="E4352">
        <v>0.59340968976029795</v>
      </c>
    </row>
    <row r="4353" spans="1:5" x14ac:dyDescent="0.2">
      <c r="A4353">
        <v>9.5034999999999994E-2</v>
      </c>
      <c r="B4353">
        <v>0.473546570178416</v>
      </c>
      <c r="C4353">
        <v>0.42527415199846602</v>
      </c>
      <c r="D4353">
        <v>0.632535215055685</v>
      </c>
      <c r="E4353">
        <v>0.59345899269658098</v>
      </c>
    </row>
    <row r="4354" spans="1:5" x14ac:dyDescent="0.2">
      <c r="A4354">
        <v>9.5068333333333296E-2</v>
      </c>
      <c r="B4354">
        <v>0.47359996530707499</v>
      </c>
      <c r="C4354">
        <v>0.42532866980264</v>
      </c>
      <c r="D4354">
        <v>0.63258403898667004</v>
      </c>
      <c r="E4354">
        <v>0.59350822402827796</v>
      </c>
    </row>
    <row r="4355" spans="1:5" x14ac:dyDescent="0.2">
      <c r="A4355">
        <v>9.5101666666666695E-2</v>
      </c>
      <c r="B4355">
        <v>0.47365335905455602</v>
      </c>
      <c r="C4355">
        <v>0.42538318866921399</v>
      </c>
      <c r="D4355">
        <v>0.63263284927493801</v>
      </c>
      <c r="E4355">
        <v>0.59355738362047805</v>
      </c>
    </row>
    <row r="4356" spans="1:5" x14ac:dyDescent="0.2">
      <c r="A4356">
        <v>9.5134999999999997E-2</v>
      </c>
      <c r="B4356">
        <v>0.47370675120004402</v>
      </c>
      <c r="C4356">
        <v>0.425437708459737</v>
      </c>
      <c r="D4356">
        <v>0.63268164586188302</v>
      </c>
      <c r="E4356">
        <v>0.59360647133827504</v>
      </c>
    </row>
    <row r="4357" spans="1:5" x14ac:dyDescent="0.2">
      <c r="A4357">
        <v>9.5168333333333299E-2</v>
      </c>
      <c r="B4357">
        <v>0.473760141522726</v>
      </c>
      <c r="C4357">
        <v>0.42549222903576001</v>
      </c>
      <c r="D4357">
        <v>0.63273042868890195</v>
      </c>
      <c r="E4357">
        <v>0.59365548704675897</v>
      </c>
    </row>
    <row r="4358" spans="1:5" x14ac:dyDescent="0.2">
      <c r="A4358">
        <v>9.5201666666666698E-2</v>
      </c>
      <c r="B4358">
        <v>0.47381352980178798</v>
      </c>
      <c r="C4358">
        <v>0.42554675025883498</v>
      </c>
      <c r="D4358">
        <v>0.63277919769739199</v>
      </c>
      <c r="E4358">
        <v>0.59370443061102096</v>
      </c>
    </row>
    <row r="4359" spans="1:5" x14ac:dyDescent="0.2">
      <c r="A4359">
        <v>9.5235E-2</v>
      </c>
      <c r="B4359">
        <v>0.47386691581641799</v>
      </c>
      <c r="C4359">
        <v>0.42560127199051201</v>
      </c>
      <c r="D4359">
        <v>0.63282795282874704</v>
      </c>
      <c r="E4359">
        <v>0.59375330189615305</v>
      </c>
    </row>
    <row r="4360" spans="1:5" x14ac:dyDescent="0.2">
      <c r="A4360">
        <v>9.5268333333333302E-2</v>
      </c>
      <c r="B4360">
        <v>0.47392029934580099</v>
      </c>
      <c r="C4360">
        <v>0.425655794092342</v>
      </c>
      <c r="D4360">
        <v>0.63287669402436497</v>
      </c>
      <c r="E4360">
        <v>0.59380210076724604</v>
      </c>
    </row>
    <row r="4361" spans="1:5" x14ac:dyDescent="0.2">
      <c r="A4361">
        <v>9.5301666666666701E-2</v>
      </c>
      <c r="B4361">
        <v>0.473973680169124</v>
      </c>
      <c r="C4361">
        <v>0.42571031642587598</v>
      </c>
      <c r="D4361">
        <v>0.63292542122564099</v>
      </c>
      <c r="E4361">
        <v>0.59385082708939096</v>
      </c>
    </row>
    <row r="4362" spans="1:5" x14ac:dyDescent="0.2">
      <c r="A4362">
        <v>9.5335000000000003E-2</v>
      </c>
      <c r="B4362">
        <v>0.47402705806557299</v>
      </c>
      <c r="C4362">
        <v>0.42576483885266397</v>
      </c>
      <c r="D4362">
        <v>0.63297413437397199</v>
      </c>
      <c r="E4362">
        <v>0.59389948072767995</v>
      </c>
    </row>
    <row r="4363" spans="1:5" x14ac:dyDescent="0.2">
      <c r="A4363">
        <v>9.5368333333333305E-2</v>
      </c>
      <c r="B4363">
        <v>0.47408043281433498</v>
      </c>
      <c r="C4363">
        <v>0.42581936123425701</v>
      </c>
      <c r="D4363">
        <v>0.63302283341075305</v>
      </c>
      <c r="E4363">
        <v>0.59394806154720303</v>
      </c>
    </row>
    <row r="4364" spans="1:5" x14ac:dyDescent="0.2">
      <c r="A4364">
        <v>9.5401666666666704E-2</v>
      </c>
      <c r="B4364">
        <v>0.474133804194596</v>
      </c>
      <c r="C4364">
        <v>0.425873883432207</v>
      </c>
      <c r="D4364">
        <v>0.63307151827738195</v>
      </c>
      <c r="E4364">
        <v>0.59399656941305301</v>
      </c>
    </row>
    <row r="4365" spans="1:5" x14ac:dyDescent="0.2">
      <c r="A4365">
        <v>9.5435000000000006E-2</v>
      </c>
      <c r="B4365">
        <v>0.474187171985543</v>
      </c>
      <c r="C4365">
        <v>0.42592840530806297</v>
      </c>
      <c r="D4365">
        <v>0.63312018891525201</v>
      </c>
      <c r="E4365">
        <v>0.59404500419032003</v>
      </c>
    </row>
    <row r="4366" spans="1:5" x14ac:dyDescent="0.2">
      <c r="A4366">
        <v>9.5468333333333294E-2</v>
      </c>
      <c r="B4366">
        <v>0.47424053596636101</v>
      </c>
      <c r="C4366">
        <v>0.42598292672337701</v>
      </c>
      <c r="D4366">
        <v>0.633168845265762</v>
      </c>
      <c r="E4366">
        <v>0.59409336574409499</v>
      </c>
    </row>
    <row r="4367" spans="1:5" x14ac:dyDescent="0.2">
      <c r="A4367">
        <v>9.5501666666666707E-2</v>
      </c>
      <c r="B4367">
        <v>0.47429389591623899</v>
      </c>
      <c r="C4367">
        <v>0.42603744753969902</v>
      </c>
      <c r="D4367">
        <v>0.63321748727030602</v>
      </c>
      <c r="E4367">
        <v>0.59414165393947105</v>
      </c>
    </row>
    <row r="4368" spans="1:5" x14ac:dyDescent="0.2">
      <c r="A4368">
        <v>9.5534999999999995E-2</v>
      </c>
      <c r="B4368">
        <v>0.47434725161436098</v>
      </c>
      <c r="C4368">
        <v>0.42609196761858098</v>
      </c>
      <c r="D4368">
        <v>0.63326611487028195</v>
      </c>
      <c r="E4368">
        <v>0.594189868641537</v>
      </c>
    </row>
    <row r="4369" spans="1:5" x14ac:dyDescent="0.2">
      <c r="A4369">
        <v>9.5568333333333297E-2</v>
      </c>
      <c r="B4369">
        <v>0.47440060283991398</v>
      </c>
      <c r="C4369">
        <v>0.42614648682157202</v>
      </c>
      <c r="D4369">
        <v>0.63331472800708499</v>
      </c>
      <c r="E4369">
        <v>0.59423800971538698</v>
      </c>
    </row>
    <row r="4370" spans="1:5" x14ac:dyDescent="0.2">
      <c r="A4370">
        <v>9.5601666666666696E-2</v>
      </c>
      <c r="B4370">
        <v>0.47445394937208502</v>
      </c>
      <c r="C4370">
        <v>0.42620100501022501</v>
      </c>
      <c r="D4370">
        <v>0.63336332662211103</v>
      </c>
      <c r="E4370">
        <v>0.59428607702610903</v>
      </c>
    </row>
    <row r="4371" spans="1:5" x14ac:dyDescent="0.2">
      <c r="A4371">
        <v>9.5634999999999998E-2</v>
      </c>
      <c r="B4371">
        <v>0.47450729099006</v>
      </c>
      <c r="C4371">
        <v>0.42625552204608802</v>
      </c>
      <c r="D4371">
        <v>0.63341191065675595</v>
      </c>
      <c r="E4371">
        <v>0.59433407043879705</v>
      </c>
    </row>
    <row r="4372" spans="1:5" x14ac:dyDescent="0.2">
      <c r="A4372">
        <v>9.56683333333333E-2</v>
      </c>
      <c r="B4372">
        <v>0.47456062747302602</v>
      </c>
      <c r="C4372">
        <v>0.42631003779071502</v>
      </c>
      <c r="D4372">
        <v>0.63346048005241595</v>
      </c>
      <c r="E4372">
        <v>0.59438198981854196</v>
      </c>
    </row>
    <row r="4373" spans="1:5" x14ac:dyDescent="0.2">
      <c r="A4373">
        <v>9.5701666666666699E-2</v>
      </c>
      <c r="B4373">
        <v>0.47461395860016897</v>
      </c>
      <c r="C4373">
        <v>0.42636455210565399</v>
      </c>
      <c r="D4373">
        <v>0.63350903475048803</v>
      </c>
      <c r="E4373">
        <v>0.59442983503043401</v>
      </c>
    </row>
    <row r="4374" spans="1:5" x14ac:dyDescent="0.2">
      <c r="A4374">
        <v>9.5735000000000001E-2</v>
      </c>
      <c r="B4374">
        <v>0.474667284150675</v>
      </c>
      <c r="C4374">
        <v>0.42641906485245801</v>
      </c>
      <c r="D4374">
        <v>0.63355757469236795</v>
      </c>
      <c r="E4374">
        <v>0.594477605939565</v>
      </c>
    </row>
    <row r="4375" spans="1:5" x14ac:dyDescent="0.2">
      <c r="A4375">
        <v>9.5768333333333303E-2</v>
      </c>
      <c r="B4375">
        <v>0.474720603903732</v>
      </c>
      <c r="C4375">
        <v>0.42647357589267598</v>
      </c>
      <c r="D4375">
        <v>0.63360609981945104</v>
      </c>
      <c r="E4375">
        <v>0.59452530241102597</v>
      </c>
    </row>
    <row r="4376" spans="1:5" x14ac:dyDescent="0.2">
      <c r="A4376">
        <v>9.5801666666666702E-2</v>
      </c>
      <c r="B4376">
        <v>0.474773917638524</v>
      </c>
      <c r="C4376">
        <v>0.42652808508786</v>
      </c>
      <c r="D4376">
        <v>0.63365461007313395</v>
      </c>
      <c r="E4376">
        <v>0.59457292430990805</v>
      </c>
    </row>
    <row r="4377" spans="1:5" x14ac:dyDescent="0.2">
      <c r="A4377">
        <v>9.5835000000000004E-2</v>
      </c>
      <c r="B4377">
        <v>0.47482722513424003</v>
      </c>
      <c r="C4377">
        <v>0.42658259229956003</v>
      </c>
      <c r="D4377">
        <v>0.633703105394813</v>
      </c>
      <c r="E4377">
        <v>0.59462047150130304</v>
      </c>
    </row>
    <row r="4378" spans="1:5" x14ac:dyDescent="0.2">
      <c r="A4378">
        <v>9.5868333333333305E-2</v>
      </c>
      <c r="B4378">
        <v>0.47488052617006499</v>
      </c>
      <c r="C4378">
        <v>0.42663709738932698</v>
      </c>
      <c r="D4378">
        <v>0.63375158572588397</v>
      </c>
      <c r="E4378">
        <v>0.59466794385030197</v>
      </c>
    </row>
    <row r="4379" spans="1:5" x14ac:dyDescent="0.2">
      <c r="A4379">
        <v>9.5901666666666704E-2</v>
      </c>
      <c r="B4379">
        <v>0.47493382052518501</v>
      </c>
      <c r="C4379">
        <v>0.426691600218712</v>
      </c>
      <c r="D4379">
        <v>0.63380005100774295</v>
      </c>
      <c r="E4379">
        <v>0.59471534122199698</v>
      </c>
    </row>
    <row r="4380" spans="1:5" x14ac:dyDescent="0.2">
      <c r="A4380">
        <v>9.5935000000000006E-2</v>
      </c>
      <c r="B4380">
        <v>0.47498710797878702</v>
      </c>
      <c r="C4380">
        <v>0.42674610064926599</v>
      </c>
      <c r="D4380">
        <v>0.63384850118178604</v>
      </c>
      <c r="E4380">
        <v>0.59476266348147799</v>
      </c>
    </row>
    <row r="4381" spans="1:5" x14ac:dyDescent="0.2">
      <c r="A4381">
        <v>9.5968333333333294E-2</v>
      </c>
      <c r="B4381">
        <v>0.47504038831005901</v>
      </c>
      <c r="C4381">
        <v>0.42680059854253999</v>
      </c>
      <c r="D4381">
        <v>0.63389693618940901</v>
      </c>
      <c r="E4381">
        <v>0.59480991049383702</v>
      </c>
    </row>
    <row r="4382" spans="1:5" x14ac:dyDescent="0.2">
      <c r="A4382">
        <v>9.6001666666666693E-2</v>
      </c>
      <c r="B4382">
        <v>0.47509366129818498</v>
      </c>
      <c r="C4382">
        <v>0.42685509376008302</v>
      </c>
      <c r="D4382">
        <v>0.63394535597200896</v>
      </c>
      <c r="E4382">
        <v>0.59485708212416499</v>
      </c>
    </row>
    <row r="4383" spans="1:5" x14ac:dyDescent="0.2">
      <c r="A4383">
        <v>9.6034999999999995E-2</v>
      </c>
      <c r="B4383">
        <v>0.47514692672235198</v>
      </c>
      <c r="C4383">
        <v>0.42690958616344798</v>
      </c>
      <c r="D4383">
        <v>0.63399376047098099</v>
      </c>
      <c r="E4383">
        <v>0.59490417823755404</v>
      </c>
    </row>
    <row r="4384" spans="1:5" x14ac:dyDescent="0.2">
      <c r="A4384">
        <v>9.6068333333333297E-2</v>
      </c>
      <c r="B4384">
        <v>0.47520018436174699</v>
      </c>
      <c r="C4384">
        <v>0.42696407561418498</v>
      </c>
      <c r="D4384">
        <v>0.63404214962772099</v>
      </c>
      <c r="E4384">
        <v>0.59495119869909396</v>
      </c>
    </row>
    <row r="4385" spans="1:5" x14ac:dyDescent="0.2">
      <c r="A4385">
        <v>9.6101666666666696E-2</v>
      </c>
      <c r="B4385">
        <v>0.47525343399555697</v>
      </c>
      <c r="C4385">
        <v>0.42701856197384402</v>
      </c>
      <c r="D4385">
        <v>0.63409052338362604</v>
      </c>
      <c r="E4385">
        <v>0.59499814337387702</v>
      </c>
    </row>
    <row r="4386" spans="1:5" x14ac:dyDescent="0.2">
      <c r="A4386">
        <v>9.6134999999999998E-2</v>
      </c>
      <c r="B4386">
        <v>0.475306675402967</v>
      </c>
      <c r="C4386">
        <v>0.42707304510397698</v>
      </c>
      <c r="D4386">
        <v>0.63413888168009203</v>
      </c>
      <c r="E4386">
        <v>0.59504501212699501</v>
      </c>
    </row>
    <row r="4387" spans="1:5" x14ac:dyDescent="0.2">
      <c r="A4387">
        <v>9.61683333333333E-2</v>
      </c>
      <c r="B4387">
        <v>0.475359908363164</v>
      </c>
      <c r="C4387">
        <v>0.42712752486613398</v>
      </c>
      <c r="D4387">
        <v>0.63418722445851405</v>
      </c>
      <c r="E4387">
        <v>0.59509180482353796</v>
      </c>
    </row>
    <row r="4388" spans="1:5" x14ac:dyDescent="0.2">
      <c r="A4388">
        <v>9.6201666666666699E-2</v>
      </c>
      <c r="B4388">
        <v>0.47541313265533502</v>
      </c>
      <c r="C4388">
        <v>0.427182001121866</v>
      </c>
      <c r="D4388">
        <v>0.634235551660289</v>
      </c>
      <c r="E4388">
        <v>0.59513852132859801</v>
      </c>
    </row>
    <row r="4389" spans="1:5" x14ac:dyDescent="0.2">
      <c r="A4389">
        <v>9.6235000000000001E-2</v>
      </c>
      <c r="B4389">
        <v>0.475466348058666</v>
      </c>
      <c r="C4389">
        <v>0.427236473732724</v>
      </c>
      <c r="D4389">
        <v>0.63428386322681396</v>
      </c>
      <c r="E4389">
        <v>0.59518516150726597</v>
      </c>
    </row>
    <row r="4390" spans="1:5" x14ac:dyDescent="0.2">
      <c r="A4390">
        <v>9.6268333333333303E-2</v>
      </c>
      <c r="B4390">
        <v>0.475519554352344</v>
      </c>
      <c r="C4390">
        <v>0.42729094256025901</v>
      </c>
      <c r="D4390">
        <v>0.63433215909948304</v>
      </c>
      <c r="E4390">
        <v>0.59523172522463297</v>
      </c>
    </row>
    <row r="4391" spans="1:5" x14ac:dyDescent="0.2">
      <c r="A4391">
        <v>9.6301666666666702E-2</v>
      </c>
      <c r="B4391">
        <v>0.47557275131555399</v>
      </c>
      <c r="C4391">
        <v>0.42734540746602101</v>
      </c>
      <c r="D4391">
        <v>0.634380439219693</v>
      </c>
      <c r="E4391">
        <v>0.59527821234579104</v>
      </c>
    </row>
    <row r="4392" spans="1:5" x14ac:dyDescent="0.2">
      <c r="A4392">
        <v>9.6335000000000004E-2</v>
      </c>
      <c r="B4392">
        <v>0.47562593872748299</v>
      </c>
      <c r="C4392">
        <v>0.42739986831156102</v>
      </c>
      <c r="D4392">
        <v>0.63442870352884095</v>
      </c>
      <c r="E4392">
        <v>0.59532462273583198</v>
      </c>
    </row>
    <row r="4393" spans="1:5" x14ac:dyDescent="0.2">
      <c r="A4393">
        <v>9.6368333333333306E-2</v>
      </c>
      <c r="B4393">
        <v>0.47567911636731902</v>
      </c>
      <c r="C4393">
        <v>0.42745432495843</v>
      </c>
      <c r="D4393">
        <v>0.63447695196832199</v>
      </c>
      <c r="E4393">
        <v>0.59537095625984504</v>
      </c>
    </row>
    <row r="4394" spans="1:5" x14ac:dyDescent="0.2">
      <c r="A4394">
        <v>9.6401666666666705E-2</v>
      </c>
      <c r="B4394">
        <v>0.475732284014246</v>
      </c>
      <c r="C4394">
        <v>0.42750877726817899</v>
      </c>
      <c r="D4394">
        <v>0.63452518447953199</v>
      </c>
      <c r="E4394">
        <v>0.59541721278292303</v>
      </c>
    </row>
    <row r="4395" spans="1:5" x14ac:dyDescent="0.2">
      <c r="A4395">
        <v>9.6435000000000007E-2</v>
      </c>
      <c r="B4395">
        <v>0.475785441447452</v>
      </c>
      <c r="C4395">
        <v>0.427563225102359</v>
      </c>
      <c r="D4395">
        <v>0.63457340100386805</v>
      </c>
      <c r="E4395">
        <v>0.59546339217015598</v>
      </c>
    </row>
    <row r="4396" spans="1:5" x14ac:dyDescent="0.2">
      <c r="A4396">
        <v>9.6468333333333295E-2</v>
      </c>
      <c r="B4396">
        <v>0.47583858844612298</v>
      </c>
      <c r="C4396">
        <v>0.42761766832252002</v>
      </c>
      <c r="D4396">
        <v>0.63462160148272495</v>
      </c>
      <c r="E4396">
        <v>0.59550949428663702</v>
      </c>
    </row>
    <row r="4397" spans="1:5" x14ac:dyDescent="0.2">
      <c r="A4397">
        <v>9.6501666666666694E-2</v>
      </c>
      <c r="B4397">
        <v>0.47589172478944602</v>
      </c>
      <c r="C4397">
        <v>0.427672106790213</v>
      </c>
      <c r="D4397">
        <v>0.6346697858575</v>
      </c>
      <c r="E4397">
        <v>0.59555551899745596</v>
      </c>
    </row>
    <row r="4398" spans="1:5" x14ac:dyDescent="0.2">
      <c r="A4398">
        <v>9.6534999999999996E-2</v>
      </c>
      <c r="B4398">
        <v>0.47594485025660699</v>
      </c>
      <c r="C4398">
        <v>0.42772654036698898</v>
      </c>
      <c r="D4398">
        <v>0.63471795406958897</v>
      </c>
      <c r="E4398">
        <v>0.59560146616770504</v>
      </c>
    </row>
    <row r="4399" spans="1:5" x14ac:dyDescent="0.2">
      <c r="A4399">
        <v>9.6568333333333298E-2</v>
      </c>
      <c r="B4399">
        <v>0.475997964626792</v>
      </c>
      <c r="C4399">
        <v>0.42778096891439898</v>
      </c>
      <c r="D4399">
        <v>0.63476610606038697</v>
      </c>
      <c r="E4399">
        <v>0.59564733566247496</v>
      </c>
    </row>
    <row r="4400" spans="1:5" x14ac:dyDescent="0.2">
      <c r="A4400">
        <v>9.6601666666666697E-2</v>
      </c>
      <c r="B4400">
        <v>0.47605106767918698</v>
      </c>
      <c r="C4400">
        <v>0.42783539229399298</v>
      </c>
      <c r="D4400">
        <v>0.63481424177129198</v>
      </c>
      <c r="E4400">
        <v>0.59569312734685698</v>
      </c>
    </row>
    <row r="4401" spans="1:5" x14ac:dyDescent="0.2">
      <c r="A4401">
        <v>9.6634999999999999E-2</v>
      </c>
      <c r="B4401">
        <v>0.47610415919297999</v>
      </c>
      <c r="C4401">
        <v>0.42788981036732299</v>
      </c>
      <c r="D4401">
        <v>0.63486236114369898</v>
      </c>
      <c r="E4401">
        <v>0.59573884108594199</v>
      </c>
    </row>
    <row r="4402" spans="1:5" x14ac:dyDescent="0.2">
      <c r="A4402">
        <v>9.6668333333333301E-2</v>
      </c>
      <c r="B4402">
        <v>0.47615723894735701</v>
      </c>
      <c r="C4402">
        <v>0.42794422299593798</v>
      </c>
      <c r="D4402">
        <v>0.63491046411900298</v>
      </c>
      <c r="E4402">
        <v>0.59578447674482204</v>
      </c>
    </row>
    <row r="4403" spans="1:5" x14ac:dyDescent="0.2">
      <c r="A4403">
        <v>9.67016666666667E-2</v>
      </c>
      <c r="B4403">
        <v>0.476210306721504</v>
      </c>
      <c r="C4403">
        <v>0.42799863004139099</v>
      </c>
      <c r="D4403">
        <v>0.63495855063860196</v>
      </c>
      <c r="E4403">
        <v>0.59583003418858804</v>
      </c>
    </row>
    <row r="4404" spans="1:5" x14ac:dyDescent="0.2">
      <c r="A4404">
        <v>9.6735000000000002E-2</v>
      </c>
      <c r="B4404">
        <v>0.47626336229460697</v>
      </c>
      <c r="C4404">
        <v>0.42805303136523198</v>
      </c>
      <c r="D4404">
        <v>0.63500662064389202</v>
      </c>
      <c r="E4404">
        <v>0.59587551328233201</v>
      </c>
    </row>
    <row r="4405" spans="1:5" x14ac:dyDescent="0.2">
      <c r="A4405">
        <v>9.6768333333333303E-2</v>
      </c>
      <c r="B4405">
        <v>0.47631640544585302</v>
      </c>
      <c r="C4405">
        <v>0.42810742682901098</v>
      </c>
      <c r="D4405">
        <v>0.63505467407626703</v>
      </c>
      <c r="E4405">
        <v>0.59592091389114399</v>
      </c>
    </row>
    <row r="4406" spans="1:5" x14ac:dyDescent="0.2">
      <c r="A4406">
        <v>9.6801666666666702E-2</v>
      </c>
      <c r="B4406">
        <v>0.47636943595442899</v>
      </c>
      <c r="C4406">
        <v>0.42816181629427902</v>
      </c>
      <c r="D4406">
        <v>0.635102710877126</v>
      </c>
      <c r="E4406">
        <v>0.59596623588011599</v>
      </c>
    </row>
    <row r="4407" spans="1:5" x14ac:dyDescent="0.2">
      <c r="A4407">
        <v>9.6835000000000004E-2</v>
      </c>
      <c r="B4407">
        <v>0.47642245359952001</v>
      </c>
      <c r="C4407">
        <v>0.428216199622587</v>
      </c>
      <c r="D4407">
        <v>0.63515073098786201</v>
      </c>
      <c r="E4407">
        <v>0.59601147911433905</v>
      </c>
    </row>
    <row r="4408" spans="1:5" x14ac:dyDescent="0.2">
      <c r="A4408">
        <v>9.6868333333333306E-2</v>
      </c>
      <c r="B4408">
        <v>0.476475458160314</v>
      </c>
      <c r="C4408">
        <v>0.42827057667548601</v>
      </c>
      <c r="D4408">
        <v>0.63519873434987395</v>
      </c>
      <c r="E4408">
        <v>0.59605664345890497</v>
      </c>
    </row>
    <row r="4409" spans="1:5" x14ac:dyDescent="0.2">
      <c r="A4409">
        <v>9.6901666666666705E-2</v>
      </c>
      <c r="B4409">
        <v>0.47652844941599598</v>
      </c>
      <c r="C4409">
        <v>0.42832494731452703</v>
      </c>
      <c r="D4409">
        <v>0.63524672090455603</v>
      </c>
      <c r="E4409">
        <v>0.59610172877890499</v>
      </c>
    </row>
    <row r="4410" spans="1:5" x14ac:dyDescent="0.2">
      <c r="A4410">
        <v>9.6934999999999993E-2</v>
      </c>
      <c r="B4410">
        <v>0.47658142714575402</v>
      </c>
      <c r="C4410">
        <v>0.42837931140126001</v>
      </c>
      <c r="D4410">
        <v>0.63529469059330501</v>
      </c>
      <c r="E4410">
        <v>0.59614673493942905</v>
      </c>
    </row>
    <row r="4411" spans="1:5" x14ac:dyDescent="0.2">
      <c r="A4411">
        <v>9.6968333333333295E-2</v>
      </c>
      <c r="B4411">
        <v>0.47663439112877298</v>
      </c>
      <c r="C4411">
        <v>0.42843366879723699</v>
      </c>
      <c r="D4411">
        <v>0.635342643357517</v>
      </c>
      <c r="E4411">
        <v>0.59619166180557004</v>
      </c>
    </row>
    <row r="4412" spans="1:5" x14ac:dyDescent="0.2">
      <c r="A4412">
        <v>9.7001666666666694E-2</v>
      </c>
      <c r="B4412">
        <v>0.47668734114424</v>
      </c>
      <c r="C4412">
        <v>0.42848801936400799</v>
      </c>
      <c r="D4412">
        <v>0.63539057913858799</v>
      </c>
      <c r="E4412">
        <v>0.596236509242418</v>
      </c>
    </row>
    <row r="4413" spans="1:5" x14ac:dyDescent="0.2">
      <c r="A4413">
        <v>9.7034999999999996E-2</v>
      </c>
      <c r="B4413">
        <v>0.47674027697134103</v>
      </c>
      <c r="C4413">
        <v>0.42854236296829901</v>
      </c>
      <c r="D4413">
        <v>0.63543849787791395</v>
      </c>
      <c r="E4413">
        <v>0.59628127711506496</v>
      </c>
    </row>
    <row r="4414" spans="1:5" x14ac:dyDescent="0.2">
      <c r="A4414">
        <v>9.7068333333333298E-2</v>
      </c>
      <c r="B4414">
        <v>0.47679319838926398</v>
      </c>
      <c r="C4414">
        <v>0.42859669949465501</v>
      </c>
      <c r="D4414">
        <v>0.63548639951689201</v>
      </c>
      <c r="E4414">
        <v>0.59632596528860304</v>
      </c>
    </row>
    <row r="4415" spans="1:5" x14ac:dyDescent="0.2">
      <c r="A4415">
        <v>9.7101666666666697E-2</v>
      </c>
      <c r="B4415">
        <v>0.476846105177193</v>
      </c>
      <c r="C4415">
        <v>0.42865102883145301</v>
      </c>
      <c r="D4415">
        <v>0.63553428399691603</v>
      </c>
      <c r="E4415">
        <v>0.59637057362812196</v>
      </c>
    </row>
    <row r="4416" spans="1:5" x14ac:dyDescent="0.2">
      <c r="A4416">
        <v>9.7134999999999999E-2</v>
      </c>
      <c r="B4416">
        <v>0.47689899711431699</v>
      </c>
      <c r="C4416">
        <v>0.42870535086707301</v>
      </c>
      <c r="D4416">
        <v>0.635582151259384</v>
      </c>
      <c r="E4416">
        <v>0.59641510199871295</v>
      </c>
    </row>
    <row r="4417" spans="1:5" x14ac:dyDescent="0.2">
      <c r="A4417">
        <v>9.7168333333333301E-2</v>
      </c>
      <c r="B4417">
        <v>0.47695187397981997</v>
      </c>
      <c r="C4417">
        <v>0.42875966548989303</v>
      </c>
      <c r="D4417">
        <v>0.63563000124569202</v>
      </c>
      <c r="E4417">
        <v>0.59645955026546904</v>
      </c>
    </row>
    <row r="4418" spans="1:5" x14ac:dyDescent="0.2">
      <c r="A4418">
        <v>9.72016666666667E-2</v>
      </c>
      <c r="B4418">
        <v>0.47700473555289002</v>
      </c>
      <c r="C4418">
        <v>0.42881397258829101</v>
      </c>
      <c r="D4418">
        <v>0.63567783389723498</v>
      </c>
      <c r="E4418">
        <v>0.59650391829347904</v>
      </c>
    </row>
    <row r="4419" spans="1:5" x14ac:dyDescent="0.2">
      <c r="A4419">
        <v>9.7235000000000002E-2</v>
      </c>
      <c r="B4419">
        <v>0.477057581612714</v>
      </c>
      <c r="C4419">
        <v>0.42886827205064598</v>
      </c>
      <c r="D4419">
        <v>0.63572564915540997</v>
      </c>
      <c r="E4419">
        <v>0.59654820594783697</v>
      </c>
    </row>
    <row r="4420" spans="1:5" x14ac:dyDescent="0.2">
      <c r="A4420">
        <v>9.7268333333333304E-2</v>
      </c>
      <c r="B4420">
        <v>0.47711041193847598</v>
      </c>
      <c r="C4420">
        <v>0.42892256376533699</v>
      </c>
      <c r="D4420">
        <v>0.63577344696161298</v>
      </c>
      <c r="E4420">
        <v>0.59659241309363198</v>
      </c>
    </row>
    <row r="4421" spans="1:5" x14ac:dyDescent="0.2">
      <c r="A4421">
        <v>9.7301666666666703E-2</v>
      </c>
      <c r="B4421">
        <v>0.47716322630936497</v>
      </c>
      <c r="C4421">
        <v>0.42897684762074001</v>
      </c>
      <c r="D4421">
        <v>0.635821227257239</v>
      </c>
      <c r="E4421">
        <v>0.59663653959595597</v>
      </c>
    </row>
    <row r="4422" spans="1:5" x14ac:dyDescent="0.2">
      <c r="A4422">
        <v>9.7335000000000005E-2</v>
      </c>
      <c r="B4422">
        <v>0.47721602450456602</v>
      </c>
      <c r="C4422">
        <v>0.42903112350523598</v>
      </c>
      <c r="D4422">
        <v>0.63586898998368602</v>
      </c>
      <c r="E4422">
        <v>0.59668058531990098</v>
      </c>
    </row>
    <row r="4423" spans="1:5" x14ac:dyDescent="0.2">
      <c r="A4423">
        <v>9.7368333333333307E-2</v>
      </c>
      <c r="B4423">
        <v>0.47726880630326601</v>
      </c>
      <c r="C4423">
        <v>0.42908539130720202</v>
      </c>
      <c r="D4423">
        <v>0.63591673508234803</v>
      </c>
      <c r="E4423">
        <v>0.59672455013055703</v>
      </c>
    </row>
    <row r="4424" spans="1:5" x14ac:dyDescent="0.2">
      <c r="A4424">
        <v>9.7401666666666706E-2</v>
      </c>
      <c r="B4424">
        <v>0.47732157148465099</v>
      </c>
      <c r="C4424">
        <v>0.42913965091501699</v>
      </c>
      <c r="D4424">
        <v>0.63596446249462302</v>
      </c>
      <c r="E4424">
        <v>0.59676843389301704</v>
      </c>
    </row>
    <row r="4425" spans="1:5" x14ac:dyDescent="0.2">
      <c r="A4425">
        <v>9.7434999999999994E-2</v>
      </c>
      <c r="B4425">
        <v>0.47737431982790701</v>
      </c>
      <c r="C4425">
        <v>0.429193902217059</v>
      </c>
      <c r="D4425">
        <v>0.63601217216190598</v>
      </c>
      <c r="E4425">
        <v>0.59681223647237003</v>
      </c>
    </row>
    <row r="4426" spans="1:5" x14ac:dyDescent="0.2">
      <c r="A4426">
        <v>9.7468333333333296E-2</v>
      </c>
      <c r="B4426">
        <v>0.477427051112222</v>
      </c>
      <c r="C4426">
        <v>0.429248145101707</v>
      </c>
      <c r="D4426">
        <v>0.636059864025593</v>
      </c>
      <c r="E4426">
        <v>0.59685595773371003</v>
      </c>
    </row>
    <row r="4427" spans="1:5" x14ac:dyDescent="0.2">
      <c r="A4427">
        <v>9.7501666666666695E-2</v>
      </c>
      <c r="B4427">
        <v>0.47747976511678097</v>
      </c>
      <c r="C4427">
        <v>0.42930237945733901</v>
      </c>
      <c r="D4427">
        <v>0.63610753802708098</v>
      </c>
      <c r="E4427">
        <v>0.59689959754212596</v>
      </c>
    </row>
    <row r="4428" spans="1:5" x14ac:dyDescent="0.2">
      <c r="A4428">
        <v>9.7534999999999997E-2</v>
      </c>
      <c r="B4428">
        <v>0.47753246162077101</v>
      </c>
      <c r="C4428">
        <v>0.42935660517233398</v>
      </c>
      <c r="D4428">
        <v>0.636155194107765</v>
      </c>
      <c r="E4428">
        <v>0.59694315576270995</v>
      </c>
    </row>
    <row r="4429" spans="1:5" x14ac:dyDescent="0.2">
      <c r="A4429">
        <v>9.7568333333333299E-2</v>
      </c>
      <c r="B4429">
        <v>0.47758514040337902</v>
      </c>
      <c r="C4429">
        <v>0.42941082213506898</v>
      </c>
      <c r="D4429">
        <v>0.63620283220904095</v>
      </c>
      <c r="E4429">
        <v>0.59698663226055304</v>
      </c>
    </row>
    <row r="4430" spans="1:5" x14ac:dyDescent="0.2">
      <c r="A4430">
        <v>9.7601666666666698E-2</v>
      </c>
      <c r="B4430">
        <v>0.47763780124379002</v>
      </c>
      <c r="C4430">
        <v>0.42946503023392402</v>
      </c>
      <c r="D4430">
        <v>0.63625045227230703</v>
      </c>
      <c r="E4430">
        <v>0.59703002690074702</v>
      </c>
    </row>
    <row r="4431" spans="1:5" x14ac:dyDescent="0.2">
      <c r="A4431">
        <v>9.7635E-2</v>
      </c>
      <c r="B4431">
        <v>0.47769044392119198</v>
      </c>
      <c r="C4431">
        <v>0.42951922935727699</v>
      </c>
      <c r="D4431">
        <v>0.63629805423895702</v>
      </c>
      <c r="E4431">
        <v>0.59707333954838304</v>
      </c>
    </row>
    <row r="4432" spans="1:5" x14ac:dyDescent="0.2">
      <c r="A4432">
        <v>9.7668333333333301E-2</v>
      </c>
      <c r="B4432">
        <v>0.47774306821476997</v>
      </c>
      <c r="C4432">
        <v>0.42957341939350602</v>
      </c>
      <c r="D4432">
        <v>0.63634563805038802</v>
      </c>
      <c r="E4432">
        <v>0.59711657006855201</v>
      </c>
    </row>
    <row r="4433" spans="1:5" x14ac:dyDescent="0.2">
      <c r="A4433">
        <v>9.7701666666666701E-2</v>
      </c>
      <c r="B4433">
        <v>0.47779567390371203</v>
      </c>
      <c r="C4433">
        <v>0.429627600230989</v>
      </c>
      <c r="D4433">
        <v>0.63639320364799601</v>
      </c>
      <c r="E4433">
        <v>0.59715971832634596</v>
      </c>
    </row>
    <row r="4434" spans="1:5" x14ac:dyDescent="0.2">
      <c r="A4434">
        <v>9.7735000000000002E-2</v>
      </c>
      <c r="B4434">
        <v>0.47784826076720299</v>
      </c>
      <c r="C4434">
        <v>0.42968177175810601</v>
      </c>
      <c r="D4434">
        <v>0.63644075097317698</v>
      </c>
      <c r="E4434">
        <v>0.59720278418685502</v>
      </c>
    </row>
    <row r="4435" spans="1:5" x14ac:dyDescent="0.2">
      <c r="A4435">
        <v>9.7768333333333304E-2</v>
      </c>
      <c r="B4435">
        <v>0.47790082858443</v>
      </c>
      <c r="C4435">
        <v>0.429735933863233</v>
      </c>
      <c r="D4435">
        <v>0.63648827996732704</v>
      </c>
      <c r="E4435">
        <v>0.597245767515172</v>
      </c>
    </row>
    <row r="4436" spans="1:5" x14ac:dyDescent="0.2">
      <c r="A4436">
        <v>9.7801666666666703E-2</v>
      </c>
      <c r="B4436">
        <v>0.47795337713457903</v>
      </c>
      <c r="C4436">
        <v>0.42979008643475097</v>
      </c>
      <c r="D4436">
        <v>0.63653579057184195</v>
      </c>
      <c r="E4436">
        <v>0.59728866817638704</v>
      </c>
    </row>
    <row r="4437" spans="1:5" x14ac:dyDescent="0.2">
      <c r="A4437">
        <v>9.7835000000000005E-2</v>
      </c>
      <c r="B4437">
        <v>0.47800590619683803</v>
      </c>
      <c r="C4437">
        <v>0.429844229361037</v>
      </c>
      <c r="D4437">
        <v>0.63658328272811904</v>
      </c>
      <c r="E4437">
        <v>0.59733148603559105</v>
      </c>
    </row>
    <row r="4438" spans="1:5" x14ac:dyDescent="0.2">
      <c r="A4438">
        <v>9.7868333333333293E-2</v>
      </c>
      <c r="B4438">
        <v>0.47805841555039102</v>
      </c>
      <c r="C4438">
        <v>0.42989836253046998</v>
      </c>
      <c r="D4438">
        <v>0.63663075637755295</v>
      </c>
      <c r="E4438">
        <v>0.59737422095787696</v>
      </c>
    </row>
    <row r="4439" spans="1:5" x14ac:dyDescent="0.2">
      <c r="A4439">
        <v>9.7901666666666706E-2</v>
      </c>
      <c r="B4439">
        <v>0.47811090497442599</v>
      </c>
      <c r="C4439">
        <v>0.42995248583142798</v>
      </c>
      <c r="D4439">
        <v>0.63667821146154102</v>
      </c>
      <c r="E4439">
        <v>0.597416872808334</v>
      </c>
    </row>
    <row r="4440" spans="1:5" x14ac:dyDescent="0.2">
      <c r="A4440">
        <v>9.7934999999999994E-2</v>
      </c>
      <c r="B4440">
        <v>0.47816337424812999</v>
      </c>
      <c r="C4440">
        <v>0.43000659915229</v>
      </c>
      <c r="D4440">
        <v>0.63672564792147801</v>
      </c>
      <c r="E4440">
        <v>0.59745944145205498</v>
      </c>
    </row>
    <row r="4441" spans="1:5" x14ac:dyDescent="0.2">
      <c r="A4441">
        <v>9.7968333333333296E-2</v>
      </c>
      <c r="B4441">
        <v>0.478215823150688</v>
      </c>
      <c r="C4441">
        <v>0.43006070238143401</v>
      </c>
      <c r="D4441">
        <v>0.63677306569876102</v>
      </c>
      <c r="E4441">
        <v>0.59750192675413105</v>
      </c>
    </row>
    <row r="4442" spans="1:5" x14ac:dyDescent="0.2">
      <c r="A4442">
        <v>9.8001666666666695E-2</v>
      </c>
      <c r="B4442">
        <v>0.47826825146128699</v>
      </c>
      <c r="C4442">
        <v>0.43011479540723202</v>
      </c>
      <c r="D4442">
        <v>0.63682046473478604</v>
      </c>
      <c r="E4442">
        <v>0.59754432857965301</v>
      </c>
    </row>
    <row r="4443" spans="1:5" x14ac:dyDescent="0.2">
      <c r="A4443">
        <v>9.8034999999999997E-2</v>
      </c>
      <c r="B4443">
        <v>0.47832065895911402</v>
      </c>
      <c r="C4443">
        <v>0.43016887806589799</v>
      </c>
      <c r="D4443">
        <v>0.63686784497094795</v>
      </c>
      <c r="E4443">
        <v>0.59758664679371198</v>
      </c>
    </row>
    <row r="4444" spans="1:5" x14ac:dyDescent="0.2">
      <c r="A4444">
        <v>9.8068333333333299E-2</v>
      </c>
      <c r="B4444">
        <v>0.47837304542335402</v>
      </c>
      <c r="C4444">
        <v>0.43022295001399602</v>
      </c>
      <c r="D4444">
        <v>0.63691520634864496</v>
      </c>
      <c r="E4444">
        <v>0.59762888126140001</v>
      </c>
    </row>
    <row r="4445" spans="1:5" x14ac:dyDescent="0.2">
      <c r="A4445">
        <v>9.8101666666666698E-2</v>
      </c>
      <c r="B4445">
        <v>0.47842541063319499</v>
      </c>
      <c r="C4445">
        <v>0.43027701086943998</v>
      </c>
      <c r="D4445">
        <v>0.63696254880927095</v>
      </c>
      <c r="E4445">
        <v>0.59767103184780701</v>
      </c>
    </row>
    <row r="4446" spans="1:5" x14ac:dyDescent="0.2">
      <c r="A4446">
        <v>9.8135E-2</v>
      </c>
      <c r="B4446">
        <v>0.47847775436782303</v>
      </c>
      <c r="C4446">
        <v>0.430331060250148</v>
      </c>
      <c r="D4446">
        <v>0.63700987229422401</v>
      </c>
      <c r="E4446">
        <v>0.597713098418026</v>
      </c>
    </row>
    <row r="4447" spans="1:5" x14ac:dyDescent="0.2">
      <c r="A4447">
        <v>9.8168333333333302E-2</v>
      </c>
      <c r="B4447">
        <v>0.47853007640642298</v>
      </c>
      <c r="C4447">
        <v>0.430385097774034</v>
      </c>
      <c r="D4447">
        <v>0.63705717674489903</v>
      </c>
      <c r="E4447">
        <v>0.59775508083714701</v>
      </c>
    </row>
    <row r="4448" spans="1:5" x14ac:dyDescent="0.2">
      <c r="A4448">
        <v>9.8201666666666701E-2</v>
      </c>
      <c r="B4448">
        <v>0.47858237652818397</v>
      </c>
      <c r="C4448">
        <v>0.43043912305901499</v>
      </c>
      <c r="D4448">
        <v>0.637104462102692</v>
      </c>
      <c r="E4448">
        <v>0.59779697897026196</v>
      </c>
    </row>
    <row r="4449" spans="1:5" x14ac:dyDescent="0.2">
      <c r="A4449">
        <v>9.8235000000000003E-2</v>
      </c>
      <c r="B4449">
        <v>0.47863465451228998</v>
      </c>
      <c r="C4449">
        <v>0.43049313572300502</v>
      </c>
      <c r="D4449">
        <v>0.63715172830900002</v>
      </c>
      <c r="E4449">
        <v>0.59783879268246198</v>
      </c>
    </row>
    <row r="4450" spans="1:5" x14ac:dyDescent="0.2">
      <c r="A4450">
        <v>9.8268333333333305E-2</v>
      </c>
      <c r="B4450">
        <v>0.47868691013792902</v>
      </c>
      <c r="C4450">
        <v>0.43054713538392198</v>
      </c>
      <c r="D4450">
        <v>0.63719897530521796</v>
      </c>
      <c r="E4450">
        <v>0.597880521838838</v>
      </c>
    </row>
    <row r="4451" spans="1:5" x14ac:dyDescent="0.2">
      <c r="A4451">
        <v>9.8301666666666704E-2</v>
      </c>
      <c r="B4451">
        <v>0.47873914318428701</v>
      </c>
      <c r="C4451">
        <v>0.43060112165968001</v>
      </c>
      <c r="D4451">
        <v>0.63724620303274304</v>
      </c>
      <c r="E4451">
        <v>0.59792216630448203</v>
      </c>
    </row>
    <row r="4452" spans="1:5" x14ac:dyDescent="0.2">
      <c r="A4452">
        <v>9.8335000000000006E-2</v>
      </c>
      <c r="B4452">
        <v>0.47879135343055101</v>
      </c>
      <c r="C4452">
        <v>0.43065509416819497</v>
      </c>
      <c r="D4452">
        <v>0.63729341143297003</v>
      </c>
      <c r="E4452">
        <v>0.59796372594448399</v>
      </c>
    </row>
    <row r="4453" spans="1:5" x14ac:dyDescent="0.2">
      <c r="A4453">
        <v>9.8368333333333294E-2</v>
      </c>
      <c r="B4453">
        <v>0.47884354065590601</v>
      </c>
      <c r="C4453">
        <v>0.43070905252738301</v>
      </c>
      <c r="D4453">
        <v>0.63734060044729601</v>
      </c>
      <c r="E4453">
        <v>0.59800520062393703</v>
      </c>
    </row>
    <row r="4454" spans="1:5" x14ac:dyDescent="0.2">
      <c r="A4454">
        <v>9.8401666666666707E-2</v>
      </c>
      <c r="B4454">
        <v>0.47889570463953901</v>
      </c>
      <c r="C4454">
        <v>0.43076299635516002</v>
      </c>
      <c r="D4454">
        <v>0.63738777001711699</v>
      </c>
      <c r="E4454">
        <v>0.59804659020793105</v>
      </c>
    </row>
    <row r="4455" spans="1:5" x14ac:dyDescent="0.2">
      <c r="A4455">
        <v>9.8434999999999995E-2</v>
      </c>
      <c r="B4455">
        <v>0.47894784516063699</v>
      </c>
      <c r="C4455">
        <v>0.43081692526944099</v>
      </c>
      <c r="D4455">
        <v>0.63743492008382896</v>
      </c>
      <c r="E4455">
        <v>0.59808789456155798</v>
      </c>
    </row>
    <row r="4456" spans="1:5" x14ac:dyDescent="0.2">
      <c r="A4456">
        <v>9.8468333333333297E-2</v>
      </c>
      <c r="B4456">
        <v>0.47899996199838701</v>
      </c>
      <c r="C4456">
        <v>0.43087083888814298</v>
      </c>
      <c r="D4456">
        <v>0.63748205058882901</v>
      </c>
      <c r="E4456">
        <v>0.59812911354990805</v>
      </c>
    </row>
    <row r="4457" spans="1:5" x14ac:dyDescent="0.2">
      <c r="A4457">
        <v>9.8501666666666696E-2</v>
      </c>
      <c r="B4457">
        <v>0.479052054931974</v>
      </c>
      <c r="C4457">
        <v>0.43092473682918098</v>
      </c>
      <c r="D4457">
        <v>0.63752916147351102</v>
      </c>
      <c r="E4457">
        <v>0.59817024703807398</v>
      </c>
    </row>
    <row r="4458" spans="1:5" x14ac:dyDescent="0.2">
      <c r="A4458">
        <v>9.8534999999999998E-2</v>
      </c>
      <c r="B4458">
        <v>0.47910412374058398</v>
      </c>
      <c r="C4458">
        <v>0.43097861871047</v>
      </c>
      <c r="D4458">
        <v>0.63757625267927198</v>
      </c>
      <c r="E4458">
        <v>0.59821129489114699</v>
      </c>
    </row>
    <row r="4459" spans="1:5" x14ac:dyDescent="0.2">
      <c r="A4459">
        <v>9.8568333333333299E-2</v>
      </c>
      <c r="B4459">
        <v>0.47915616820340501</v>
      </c>
      <c r="C4459">
        <v>0.43103248414992601</v>
      </c>
      <c r="D4459">
        <v>0.637623324147509</v>
      </c>
      <c r="E4459">
        <v>0.59825225697421702</v>
      </c>
    </row>
    <row r="4460" spans="1:5" x14ac:dyDescent="0.2">
      <c r="A4460">
        <v>9.8601666666666699E-2</v>
      </c>
      <c r="B4460">
        <v>0.47920818809962301</v>
      </c>
      <c r="C4460">
        <v>0.43108633276546598</v>
      </c>
      <c r="D4460">
        <v>0.63767037581961705</v>
      </c>
      <c r="E4460">
        <v>0.59829313315237698</v>
      </c>
    </row>
    <row r="4461" spans="1:5" x14ac:dyDescent="0.2">
      <c r="A4461">
        <v>9.8635E-2</v>
      </c>
      <c r="B4461">
        <v>0.47926018320842501</v>
      </c>
      <c r="C4461">
        <v>0.431140164175004</v>
      </c>
      <c r="D4461">
        <v>0.63771740763699303</v>
      </c>
      <c r="E4461">
        <v>0.598333923290716</v>
      </c>
    </row>
    <row r="4462" spans="1:5" x14ac:dyDescent="0.2">
      <c r="A4462">
        <v>9.8668333333333302E-2</v>
      </c>
      <c r="B4462">
        <v>0.47931215330899601</v>
      </c>
      <c r="C4462">
        <v>0.43119397799645698</v>
      </c>
      <c r="D4462">
        <v>0.63776441954103202</v>
      </c>
      <c r="E4462">
        <v>0.598374627254328</v>
      </c>
    </row>
    <row r="4463" spans="1:5" x14ac:dyDescent="0.2">
      <c r="A4463">
        <v>9.8701666666666701E-2</v>
      </c>
      <c r="B4463">
        <v>0.479364098180523</v>
      </c>
      <c r="C4463">
        <v>0.43124777384774099</v>
      </c>
      <c r="D4463">
        <v>0.63781141147313103</v>
      </c>
      <c r="E4463">
        <v>0.598415244908302</v>
      </c>
    </row>
    <row r="4464" spans="1:5" x14ac:dyDescent="0.2">
      <c r="A4464">
        <v>9.8735000000000003E-2</v>
      </c>
      <c r="B4464">
        <v>0.47941601760219299</v>
      </c>
      <c r="C4464">
        <v>0.43130155134677001</v>
      </c>
      <c r="D4464">
        <v>0.63785838337468603</v>
      </c>
      <c r="E4464">
        <v>0.59845577611773104</v>
      </c>
    </row>
    <row r="4465" spans="1:5" x14ac:dyDescent="0.2">
      <c r="A4465">
        <v>9.8768333333333305E-2</v>
      </c>
      <c r="B4465">
        <v>0.479467911353192</v>
      </c>
      <c r="C4465">
        <v>0.431355310111461</v>
      </c>
      <c r="D4465">
        <v>0.63790533518709303</v>
      </c>
      <c r="E4465">
        <v>0.59849622074770503</v>
      </c>
    </row>
    <row r="4466" spans="1:5" x14ac:dyDescent="0.2">
      <c r="A4466">
        <v>9.8801666666666704E-2</v>
      </c>
      <c r="B4466">
        <v>0.479519779212706</v>
      </c>
      <c r="C4466">
        <v>0.43140904975972999</v>
      </c>
      <c r="D4466">
        <v>0.637952266851748</v>
      </c>
      <c r="E4466">
        <v>0.598536578663316</v>
      </c>
    </row>
    <row r="4467" spans="1:5" x14ac:dyDescent="0.2">
      <c r="A4467">
        <v>9.8835000000000006E-2</v>
      </c>
      <c r="B4467">
        <v>0.47957162095992201</v>
      </c>
      <c r="C4467">
        <v>0.43146276990949201</v>
      </c>
      <c r="D4467">
        <v>0.63799917831004604</v>
      </c>
      <c r="E4467">
        <v>0.59857684972965497</v>
      </c>
    </row>
    <row r="4468" spans="1:5" x14ac:dyDescent="0.2">
      <c r="A4468">
        <v>9.8868333333333294E-2</v>
      </c>
      <c r="B4468">
        <v>0.47962343637402699</v>
      </c>
      <c r="C4468">
        <v>0.43151647017866201</v>
      </c>
      <c r="D4468">
        <v>0.63804606950338505</v>
      </c>
      <c r="E4468">
        <v>0.59861703381181297</v>
      </c>
    </row>
    <row r="4469" spans="1:5" x14ac:dyDescent="0.2">
      <c r="A4469">
        <v>9.8901666666666693E-2</v>
      </c>
      <c r="B4469">
        <v>0.47967522523420603</v>
      </c>
      <c r="C4469">
        <v>0.43157015018515799</v>
      </c>
      <c r="D4469">
        <v>0.63809294037316</v>
      </c>
      <c r="E4469">
        <v>0.59865713077488203</v>
      </c>
    </row>
    <row r="4470" spans="1:5" x14ac:dyDescent="0.2">
      <c r="A4470">
        <v>9.8934999999999995E-2</v>
      </c>
      <c r="B4470">
        <v>0.47972698731964603</v>
      </c>
      <c r="C4470">
        <v>0.431623809546893</v>
      </c>
      <c r="D4470">
        <v>0.638139790860768</v>
      </c>
      <c r="E4470">
        <v>0.59869714048395195</v>
      </c>
    </row>
    <row r="4471" spans="1:5" x14ac:dyDescent="0.2">
      <c r="A4471">
        <v>9.8968333333333297E-2</v>
      </c>
      <c r="B4471">
        <v>0.47977872240953401</v>
      </c>
      <c r="C4471">
        <v>0.43167744788178503</v>
      </c>
      <c r="D4471">
        <v>0.63818662090760403</v>
      </c>
      <c r="E4471">
        <v>0.59873706280411598</v>
      </c>
    </row>
    <row r="4472" spans="1:5" x14ac:dyDescent="0.2">
      <c r="A4472">
        <v>9.9001666666666696E-2</v>
      </c>
      <c r="B4472">
        <v>0.479830430283057</v>
      </c>
      <c r="C4472">
        <v>0.43173106480774898</v>
      </c>
      <c r="D4472">
        <v>0.63823343045506398</v>
      </c>
      <c r="E4472">
        <v>0.59877689760046504</v>
      </c>
    </row>
    <row r="4473" spans="1:5" x14ac:dyDescent="0.2">
      <c r="A4473">
        <v>9.9034999999999998E-2</v>
      </c>
      <c r="B4473">
        <v>0.47988211071939901</v>
      </c>
      <c r="C4473">
        <v>0.43178465994270099</v>
      </c>
      <c r="D4473">
        <v>0.63828021944454505</v>
      </c>
      <c r="E4473">
        <v>0.59881664473808904</v>
      </c>
    </row>
    <row r="4474" spans="1:5" x14ac:dyDescent="0.2">
      <c r="A4474">
        <v>9.90683333333333E-2</v>
      </c>
      <c r="B4474">
        <v>0.47993376349774902</v>
      </c>
      <c r="C4474">
        <v>0.43183823290455498</v>
      </c>
      <c r="D4474">
        <v>0.63832698781744301</v>
      </c>
      <c r="E4474">
        <v>0.59885630408208002</v>
      </c>
    </row>
    <row r="4475" spans="1:5" x14ac:dyDescent="0.2">
      <c r="A4475">
        <v>9.9101666666666699E-2</v>
      </c>
      <c r="B4475">
        <v>0.47998538839729199</v>
      </c>
      <c r="C4475">
        <v>0.43189178331122902</v>
      </c>
      <c r="D4475">
        <v>0.63837373551515297</v>
      </c>
      <c r="E4475">
        <v>0.59889587549752998</v>
      </c>
    </row>
    <row r="4476" spans="1:5" x14ac:dyDescent="0.2">
      <c r="A4476">
        <v>9.9135000000000001E-2</v>
      </c>
      <c r="B4476">
        <v>0.48003698519721499</v>
      </c>
      <c r="C4476">
        <v>0.43194531078063703</v>
      </c>
      <c r="D4476">
        <v>0.63842046247907203</v>
      </c>
      <c r="E4476">
        <v>0.59893535884952898</v>
      </c>
    </row>
    <row r="4477" spans="1:5" x14ac:dyDescent="0.2">
      <c r="A4477">
        <v>9.9168333333333303E-2</v>
      </c>
      <c r="B4477">
        <v>0.480088553676704</v>
      </c>
      <c r="C4477">
        <v>0.43199881493069597</v>
      </c>
      <c r="D4477">
        <v>0.63846716865059705</v>
      </c>
      <c r="E4477">
        <v>0.59897475400316902</v>
      </c>
    </row>
    <row r="4478" spans="1:5" x14ac:dyDescent="0.2">
      <c r="A4478">
        <v>9.9201666666666702E-2</v>
      </c>
      <c r="B4478">
        <v>0.48014009361494497</v>
      </c>
      <c r="C4478">
        <v>0.43205229537932199</v>
      </c>
      <c r="D4478">
        <v>0.63851385397112204</v>
      </c>
      <c r="E4478">
        <v>0.59901406082354103</v>
      </c>
    </row>
    <row r="4479" spans="1:5" x14ac:dyDescent="0.2">
      <c r="A4479">
        <v>9.9235000000000004E-2</v>
      </c>
      <c r="B4479">
        <v>0.48019160479112599</v>
      </c>
      <c r="C4479">
        <v>0.432105751744429</v>
      </c>
      <c r="D4479">
        <v>0.63856051838204497</v>
      </c>
      <c r="E4479">
        <v>0.59905327917573603</v>
      </c>
    </row>
    <row r="4480" spans="1:5" x14ac:dyDescent="0.2">
      <c r="A4480">
        <v>9.9268333333333306E-2</v>
      </c>
      <c r="B4480">
        <v>0.48024308698443202</v>
      </c>
      <c r="C4480">
        <v>0.43215918364393402</v>
      </c>
      <c r="D4480">
        <v>0.63860716182475996</v>
      </c>
      <c r="E4480">
        <v>0.59909240892484705</v>
      </c>
    </row>
    <row r="4481" spans="1:5" x14ac:dyDescent="0.2">
      <c r="A4481">
        <v>9.9301666666666705E-2</v>
      </c>
      <c r="B4481">
        <v>0.48029453997405103</v>
      </c>
      <c r="C4481">
        <v>0.43221259069575202</v>
      </c>
      <c r="D4481">
        <v>0.63865378424066499</v>
      </c>
      <c r="E4481">
        <v>0.59913144993596301</v>
      </c>
    </row>
    <row r="4482" spans="1:5" x14ac:dyDescent="0.2">
      <c r="A4482">
        <v>9.9335000000000007E-2</v>
      </c>
      <c r="B4482">
        <v>0.48034596353916797</v>
      </c>
      <c r="C4482">
        <v>0.43226597251780002</v>
      </c>
      <c r="D4482">
        <v>0.63870038557115605</v>
      </c>
      <c r="E4482">
        <v>0.59917040207417704</v>
      </c>
    </row>
    <row r="4483" spans="1:5" x14ac:dyDescent="0.2">
      <c r="A4483">
        <v>9.9368333333333295E-2</v>
      </c>
      <c r="B4483">
        <v>0.480397357458969</v>
      </c>
      <c r="C4483">
        <v>0.432319328727992</v>
      </c>
      <c r="D4483">
        <v>0.63874696575762802</v>
      </c>
      <c r="E4483">
        <v>0.59920926520457896</v>
      </c>
    </row>
    <row r="4484" spans="1:5" x14ac:dyDescent="0.2">
      <c r="A4484">
        <v>9.9401666666666694E-2</v>
      </c>
      <c r="B4484">
        <v>0.48044872151264201</v>
      </c>
      <c r="C4484">
        <v>0.43237265894424498</v>
      </c>
      <c r="D4484">
        <v>0.63879352474147799</v>
      </c>
      <c r="E4484">
        <v>0.599248039192261</v>
      </c>
    </row>
    <row r="4485" spans="1:5" x14ac:dyDescent="0.2">
      <c r="A4485">
        <v>9.9434999999999996E-2</v>
      </c>
      <c r="B4485">
        <v>0.48050005547937302</v>
      </c>
      <c r="C4485">
        <v>0.43242596278447398</v>
      </c>
      <c r="D4485">
        <v>0.63884006246410097</v>
      </c>
      <c r="E4485">
        <v>0.59928672390231397</v>
      </c>
    </row>
    <row r="4486" spans="1:5" x14ac:dyDescent="0.2">
      <c r="A4486">
        <v>9.9468333333333298E-2</v>
      </c>
      <c r="B4486">
        <v>0.48055135913834701</v>
      </c>
      <c r="C4486">
        <v>0.43247923986659598</v>
      </c>
      <c r="D4486">
        <v>0.63888657886689404</v>
      </c>
      <c r="E4486">
        <v>0.59932531919982901</v>
      </c>
    </row>
    <row r="4487" spans="1:5" x14ac:dyDescent="0.2">
      <c r="A4487">
        <v>9.9501666666666697E-2</v>
      </c>
      <c r="B4487">
        <v>0.48060263226875299</v>
      </c>
      <c r="C4487">
        <v>0.43253248980852499</v>
      </c>
      <c r="D4487">
        <v>0.63893307389125298</v>
      </c>
      <c r="E4487">
        <v>0.59936382494989904</v>
      </c>
    </row>
    <row r="4488" spans="1:5" x14ac:dyDescent="0.2">
      <c r="A4488">
        <v>9.9534999999999998E-2</v>
      </c>
      <c r="B4488">
        <v>0.48065387464977499</v>
      </c>
      <c r="C4488">
        <v>0.43258571222817799</v>
      </c>
      <c r="D4488">
        <v>0.63897954747857399</v>
      </c>
      <c r="E4488">
        <v>0.59940224101761297</v>
      </c>
    </row>
    <row r="4489" spans="1:5" x14ac:dyDescent="0.2">
      <c r="A4489">
        <v>9.95683333333333E-2</v>
      </c>
      <c r="B4489">
        <v>0.48070508606060097</v>
      </c>
      <c r="C4489">
        <v>0.43263890674347</v>
      </c>
      <c r="D4489">
        <v>0.63902599957025297</v>
      </c>
      <c r="E4489">
        <v>0.59944056726806305</v>
      </c>
    </row>
    <row r="4490" spans="1:5" x14ac:dyDescent="0.2">
      <c r="A4490">
        <v>9.9601666666666699E-2</v>
      </c>
      <c r="B4490">
        <v>0.48075626628041601</v>
      </c>
      <c r="C4490">
        <v>0.43269207297231699</v>
      </c>
      <c r="D4490">
        <v>0.639072430107686</v>
      </c>
      <c r="E4490">
        <v>0.59947880356634098</v>
      </c>
    </row>
    <row r="4491" spans="1:5" x14ac:dyDescent="0.2">
      <c r="A4491">
        <v>9.9635000000000001E-2</v>
      </c>
      <c r="B4491">
        <v>0.48080741508840802</v>
      </c>
      <c r="C4491">
        <v>0.43274521053263498</v>
      </c>
      <c r="D4491">
        <v>0.63911883903226996</v>
      </c>
      <c r="E4491">
        <v>0.599516949777538</v>
      </c>
    </row>
    <row r="4492" spans="1:5" x14ac:dyDescent="0.2">
      <c r="A4492">
        <v>9.9668333333333303E-2</v>
      </c>
      <c r="B4492">
        <v>0.48085853226376302</v>
      </c>
      <c r="C4492">
        <v>0.43279831904233901</v>
      </c>
      <c r="D4492">
        <v>0.63916522628539996</v>
      </c>
      <c r="E4492">
        <v>0.59955500576674503</v>
      </c>
    </row>
    <row r="4493" spans="1:5" x14ac:dyDescent="0.2">
      <c r="A4493">
        <v>9.9701666666666702E-2</v>
      </c>
      <c r="B4493">
        <v>0.48090961758566703</v>
      </c>
      <c r="C4493">
        <v>0.43285139811934498</v>
      </c>
      <c r="D4493">
        <v>0.63921159180847198</v>
      </c>
      <c r="E4493">
        <v>0.59959297139905299</v>
      </c>
    </row>
    <row r="4494" spans="1:5" x14ac:dyDescent="0.2">
      <c r="A4494">
        <v>9.9735000000000004E-2</v>
      </c>
      <c r="B4494">
        <v>0.48096067083330701</v>
      </c>
      <c r="C4494">
        <v>0.43290444738156902</v>
      </c>
      <c r="D4494">
        <v>0.63925793554288202</v>
      </c>
      <c r="E4494">
        <v>0.59963084653955401</v>
      </c>
    </row>
    <row r="4495" spans="1:5" x14ac:dyDescent="0.2">
      <c r="A4495">
        <v>9.9768333333333306E-2</v>
      </c>
      <c r="B4495">
        <v>0.481011691785868</v>
      </c>
      <c r="C4495">
        <v>0.43295746644692701</v>
      </c>
      <c r="D4495">
        <v>0.63930425743002794</v>
      </c>
      <c r="E4495">
        <v>0.59966863105333901</v>
      </c>
    </row>
    <row r="4496" spans="1:5" x14ac:dyDescent="0.2">
      <c r="A4496">
        <v>9.9801666666666705E-2</v>
      </c>
      <c r="B4496">
        <v>0.48106268022253801</v>
      </c>
      <c r="C4496">
        <v>0.43301045493333501</v>
      </c>
      <c r="D4496">
        <v>0.63935055741130398</v>
      </c>
      <c r="E4496">
        <v>0.59970632480549901</v>
      </c>
    </row>
    <row r="4497" spans="1:5" x14ac:dyDescent="0.2">
      <c r="A4497">
        <v>9.9834999999999993E-2</v>
      </c>
      <c r="B4497">
        <v>0.481113635922503</v>
      </c>
      <c r="C4497">
        <v>0.433063412458707</v>
      </c>
      <c r="D4497">
        <v>0.63939683542810699</v>
      </c>
      <c r="E4497">
        <v>0.59974392766112505</v>
      </c>
    </row>
    <row r="4498" spans="1:5" x14ac:dyDescent="0.2">
      <c r="A4498">
        <v>9.9868333333333295E-2</v>
      </c>
      <c r="B4498">
        <v>0.48116455866495</v>
      </c>
      <c r="C4498">
        <v>0.43311633864096</v>
      </c>
      <c r="D4498">
        <v>0.63944309142183198</v>
      </c>
      <c r="E4498">
        <v>0.59978143948530904</v>
      </c>
    </row>
    <row r="4499" spans="1:5" x14ac:dyDescent="0.2">
      <c r="A4499">
        <v>9.9901666666666694E-2</v>
      </c>
      <c r="B4499">
        <v>0.48121544822906398</v>
      </c>
      <c r="C4499">
        <v>0.43316923309800998</v>
      </c>
      <c r="D4499">
        <v>0.63948932533387703</v>
      </c>
      <c r="E4499">
        <v>0.59981886014314301</v>
      </c>
    </row>
    <row r="4500" spans="1:5" x14ac:dyDescent="0.2">
      <c r="A4500">
        <v>9.9934999999999996E-2</v>
      </c>
      <c r="B4500">
        <v>0.48126630439403201</v>
      </c>
      <c r="C4500">
        <v>0.43322209544777202</v>
      </c>
      <c r="D4500">
        <v>0.63953553710563704</v>
      </c>
      <c r="E4500">
        <v>0.59985618949971697</v>
      </c>
    </row>
    <row r="4501" spans="1:5" x14ac:dyDescent="0.2">
      <c r="A4501">
        <v>9.9968333333333298E-2</v>
      </c>
      <c r="B4501">
        <v>0.481317126939041</v>
      </c>
      <c r="C4501">
        <v>0.43327492530816197</v>
      </c>
      <c r="D4501">
        <v>0.63958172667850799</v>
      </c>
      <c r="E4501">
        <v>0.59989342742012197</v>
      </c>
    </row>
    <row r="4502" spans="1:5" x14ac:dyDescent="0.2">
      <c r="A4502">
        <v>0.100013333333333</v>
      </c>
      <c r="B4502">
        <v>0.48138568365401402</v>
      </c>
      <c r="C4502">
        <v>0.433346193406632</v>
      </c>
      <c r="D4502">
        <v>0.63964404728508995</v>
      </c>
      <c r="E4502">
        <v>0.59994355333308202</v>
      </c>
    </row>
    <row r="4503" spans="1:5" x14ac:dyDescent="0.2">
      <c r="A4503">
        <v>0.10027999999999999</v>
      </c>
      <c r="B4503">
        <v>0.48179065056869802</v>
      </c>
      <c r="C4503">
        <v>0.43376724251908599</v>
      </c>
      <c r="D4503">
        <v>0.64001251433575701</v>
      </c>
      <c r="E4503">
        <v>0.60023715302604297</v>
      </c>
    </row>
    <row r="4504" spans="1:5" x14ac:dyDescent="0.2">
      <c r="A4504">
        <v>0.10054666666666701</v>
      </c>
      <c r="B4504">
        <v>0.48219331953908001</v>
      </c>
      <c r="C4504">
        <v>0.43418595921911302</v>
      </c>
      <c r="D4504">
        <v>0.64037952183830904</v>
      </c>
      <c r="E4504">
        <v>0.60052481144069303</v>
      </c>
    </row>
    <row r="4505" spans="1:5" x14ac:dyDescent="0.2">
      <c r="A4505">
        <v>0.10081333333333301</v>
      </c>
      <c r="B4505">
        <v>0.48259357750861198</v>
      </c>
      <c r="C4505">
        <v>0.43460214787956603</v>
      </c>
      <c r="D4505">
        <v>0.64074503978754405</v>
      </c>
      <c r="E4505">
        <v>0.60080645950376799</v>
      </c>
    </row>
    <row r="4506" spans="1:5" x14ac:dyDescent="0.2">
      <c r="A4506">
        <v>0.10108</v>
      </c>
      <c r="B4506">
        <v>0.48299131589024102</v>
      </c>
      <c r="C4506">
        <v>0.43501561606213401</v>
      </c>
      <c r="D4506">
        <v>0.64110903835376898</v>
      </c>
      <c r="E4506">
        <v>0.601082035765929</v>
      </c>
    </row>
    <row r="4507" spans="1:5" x14ac:dyDescent="0.2">
      <c r="A4507">
        <v>0.101346666666667</v>
      </c>
      <c r="B4507">
        <v>0.483386771903006</v>
      </c>
      <c r="C4507">
        <v>0.43542641804985399</v>
      </c>
      <c r="D4507">
        <v>0.64147150128640296</v>
      </c>
      <c r="E4507">
        <v>0.60135206864382496</v>
      </c>
    </row>
    <row r="4508" spans="1:5" x14ac:dyDescent="0.2">
      <c r="A4508">
        <v>0.101613333333333</v>
      </c>
      <c r="B4508">
        <v>0.48378076893128902</v>
      </c>
      <c r="C4508">
        <v>0.43583502633557702</v>
      </c>
      <c r="D4508">
        <v>0.64183243535239698</v>
      </c>
      <c r="E4508">
        <v>0.60161808641788606</v>
      </c>
    </row>
    <row r="4509" spans="1:5" x14ac:dyDescent="0.2">
      <c r="A4509">
        <v>0.10188</v>
      </c>
      <c r="B4509">
        <v>0.48417418713854399</v>
      </c>
      <c r="C4509">
        <v>0.43624195392216703</v>
      </c>
      <c r="D4509">
        <v>0.64219184954830599</v>
      </c>
      <c r="E4509">
        <v>0.60188171422064696</v>
      </c>
    </row>
    <row r="4510" spans="1:5" x14ac:dyDescent="0.2">
      <c r="A4510">
        <v>0.102146666666667</v>
      </c>
      <c r="B4510">
        <v>0.484567875749361</v>
      </c>
      <c r="C4510">
        <v>0.43664771381249201</v>
      </c>
      <c r="D4510">
        <v>0.64254975287068405</v>
      </c>
      <c r="E4510">
        <v>0.60214453214750596</v>
      </c>
    </row>
    <row r="4511" spans="1:5" x14ac:dyDescent="0.2">
      <c r="A4511">
        <v>0.102413333333333</v>
      </c>
      <c r="B4511">
        <v>0.48496211525709498</v>
      </c>
      <c r="C4511">
        <v>0.437052819009416</v>
      </c>
      <c r="D4511">
        <v>0.642906154316085</v>
      </c>
      <c r="E4511">
        <v>0.60240729240246205</v>
      </c>
    </row>
    <row r="4512" spans="1:5" x14ac:dyDescent="0.2">
      <c r="A4512">
        <v>0.10267999999999999</v>
      </c>
      <c r="B4512">
        <v>0.48535668701888401</v>
      </c>
      <c r="C4512">
        <v>0.43745778251580503</v>
      </c>
      <c r="D4512">
        <v>0.643261062881061</v>
      </c>
      <c r="E4512">
        <v>0.60267002060627295</v>
      </c>
    </row>
    <row r="4513" spans="1:5" x14ac:dyDescent="0.2">
      <c r="A4513">
        <v>0.10294666666666701</v>
      </c>
      <c r="B4513">
        <v>0.48575135544638798</v>
      </c>
      <c r="C4513">
        <v>0.43786311733452399</v>
      </c>
      <c r="D4513">
        <v>0.64361448756216699</v>
      </c>
      <c r="E4513">
        <v>0.60293271771247803</v>
      </c>
    </row>
    <row r="4514" spans="1:5" x14ac:dyDescent="0.2">
      <c r="A4514">
        <v>0.103213333333333</v>
      </c>
      <c r="B4514">
        <v>0.48614591034225701</v>
      </c>
      <c r="C4514">
        <v>0.43826926568167901</v>
      </c>
      <c r="D4514">
        <v>0.64396643735595704</v>
      </c>
      <c r="E4514">
        <v>0.60319538467461797</v>
      </c>
    </row>
    <row r="4515" spans="1:5" x14ac:dyDescent="0.2">
      <c r="A4515">
        <v>0.10348</v>
      </c>
      <c r="B4515">
        <v>0.486540329164449</v>
      </c>
      <c r="C4515">
        <v>0.43867614661496301</v>
      </c>
      <c r="D4515">
        <v>0.64431692125898299</v>
      </c>
      <c r="E4515">
        <v>0.60345802244623203</v>
      </c>
    </row>
    <row r="4516" spans="1:5" x14ac:dyDescent="0.2">
      <c r="A4516">
        <v>0.103746666666667</v>
      </c>
      <c r="B4516">
        <v>0.48693467347857999</v>
      </c>
      <c r="C4516">
        <v>0.43908344471092597</v>
      </c>
      <c r="D4516">
        <v>0.64466594826780099</v>
      </c>
      <c r="E4516">
        <v>0.60372063198085901</v>
      </c>
    </row>
    <row r="4517" spans="1:5" x14ac:dyDescent="0.2">
      <c r="A4517">
        <v>0.104013333333333</v>
      </c>
      <c r="B4517">
        <v>0.48732900524546302</v>
      </c>
      <c r="C4517">
        <v>0.43949084344751799</v>
      </c>
      <c r="D4517">
        <v>0.645013527378963</v>
      </c>
      <c r="E4517">
        <v>0.60398321423204004</v>
      </c>
    </row>
    <row r="4518" spans="1:5" x14ac:dyDescent="0.2">
      <c r="A4518">
        <v>0.10428</v>
      </c>
      <c r="B4518">
        <v>0.48772337215549699</v>
      </c>
      <c r="C4518">
        <v>0.439898095233552</v>
      </c>
      <c r="D4518">
        <v>0.64535966758902297</v>
      </c>
      <c r="E4518">
        <v>0.60424577015331404</v>
      </c>
    </row>
    <row r="4519" spans="1:5" x14ac:dyDescent="0.2">
      <c r="A4519">
        <v>0.104546666666667</v>
      </c>
      <c r="B4519">
        <v>0.48811777274886797</v>
      </c>
      <c r="C4519">
        <v>0.44030518988981998</v>
      </c>
      <c r="D4519">
        <v>0.64570437789453605</v>
      </c>
      <c r="E4519">
        <v>0.60450830069822103</v>
      </c>
    </row>
    <row r="4520" spans="1:5" x14ac:dyDescent="0.2">
      <c r="A4520">
        <v>0.10481333333333299</v>
      </c>
      <c r="B4520">
        <v>0.488512194992064</v>
      </c>
      <c r="C4520">
        <v>0.44071216831162902</v>
      </c>
      <c r="D4520">
        <v>0.64604766729205398</v>
      </c>
      <c r="E4520">
        <v>0.60477080682030004</v>
      </c>
    </row>
    <row r="4521" spans="1:5" x14ac:dyDescent="0.2">
      <c r="A4521">
        <v>0.10508000000000001</v>
      </c>
      <c r="B4521">
        <v>0.48890662684246999</v>
      </c>
      <c r="C4521">
        <v>0.44111907139428502</v>
      </c>
      <c r="D4521">
        <v>0.64638954477813104</v>
      </c>
      <c r="E4521">
        <v>0.60503328947309098</v>
      </c>
    </row>
    <row r="4522" spans="1:5" x14ac:dyDescent="0.2">
      <c r="A4522">
        <v>0.105346666666667</v>
      </c>
      <c r="B4522">
        <v>0.48930105555336001</v>
      </c>
      <c r="C4522">
        <v>0.44152594003309598</v>
      </c>
      <c r="D4522">
        <v>0.64673001934932195</v>
      </c>
      <c r="E4522">
        <v>0.60529574961013499</v>
      </c>
    </row>
    <row r="4523" spans="1:5" x14ac:dyDescent="0.2">
      <c r="A4523">
        <v>0.105613333333333</v>
      </c>
      <c r="B4523">
        <v>0.48969546718449197</v>
      </c>
      <c r="C4523">
        <v>0.44193281512336702</v>
      </c>
      <c r="D4523">
        <v>0.64706910000217899</v>
      </c>
      <c r="E4523">
        <v>0.60555818818496898</v>
      </c>
    </row>
    <row r="4524" spans="1:5" x14ac:dyDescent="0.2">
      <c r="A4524">
        <v>0.10588</v>
      </c>
      <c r="B4524">
        <v>0.49008984768001401</v>
      </c>
      <c r="C4524">
        <v>0.44233973756040601</v>
      </c>
      <c r="D4524">
        <v>0.64740679573325699</v>
      </c>
      <c r="E4524">
        <v>0.60582060615113498</v>
      </c>
    </row>
    <row r="4525" spans="1:5" x14ac:dyDescent="0.2">
      <c r="A4525">
        <v>0.106146666666667</v>
      </c>
      <c r="B4525">
        <v>0.49048418527284898</v>
      </c>
      <c r="C4525">
        <v>0.442746744545853</v>
      </c>
      <c r="D4525">
        <v>0.64774311553910902</v>
      </c>
      <c r="E4525">
        <v>0.606083004462172</v>
      </c>
    </row>
    <row r="4526" spans="1:5" x14ac:dyDescent="0.2">
      <c r="A4526">
        <v>0.106413333333333</v>
      </c>
      <c r="B4526">
        <v>0.49087851026913198</v>
      </c>
      <c r="C4526">
        <v>0.44315380538282301</v>
      </c>
      <c r="D4526">
        <v>0.64807806841628901</v>
      </c>
      <c r="E4526">
        <v>0.60634538407161997</v>
      </c>
    </row>
    <row r="4527" spans="1:5" x14ac:dyDescent="0.2">
      <c r="A4527">
        <v>0.10668</v>
      </c>
      <c r="B4527">
        <v>0.49127288989976198</v>
      </c>
      <c r="C4527">
        <v>0.44356082978457501</v>
      </c>
      <c r="D4527">
        <v>0.64841166336135103</v>
      </c>
      <c r="E4527">
        <v>0.60660774593301803</v>
      </c>
    </row>
    <row r="4528" spans="1:5" x14ac:dyDescent="0.2">
      <c r="A4528">
        <v>0.106946666666667</v>
      </c>
      <c r="B4528">
        <v>0.491667392649216</v>
      </c>
      <c r="C4528">
        <v>0.44396772544131502</v>
      </c>
      <c r="D4528">
        <v>0.64874390937084803</v>
      </c>
      <c r="E4528">
        <v>0.60687009099990596</v>
      </c>
    </row>
    <row r="4529" spans="1:5" x14ac:dyDescent="0.2">
      <c r="A4529">
        <v>0.10721333333333299</v>
      </c>
      <c r="B4529">
        <v>0.49206205896194399</v>
      </c>
      <c r="C4529">
        <v>0.44437443273556299</v>
      </c>
      <c r="D4529">
        <v>0.64907481544133505</v>
      </c>
      <c r="E4529">
        <v>0.60713242022582403</v>
      </c>
    </row>
    <row r="4530" spans="1:5" x14ac:dyDescent="0.2">
      <c r="A4530">
        <v>0.10748000000000001</v>
      </c>
      <c r="B4530">
        <v>0.492456722049052</v>
      </c>
      <c r="C4530">
        <v>0.44478113366646599</v>
      </c>
      <c r="D4530">
        <v>0.64940439056936405</v>
      </c>
      <c r="E4530">
        <v>0.60739473456431203</v>
      </c>
    </row>
    <row r="4531" spans="1:5" x14ac:dyDescent="0.2">
      <c r="A4531">
        <v>0.107746666666667</v>
      </c>
      <c r="B4531">
        <v>0.49285112223904698</v>
      </c>
      <c r="C4531">
        <v>0.44518811852645601</v>
      </c>
      <c r="D4531">
        <v>0.64973264375148898</v>
      </c>
      <c r="E4531">
        <v>0.60765703496890799</v>
      </c>
    </row>
    <row r="4532" spans="1:5" x14ac:dyDescent="0.2">
      <c r="A4532">
        <v>0.108013333333333</v>
      </c>
      <c r="B4532">
        <v>0.493244999447984</v>
      </c>
      <c r="C4532">
        <v>0.445595678090421</v>
      </c>
      <c r="D4532">
        <v>0.650059583984265</v>
      </c>
      <c r="E4532">
        <v>0.60791932239315405</v>
      </c>
    </row>
    <row r="4533" spans="1:5" x14ac:dyDescent="0.2">
      <c r="A4533">
        <v>0.10828</v>
      </c>
      <c r="B4533">
        <v>0.49363833124440398</v>
      </c>
      <c r="C4533">
        <v>0.44600384056636699</v>
      </c>
      <c r="D4533">
        <v>0.65038522026424395</v>
      </c>
      <c r="E4533">
        <v>0.608181597790588</v>
      </c>
    </row>
    <row r="4534" spans="1:5" x14ac:dyDescent="0.2">
      <c r="A4534">
        <v>0.108546666666667</v>
      </c>
      <c r="B4534">
        <v>0.49403191372058203</v>
      </c>
      <c r="C4534">
        <v>0.44641172982830202</v>
      </c>
      <c r="D4534">
        <v>0.65070956158798199</v>
      </c>
      <c r="E4534">
        <v>0.60844386211474999</v>
      </c>
    </row>
    <row r="4535" spans="1:5" x14ac:dyDescent="0.2">
      <c r="A4535">
        <v>0.108813333333333</v>
      </c>
      <c r="B4535">
        <v>0.49442671905806601</v>
      </c>
      <c r="C4535">
        <v>0.44681827520057399</v>
      </c>
      <c r="D4535">
        <v>0.65103261695202996</v>
      </c>
      <c r="E4535">
        <v>0.60870611631918004</v>
      </c>
    </row>
    <row r="4536" spans="1:5" x14ac:dyDescent="0.2">
      <c r="A4536">
        <v>0.10908</v>
      </c>
      <c r="B4536">
        <v>0.49482369873378701</v>
      </c>
      <c r="C4536">
        <v>0.44722241265970297</v>
      </c>
      <c r="D4536">
        <v>0.65135439535294404</v>
      </c>
      <c r="E4536">
        <v>0.60896836135741805</v>
      </c>
    </row>
    <row r="4537" spans="1:5" x14ac:dyDescent="0.2">
      <c r="A4537">
        <v>0.10934666666666699</v>
      </c>
      <c r="B4537">
        <v>0.49522220230090502</v>
      </c>
      <c r="C4537">
        <v>0.44762359286366599</v>
      </c>
      <c r="D4537">
        <v>0.65167490578727605</v>
      </c>
      <c r="E4537">
        <v>0.60923059818300296</v>
      </c>
    </row>
    <row r="4538" spans="1:5" x14ac:dyDescent="0.2">
      <c r="A4538">
        <v>0.10961333333333299</v>
      </c>
      <c r="B4538">
        <v>0.49561886394059201</v>
      </c>
      <c r="C4538">
        <v>0.44802213889122</v>
      </c>
      <c r="D4538">
        <v>0.65199415725158105</v>
      </c>
      <c r="E4538">
        <v>0.609492827749475</v>
      </c>
    </row>
    <row r="4539" spans="1:5" x14ac:dyDescent="0.2">
      <c r="A4539">
        <v>0.10988000000000001</v>
      </c>
      <c r="B4539">
        <v>0.49601005480872101</v>
      </c>
      <c r="C4539">
        <v>0.44841845832841798</v>
      </c>
      <c r="D4539">
        <v>0.652312158742412</v>
      </c>
      <c r="E4539">
        <v>0.60975505101037397</v>
      </c>
    </row>
    <row r="4540" spans="1:5" x14ac:dyDescent="0.2">
      <c r="A4540">
        <v>0.110146666666667</v>
      </c>
      <c r="B4540">
        <v>0.49639234100987201</v>
      </c>
      <c r="C4540">
        <v>0.448812958761313</v>
      </c>
      <c r="D4540">
        <v>0.65262891925632305</v>
      </c>
      <c r="E4540">
        <v>0.61001726891923902</v>
      </c>
    </row>
    <row r="4541" spans="1:5" x14ac:dyDescent="0.2">
      <c r="A4541">
        <v>0.110413333333333</v>
      </c>
      <c r="B4541">
        <v>0.49676587227755098</v>
      </c>
      <c r="C4541">
        <v>0.44920604777595702</v>
      </c>
      <c r="D4541">
        <v>0.65294444778986704</v>
      </c>
      <c r="E4541">
        <v>0.61027948242961105</v>
      </c>
    </row>
    <row r="4542" spans="1:5" x14ac:dyDescent="0.2">
      <c r="A4542">
        <v>0.11068</v>
      </c>
      <c r="B4542">
        <v>0.49713394344943801</v>
      </c>
      <c r="C4542">
        <v>0.44959813295840301</v>
      </c>
      <c r="D4542">
        <v>0.65325875333959904</v>
      </c>
      <c r="E4542">
        <v>0.61054169249502799</v>
      </c>
    </row>
    <row r="4543" spans="1:5" x14ac:dyDescent="0.2">
      <c r="A4543">
        <v>0.110946666666667</v>
      </c>
      <c r="B4543">
        <v>0.49749995613827702</v>
      </c>
      <c r="C4543">
        <v>0.44998962189470498</v>
      </c>
      <c r="D4543">
        <v>0.65357184490207099</v>
      </c>
      <c r="E4543">
        <v>0.61080390006903096</v>
      </c>
    </row>
    <row r="4544" spans="1:5" x14ac:dyDescent="0.2">
      <c r="A4544">
        <v>0.111213333333333</v>
      </c>
      <c r="B4544">
        <v>0.49786699065162698</v>
      </c>
      <c r="C4544">
        <v>0.45038088476026999</v>
      </c>
      <c r="D4544">
        <v>0.65388373147383905</v>
      </c>
      <c r="E4544">
        <v>0.61106610610515899</v>
      </c>
    </row>
    <row r="4545" spans="1:5" x14ac:dyDescent="0.2">
      <c r="A4545">
        <v>0.11148</v>
      </c>
      <c r="B4545">
        <v>0.49823575265092102</v>
      </c>
      <c r="C4545">
        <v>0.45077201524247501</v>
      </c>
      <c r="D4545">
        <v>0.65419442205145395</v>
      </c>
      <c r="E4545">
        <v>0.611328311556952</v>
      </c>
    </row>
    <row r="4546" spans="1:5" x14ac:dyDescent="0.2">
      <c r="A4546">
        <v>0.11174666666666699</v>
      </c>
      <c r="B4546">
        <v>0.49860588347417101</v>
      </c>
      <c r="C4546">
        <v>0.451162983105937</v>
      </c>
      <c r="D4546">
        <v>0.65450392563147197</v>
      </c>
      <c r="E4546">
        <v>0.61159051737795</v>
      </c>
    </row>
    <row r="4547" spans="1:5" x14ac:dyDescent="0.2">
      <c r="A4547">
        <v>0.11201333333333301</v>
      </c>
      <c r="B4547">
        <v>0.49897701943899297</v>
      </c>
      <c r="C4547">
        <v>0.45155375753073701</v>
      </c>
      <c r="D4547">
        <v>0.65481225121044595</v>
      </c>
      <c r="E4547">
        <v>0.61185272452169204</v>
      </c>
    </row>
    <row r="4548" spans="1:5" x14ac:dyDescent="0.2">
      <c r="A4548">
        <v>0.11228</v>
      </c>
      <c r="B4548">
        <v>0.49934879686300498</v>
      </c>
      <c r="C4548">
        <v>0.45194430769694999</v>
      </c>
      <c r="D4548">
        <v>0.65511940778492905</v>
      </c>
      <c r="E4548">
        <v>0.61211493394171801</v>
      </c>
    </row>
    <row r="4549" spans="1:5" x14ac:dyDescent="0.2">
      <c r="A4549">
        <v>0.112546666666667</v>
      </c>
      <c r="B4549">
        <v>0.499720852063823</v>
      </c>
      <c r="C4549">
        <v>0.45233460278465498</v>
      </c>
      <c r="D4549">
        <v>0.655425404351476</v>
      </c>
      <c r="E4549">
        <v>0.61237714659156695</v>
      </c>
    </row>
    <row r="4550" spans="1:5" x14ac:dyDescent="0.2">
      <c r="A4550">
        <v>0.112813333333333</v>
      </c>
      <c r="B4550">
        <v>0.50009282135906497</v>
      </c>
      <c r="C4550">
        <v>0.45272461197392899</v>
      </c>
      <c r="D4550">
        <v>0.65573024990663897</v>
      </c>
      <c r="E4550">
        <v>0.61263936342478098</v>
      </c>
    </row>
    <row r="4551" spans="1:5" x14ac:dyDescent="0.2">
      <c r="A4551">
        <v>0.11308</v>
      </c>
      <c r="B4551">
        <v>0.50046434376187998</v>
      </c>
      <c r="C4551">
        <v>0.45311430444485201</v>
      </c>
      <c r="D4551">
        <v>0.65603395344697302</v>
      </c>
      <c r="E4551">
        <v>0.61290158539489703</v>
      </c>
    </row>
    <row r="4552" spans="1:5" x14ac:dyDescent="0.2">
      <c r="A4552">
        <v>0.113346666666667</v>
      </c>
      <c r="B4552">
        <v>0.50083526683977397</v>
      </c>
      <c r="C4552">
        <v>0.45350364937749998</v>
      </c>
      <c r="D4552">
        <v>0.65633652396903197</v>
      </c>
      <c r="E4552">
        <v>0.61316381345545601</v>
      </c>
    </row>
    <row r="4553" spans="1:5" x14ac:dyDescent="0.2">
      <c r="A4553">
        <v>0.113613333333333</v>
      </c>
      <c r="B4553">
        <v>0.50120579167436297</v>
      </c>
      <c r="C4553">
        <v>0.45389261595195102</v>
      </c>
      <c r="D4553">
        <v>0.656637970469368</v>
      </c>
      <c r="E4553">
        <v>0.61342604855999805</v>
      </c>
    </row>
    <row r="4554" spans="1:5" x14ac:dyDescent="0.2">
      <c r="A4554">
        <v>0.11388</v>
      </c>
      <c r="B4554">
        <v>0.501576153590509</v>
      </c>
      <c r="C4554">
        <v>0.454281173348284</v>
      </c>
      <c r="D4554">
        <v>0.65693830194453695</v>
      </c>
      <c r="E4554">
        <v>0.61368829166206096</v>
      </c>
    </row>
    <row r="4555" spans="1:5" x14ac:dyDescent="0.2">
      <c r="A4555">
        <v>0.11414666666666699</v>
      </c>
      <c r="B4555">
        <v>0.50194657999922598</v>
      </c>
      <c r="C4555">
        <v>0.45466929074657603</v>
      </c>
      <c r="D4555">
        <v>0.65723752739109098</v>
      </c>
      <c r="E4555">
        <v>0.61395054371518698</v>
      </c>
    </row>
    <row r="4556" spans="1:5" x14ac:dyDescent="0.2">
      <c r="A4556">
        <v>0.11441333333333301</v>
      </c>
      <c r="B4556">
        <v>0.50231715283587197</v>
      </c>
      <c r="C4556">
        <v>0.455056937326905</v>
      </c>
      <c r="D4556">
        <v>0.65753565580558404</v>
      </c>
      <c r="E4556">
        <v>0.61421280567291503</v>
      </c>
    </row>
    <row r="4557" spans="1:5" x14ac:dyDescent="0.2">
      <c r="A4557">
        <v>0.11468</v>
      </c>
      <c r="B4557">
        <v>0.50268782636183995</v>
      </c>
      <c r="C4557">
        <v>0.45544408226934902</v>
      </c>
      <c r="D4557">
        <v>0.65783269618456996</v>
      </c>
      <c r="E4557">
        <v>0.61447507848878302</v>
      </c>
    </row>
    <row r="4558" spans="1:5" x14ac:dyDescent="0.2">
      <c r="A4558">
        <v>0.114946666666667</v>
      </c>
      <c r="B4558">
        <v>0.50305855050404302</v>
      </c>
      <c r="C4558">
        <v>0.45583069475398602</v>
      </c>
      <c r="D4558">
        <v>0.65812865752460203</v>
      </c>
      <c r="E4558">
        <v>0.61473736311633298</v>
      </c>
    </row>
    <row r="4559" spans="1:5" x14ac:dyDescent="0.2">
      <c r="A4559">
        <v>0.115213333333333</v>
      </c>
      <c r="B4559">
        <v>0.50342927649227398</v>
      </c>
      <c r="C4559">
        <v>0.45621674396089401</v>
      </c>
      <c r="D4559">
        <v>0.65842354882223497</v>
      </c>
      <c r="E4559">
        <v>0.61499966050910304</v>
      </c>
    </row>
    <row r="4560" spans="1:5" x14ac:dyDescent="0.2">
      <c r="A4560">
        <v>0.11548</v>
      </c>
      <c r="B4560">
        <v>0.50379996518542702</v>
      </c>
      <c r="C4560">
        <v>0.45660219907015098</v>
      </c>
      <c r="D4560">
        <v>0.65871737907402195</v>
      </c>
      <c r="E4560">
        <v>0.61526197162063401</v>
      </c>
    </row>
    <row r="4561" spans="1:5" x14ac:dyDescent="0.2">
      <c r="A4561">
        <v>0.115746666666667</v>
      </c>
      <c r="B4561">
        <v>0.50417058175818596</v>
      </c>
      <c r="C4561">
        <v>0.45698702926183399</v>
      </c>
      <c r="D4561">
        <v>0.65901015727651702</v>
      </c>
      <c r="E4561">
        <v>0.61552429740446502</v>
      </c>
    </row>
    <row r="4562" spans="1:5" x14ac:dyDescent="0.2">
      <c r="A4562">
        <v>0.116013333333333</v>
      </c>
      <c r="B4562">
        <v>0.50454109140788495</v>
      </c>
      <c r="C4562">
        <v>0.45737120371602102</v>
      </c>
      <c r="D4562">
        <v>0.65930189242627302</v>
      </c>
      <c r="E4562">
        <v>0.61578663881413598</v>
      </c>
    </row>
    <row r="4563" spans="1:5" x14ac:dyDescent="0.2">
      <c r="A4563">
        <v>0.11627999999999999</v>
      </c>
      <c r="B4563">
        <v>0.50491148056192803</v>
      </c>
      <c r="C4563">
        <v>0.45775469161279098</v>
      </c>
      <c r="D4563">
        <v>0.65959259351984401</v>
      </c>
      <c r="E4563">
        <v>0.61604899680318603</v>
      </c>
    </row>
    <row r="4564" spans="1:5" x14ac:dyDescent="0.2">
      <c r="A4564">
        <v>0.11654666666666701</v>
      </c>
      <c r="B4564">
        <v>0.505281808768413</v>
      </c>
      <c r="C4564">
        <v>0.45813746213222001</v>
      </c>
      <c r="D4564">
        <v>0.65988226955378404</v>
      </c>
      <c r="E4564">
        <v>0.61631137232515498</v>
      </c>
    </row>
    <row r="4565" spans="1:5" x14ac:dyDescent="0.2">
      <c r="A4565">
        <v>0.11681333333333301</v>
      </c>
      <c r="B4565">
        <v>0.50565215130591501</v>
      </c>
      <c r="C4565">
        <v>0.458519484454388</v>
      </c>
      <c r="D4565">
        <v>0.66017092952464695</v>
      </c>
      <c r="E4565">
        <v>0.61657376633358396</v>
      </c>
    </row>
    <row r="4566" spans="1:5" x14ac:dyDescent="0.2">
      <c r="A4566">
        <v>0.11708</v>
      </c>
      <c r="B4566">
        <v>0.50602258345301099</v>
      </c>
      <c r="C4566">
        <v>0.45890072775937202</v>
      </c>
      <c r="D4566">
        <v>0.66045858242898603</v>
      </c>
      <c r="E4566">
        <v>0.61683617978201</v>
      </c>
    </row>
    <row r="4567" spans="1:5" x14ac:dyDescent="0.2">
      <c r="A4567">
        <v>0.117346666666667</v>
      </c>
      <c r="B4567">
        <v>0.50639318048827797</v>
      </c>
      <c r="C4567">
        <v>0.45928116122724999</v>
      </c>
      <c r="D4567">
        <v>0.66074523726335499</v>
      </c>
      <c r="E4567">
        <v>0.617098613623976</v>
      </c>
    </row>
    <row r="4568" spans="1:5" x14ac:dyDescent="0.2">
      <c r="A4568">
        <v>0.117613333333333</v>
      </c>
      <c r="B4568">
        <v>0.506764017690291</v>
      </c>
      <c r="C4568">
        <v>0.45966075403809897</v>
      </c>
      <c r="D4568">
        <v>0.661030903024308</v>
      </c>
      <c r="E4568">
        <v>0.617361068813019</v>
      </c>
    </row>
    <row r="4569" spans="1:5" x14ac:dyDescent="0.2">
      <c r="A4569">
        <v>0.11788</v>
      </c>
      <c r="B4569">
        <v>0.50713517033762701</v>
      </c>
      <c r="C4569">
        <v>0.46003947537199802</v>
      </c>
      <c r="D4569">
        <v>0.66131558870839802</v>
      </c>
      <c r="E4569">
        <v>0.61762354630268002</v>
      </c>
    </row>
    <row r="4570" spans="1:5" x14ac:dyDescent="0.2">
      <c r="A4570">
        <v>0.118146666666667</v>
      </c>
      <c r="B4570">
        <v>0.50750669171559504</v>
      </c>
      <c r="C4570">
        <v>0.46041729440902401</v>
      </c>
      <c r="D4570">
        <v>0.66159930331217998</v>
      </c>
      <c r="E4570">
        <v>0.61788604704649797</v>
      </c>
    </row>
    <row r="4571" spans="1:5" x14ac:dyDescent="0.2">
      <c r="A4571">
        <v>0.118413333333333</v>
      </c>
      <c r="B4571">
        <v>0.50787823082005801</v>
      </c>
      <c r="C4571">
        <v>0.46079418032925601</v>
      </c>
      <c r="D4571">
        <v>0.66188205583220605</v>
      </c>
      <c r="E4571">
        <v>0.61814857199801299</v>
      </c>
    </row>
    <row r="4572" spans="1:5" x14ac:dyDescent="0.2">
      <c r="A4572">
        <v>0.11867999999999999</v>
      </c>
      <c r="B4572">
        <v>0.50824908182988904</v>
      </c>
      <c r="C4572">
        <v>0.461170102312771</v>
      </c>
      <c r="D4572">
        <v>0.66216385526502997</v>
      </c>
      <c r="E4572">
        <v>0.61841112211076499</v>
      </c>
    </row>
    <row r="4573" spans="1:5" x14ac:dyDescent="0.2">
      <c r="A4573">
        <v>0.11894666666666701</v>
      </c>
      <c r="B4573">
        <v>0.50861852687806297</v>
      </c>
      <c r="C4573">
        <v>0.46154502953964699</v>
      </c>
      <c r="D4573">
        <v>0.662444710607207</v>
      </c>
      <c r="E4573">
        <v>0.618673698338294</v>
      </c>
    </row>
    <row r="4574" spans="1:5" x14ac:dyDescent="0.2">
      <c r="A4574">
        <v>0.119213333333333</v>
      </c>
      <c r="B4574">
        <v>0.50898591673109295</v>
      </c>
      <c r="C4574">
        <v>0.46191893118996302</v>
      </c>
      <c r="D4574">
        <v>0.66272463085528999</v>
      </c>
      <c r="E4574">
        <v>0.61893630163413904</v>
      </c>
    </row>
    <row r="4575" spans="1:5" x14ac:dyDescent="0.2">
      <c r="A4575">
        <v>0.11948</v>
      </c>
      <c r="B4575">
        <v>0.50935110940025397</v>
      </c>
      <c r="C4575">
        <v>0.46229177644379499</v>
      </c>
      <c r="D4575">
        <v>0.66300362500583299</v>
      </c>
      <c r="E4575">
        <v>0.61919893295183903</v>
      </c>
    </row>
    <row r="4576" spans="1:5" x14ac:dyDescent="0.2">
      <c r="A4576">
        <v>0.119746666666667</v>
      </c>
      <c r="B4576">
        <v>0.50971419024541997</v>
      </c>
      <c r="C4576">
        <v>0.46266353448122199</v>
      </c>
      <c r="D4576">
        <v>0.66328170205538906</v>
      </c>
      <c r="E4576">
        <v>0.61946159324493599</v>
      </c>
    </row>
    <row r="4577" spans="1:5" x14ac:dyDescent="0.2">
      <c r="A4577">
        <v>0.120013333333333</v>
      </c>
      <c r="B4577">
        <v>0.51007524569886697</v>
      </c>
      <c r="C4577">
        <v>0.46303417448232098</v>
      </c>
      <c r="D4577">
        <v>0.66355887100051203</v>
      </c>
      <c r="E4577">
        <v>0.61972428346696695</v>
      </c>
    </row>
    <row r="4578" spans="1:5" x14ac:dyDescent="0.2">
      <c r="A4578">
        <v>0.12028</v>
      </c>
      <c r="B4578">
        <v>0.51043436219286697</v>
      </c>
      <c r="C4578">
        <v>0.463403665627171</v>
      </c>
      <c r="D4578">
        <v>0.66383514083775597</v>
      </c>
      <c r="E4578">
        <v>0.61998700457147304</v>
      </c>
    </row>
    <row r="4579" spans="1:5" x14ac:dyDescent="0.2">
      <c r="A4579">
        <v>0.120546666666667</v>
      </c>
      <c r="B4579">
        <v>0.51079162615969598</v>
      </c>
      <c r="C4579">
        <v>0.46377197709585</v>
      </c>
      <c r="D4579">
        <v>0.66411052056367403</v>
      </c>
      <c r="E4579">
        <v>0.62024975751199496</v>
      </c>
    </row>
    <row r="4580" spans="1:5" x14ac:dyDescent="0.2">
      <c r="A4580">
        <v>0.120813333333333</v>
      </c>
      <c r="B4580">
        <v>0.51114712403162799</v>
      </c>
      <c r="C4580">
        <v>0.46413907806843502</v>
      </c>
      <c r="D4580">
        <v>0.66438501917482096</v>
      </c>
      <c r="E4580">
        <v>0.62051254324206995</v>
      </c>
    </row>
    <row r="4581" spans="1:5" x14ac:dyDescent="0.2">
      <c r="A4581">
        <v>0.12107999999999999</v>
      </c>
      <c r="B4581">
        <v>0.51150094314453798</v>
      </c>
      <c r="C4581">
        <v>0.46450493965212097</v>
      </c>
      <c r="D4581">
        <v>0.66465864566774902</v>
      </c>
      <c r="E4581">
        <v>0.62077536271524003</v>
      </c>
    </row>
    <row r="4582" spans="1:5" x14ac:dyDescent="0.2">
      <c r="A4582">
        <v>0.12134666666666701</v>
      </c>
      <c r="B4582">
        <v>0.511853240746175</v>
      </c>
      <c r="C4582">
        <v>0.46486968205590501</v>
      </c>
      <c r="D4582">
        <v>0.66493140903901304</v>
      </c>
      <c r="E4582">
        <v>0.62103821688504302</v>
      </c>
    </row>
    <row r="4583" spans="1:5" x14ac:dyDescent="0.2">
      <c r="A4583">
        <v>0.121613333333333</v>
      </c>
      <c r="B4583">
        <v>0.51220429258976896</v>
      </c>
      <c r="C4583">
        <v>0.46523367822667999</v>
      </c>
      <c r="D4583">
        <v>0.66520331828516599</v>
      </c>
      <c r="E4583">
        <v>0.62130110670502003</v>
      </c>
    </row>
    <row r="4584" spans="1:5" x14ac:dyDescent="0.2">
      <c r="A4584">
        <v>0.12188</v>
      </c>
      <c r="B4584">
        <v>0.51255438590762104</v>
      </c>
      <c r="C4584">
        <v>0.46559732559287198</v>
      </c>
      <c r="D4584">
        <v>0.66547438240276302</v>
      </c>
      <c r="E4584">
        <v>0.62156403312871</v>
      </c>
    </row>
    <row r="4585" spans="1:5" x14ac:dyDescent="0.2">
      <c r="A4585">
        <v>0.122146666666667</v>
      </c>
      <c r="B4585">
        <v>0.51290380793202806</v>
      </c>
      <c r="C4585">
        <v>0.46596100967440701</v>
      </c>
      <c r="D4585">
        <v>0.66574461038835597</v>
      </c>
      <c r="E4585">
        <v>0.62182699710965295</v>
      </c>
    </row>
    <row r="4586" spans="1:5" x14ac:dyDescent="0.2">
      <c r="A4586">
        <v>0.122413333333333</v>
      </c>
      <c r="B4586">
        <v>0.51325284589528897</v>
      </c>
      <c r="C4586">
        <v>0.46632489708414998</v>
      </c>
      <c r="D4586">
        <v>0.66601401123850001</v>
      </c>
      <c r="E4586">
        <v>0.622089999601388</v>
      </c>
    </row>
    <row r="4587" spans="1:5" x14ac:dyDescent="0.2">
      <c r="A4587">
        <v>0.12268</v>
      </c>
      <c r="B4587">
        <v>0.51360178702970405</v>
      </c>
      <c r="C4587">
        <v>0.46668896231532903</v>
      </c>
      <c r="D4587">
        <v>0.66628259394974798</v>
      </c>
      <c r="E4587">
        <v>0.62235304155745597</v>
      </c>
    </row>
    <row r="4588" spans="1:5" x14ac:dyDescent="0.2">
      <c r="A4588">
        <v>0.122946666666667</v>
      </c>
      <c r="B4588">
        <v>0.51395091856757003</v>
      </c>
      <c r="C4588">
        <v>0.46705317333878599</v>
      </c>
      <c r="D4588">
        <v>0.66655036751865304</v>
      </c>
      <c r="E4588">
        <v>0.62261612393139498</v>
      </c>
    </row>
    <row r="4589" spans="1:5" x14ac:dyDescent="0.2">
      <c r="A4589">
        <v>0.12321333333333299</v>
      </c>
      <c r="B4589">
        <v>0.51430049168296499</v>
      </c>
      <c r="C4589">
        <v>0.46741749812535899</v>
      </c>
      <c r="D4589">
        <v>0.66681734094177103</v>
      </c>
      <c r="E4589">
        <v>0.62287924767674696</v>
      </c>
    </row>
    <row r="4590" spans="1:5" x14ac:dyDescent="0.2">
      <c r="A4590">
        <v>0.12348000000000001</v>
      </c>
      <c r="B4590">
        <v>0.51465049105716099</v>
      </c>
      <c r="C4590">
        <v>0.46778190464588998</v>
      </c>
      <c r="D4590">
        <v>0.66708352321565301</v>
      </c>
      <c r="E4590">
        <v>0.62314241374704904</v>
      </c>
    </row>
    <row r="4591" spans="1:5" x14ac:dyDescent="0.2">
      <c r="A4591">
        <v>0.123746666666667</v>
      </c>
      <c r="B4591">
        <v>0.51500078192857002</v>
      </c>
      <c r="C4591">
        <v>0.46814636087121902</v>
      </c>
      <c r="D4591">
        <v>0.66734892333685503</v>
      </c>
      <c r="E4591">
        <v>0.62340562309584302</v>
      </c>
    </row>
    <row r="4592" spans="1:5" x14ac:dyDescent="0.2">
      <c r="A4592">
        <v>0.124013333333333</v>
      </c>
      <c r="B4592">
        <v>0.51535122897449304</v>
      </c>
      <c r="C4592">
        <v>0.46851083477218602</v>
      </c>
      <c r="D4592">
        <v>0.66761355030192904</v>
      </c>
      <c r="E4592">
        <v>0.62366887667666704</v>
      </c>
    </row>
    <row r="4593" spans="1:5" x14ac:dyDescent="0.2">
      <c r="A4593">
        <v>0.12428</v>
      </c>
      <c r="B4593">
        <v>0.51570171817779398</v>
      </c>
      <c r="C4593">
        <v>0.46887529431963099</v>
      </c>
      <c r="D4593">
        <v>0.66787741310742998</v>
      </c>
      <c r="E4593">
        <v>0.62393217544306201</v>
      </c>
    </row>
    <row r="4594" spans="1:5" x14ac:dyDescent="0.2">
      <c r="A4594">
        <v>0.124546666666667</v>
      </c>
      <c r="B4594">
        <v>0.51605220890203995</v>
      </c>
      <c r="C4594">
        <v>0.46923970748439497</v>
      </c>
      <c r="D4594">
        <v>0.66814052074991104</v>
      </c>
      <c r="E4594">
        <v>0.62419552034856696</v>
      </c>
    </row>
    <row r="4595" spans="1:5" x14ac:dyDescent="0.2">
      <c r="A4595">
        <v>0.124813333333333</v>
      </c>
      <c r="B4595">
        <v>0.51640267629721504</v>
      </c>
      <c r="C4595">
        <v>0.469604042237317</v>
      </c>
      <c r="D4595">
        <v>0.66840288222592603</v>
      </c>
      <c r="E4595">
        <v>0.62445891234672202</v>
      </c>
    </row>
    <row r="4596" spans="1:5" x14ac:dyDescent="0.2">
      <c r="A4596">
        <v>0.12508</v>
      </c>
      <c r="B4596">
        <v>0.51675309551329995</v>
      </c>
      <c r="C4596">
        <v>0.46996826654923901</v>
      </c>
      <c r="D4596">
        <v>0.66866450653202802</v>
      </c>
      <c r="E4596">
        <v>0.62472235239106599</v>
      </c>
    </row>
    <row r="4597" spans="1:5" x14ac:dyDescent="0.2">
      <c r="A4597">
        <v>0.12534666666666699</v>
      </c>
      <c r="B4597">
        <v>0.517103441700277</v>
      </c>
      <c r="C4597">
        <v>0.47033234839100002</v>
      </c>
      <c r="D4597">
        <v>0.66892540266477096</v>
      </c>
      <c r="E4597">
        <v>0.62498584143514002</v>
      </c>
    </row>
    <row r="4598" spans="1:5" x14ac:dyDescent="0.2">
      <c r="A4598">
        <v>0.12561333333333299</v>
      </c>
      <c r="B4598">
        <v>0.51745369000813102</v>
      </c>
      <c r="C4598">
        <v>0.47069625573344198</v>
      </c>
      <c r="D4598">
        <v>0.66918557962071001</v>
      </c>
      <c r="E4598">
        <v>0.62524938043248202</v>
      </c>
    </row>
    <row r="4599" spans="1:5" x14ac:dyDescent="0.2">
      <c r="A4599">
        <v>0.12587999999999999</v>
      </c>
      <c r="B4599">
        <v>0.51780381558684196</v>
      </c>
      <c r="C4599">
        <v>0.47105995654740301</v>
      </c>
      <c r="D4599">
        <v>0.66944504639639701</v>
      </c>
      <c r="E4599">
        <v>0.625512970336633</v>
      </c>
    </row>
    <row r="4600" spans="1:5" x14ac:dyDescent="0.2">
      <c r="A4600">
        <v>0.12614666666666699</v>
      </c>
      <c r="B4600">
        <v>0.51815379358639302</v>
      </c>
      <c r="C4600">
        <v>0.47142343354105898</v>
      </c>
      <c r="D4600">
        <v>0.66970381198838702</v>
      </c>
      <c r="E4600">
        <v>0.625776612101133</v>
      </c>
    </row>
    <row r="4601" spans="1:5" x14ac:dyDescent="0.2">
      <c r="A4601">
        <v>0.12641333333333299</v>
      </c>
      <c r="B4601">
        <v>0.51850359915676703</v>
      </c>
      <c r="C4601">
        <v>0.47178694033043</v>
      </c>
      <c r="D4601">
        <v>0.66996188539323198</v>
      </c>
      <c r="E4601">
        <v>0.62604030667952004</v>
      </c>
    </row>
    <row r="4602" spans="1:5" x14ac:dyDescent="0.2">
      <c r="A4602">
        <v>0.12667999999999999</v>
      </c>
      <c r="B4602">
        <v>0.51885320744794705</v>
      </c>
      <c r="C4602">
        <v>0.47215096828868902</v>
      </c>
      <c r="D4602">
        <v>0.67021927560748795</v>
      </c>
      <c r="E4602">
        <v>0.62630405502533604</v>
      </c>
    </row>
    <row r="4603" spans="1:5" x14ac:dyDescent="0.2">
      <c r="A4603">
        <v>0.12694666666666701</v>
      </c>
      <c r="B4603">
        <v>0.51920259360991405</v>
      </c>
      <c r="C4603">
        <v>0.47251601686077099</v>
      </c>
      <c r="D4603">
        <v>0.67047599162770699</v>
      </c>
      <c r="E4603">
        <v>0.62656785809211801</v>
      </c>
    </row>
    <row r="4604" spans="1:5" x14ac:dyDescent="0.2">
      <c r="A4604">
        <v>0.12721333333333301</v>
      </c>
      <c r="B4604">
        <v>0.51955178462407303</v>
      </c>
      <c r="C4604">
        <v>0.47288249845701302</v>
      </c>
      <c r="D4604">
        <v>0.67073204245044304</v>
      </c>
      <c r="E4604">
        <v>0.62683171683340799</v>
      </c>
    </row>
    <row r="4605" spans="1:5" x14ac:dyDescent="0.2">
      <c r="A4605">
        <v>0.12748000000000001</v>
      </c>
      <c r="B4605">
        <v>0.51990119053843598</v>
      </c>
      <c r="C4605">
        <v>0.47325018224768101</v>
      </c>
      <c r="D4605">
        <v>0.67098743707224995</v>
      </c>
      <c r="E4605">
        <v>0.627095632202745</v>
      </c>
    </row>
    <row r="4606" spans="1:5" x14ac:dyDescent="0.2">
      <c r="A4606">
        <v>0.12774666666666701</v>
      </c>
      <c r="B4606">
        <v>0.52025139309259805</v>
      </c>
      <c r="C4606">
        <v>0.47361854910093998</v>
      </c>
      <c r="D4606">
        <v>0.67124218448968198</v>
      </c>
      <c r="E4606">
        <v>0.62735960515366795</v>
      </c>
    </row>
    <row r="4607" spans="1:5" x14ac:dyDescent="0.2">
      <c r="A4607">
        <v>0.12801333333333301</v>
      </c>
      <c r="B4607">
        <v>0.52060297480276396</v>
      </c>
      <c r="C4607">
        <v>0.47398707852503602</v>
      </c>
      <c r="D4607">
        <v>0.67149629369929198</v>
      </c>
      <c r="E4607">
        <v>0.62762363663971699</v>
      </c>
    </row>
    <row r="4608" spans="1:5" x14ac:dyDescent="0.2">
      <c r="A4608">
        <v>0.12828000000000001</v>
      </c>
      <c r="B4608">
        <v>0.52095621030028105</v>
      </c>
      <c r="C4608">
        <v>0.47435525002821599</v>
      </c>
      <c r="D4608">
        <v>0.671749773697634</v>
      </c>
      <c r="E4608">
        <v>0.62788772761443301</v>
      </c>
    </row>
    <row r="4609" spans="1:5" x14ac:dyDescent="0.2">
      <c r="A4609">
        <v>0.128546666666667</v>
      </c>
      <c r="B4609">
        <v>0.52131031379812898</v>
      </c>
      <c r="C4609">
        <v>0.47472254311872902</v>
      </c>
      <c r="D4609">
        <v>0.67200263348126199</v>
      </c>
      <c r="E4609">
        <v>0.62815187903135306</v>
      </c>
    </row>
    <row r="4610" spans="1:5" x14ac:dyDescent="0.2">
      <c r="A4610">
        <v>0.128813333333333</v>
      </c>
      <c r="B4610">
        <v>0.52166427138114402</v>
      </c>
      <c r="C4610">
        <v>0.47508843730481998</v>
      </c>
      <c r="D4610">
        <v>0.67225488204672901</v>
      </c>
      <c r="E4610">
        <v>0.62841609184402003</v>
      </c>
    </row>
    <row r="4611" spans="1:5" x14ac:dyDescent="0.2">
      <c r="A4611">
        <v>0.12908</v>
      </c>
      <c r="B4611">
        <v>0.52201706913416301</v>
      </c>
      <c r="C4611">
        <v>0.47545241209473899</v>
      </c>
      <c r="D4611">
        <v>0.672506528390589</v>
      </c>
      <c r="E4611">
        <v>0.62868036700597096</v>
      </c>
    </row>
    <row r="4612" spans="1:5" x14ac:dyDescent="0.2">
      <c r="A4612">
        <v>0.129346666666667</v>
      </c>
      <c r="B4612">
        <v>0.52236769314202203</v>
      </c>
      <c r="C4612">
        <v>0.47581394699673102</v>
      </c>
      <c r="D4612">
        <v>0.67275758150939702</v>
      </c>
      <c r="E4612">
        <v>0.62894470547074699</v>
      </c>
    </row>
    <row r="4613" spans="1:5" x14ac:dyDescent="0.2">
      <c r="A4613">
        <v>0.129613333333333</v>
      </c>
      <c r="B4613">
        <v>0.52271512948955601</v>
      </c>
      <c r="C4613">
        <v>0.47617252151904499</v>
      </c>
      <c r="D4613">
        <v>0.67300805039970502</v>
      </c>
      <c r="E4613">
        <v>0.62920910819188702</v>
      </c>
    </row>
    <row r="4614" spans="1:5" x14ac:dyDescent="0.2">
      <c r="A4614">
        <v>0.12988</v>
      </c>
      <c r="B4614">
        <v>0.52305836426160301</v>
      </c>
      <c r="C4614">
        <v>0.47652761516992798</v>
      </c>
      <c r="D4614">
        <v>0.67325794405806705</v>
      </c>
      <c r="E4614">
        <v>0.62947357612293198</v>
      </c>
    </row>
    <row r="4615" spans="1:5" x14ac:dyDescent="0.2">
      <c r="A4615">
        <v>0.13014666666666699</v>
      </c>
      <c r="B4615">
        <v>0.523396464521236</v>
      </c>
      <c r="C4615">
        <v>0.47687876158754899</v>
      </c>
      <c r="D4615">
        <v>0.67350727148103695</v>
      </c>
      <c r="E4615">
        <v>0.62973811021741999</v>
      </c>
    </row>
    <row r="4616" spans="1:5" x14ac:dyDescent="0.2">
      <c r="A4616">
        <v>0.13041333333333299</v>
      </c>
      <c r="B4616">
        <v>0.52372998590743602</v>
      </c>
      <c r="C4616">
        <v>0.47722648944898099</v>
      </c>
      <c r="D4616">
        <v>0.673756041665169</v>
      </c>
      <c r="E4616">
        <v>0.63000271142889197</v>
      </c>
    </row>
    <row r="4617" spans="1:5" x14ac:dyDescent="0.2">
      <c r="A4617">
        <v>0.13067999999999999</v>
      </c>
      <c r="B4617">
        <v>0.52406079047968501</v>
      </c>
      <c r="C4617">
        <v>0.47757220070838202</v>
      </c>
      <c r="D4617">
        <v>0.67400426360701704</v>
      </c>
      <c r="E4617">
        <v>0.63026738071088695</v>
      </c>
    </row>
    <row r="4618" spans="1:5" x14ac:dyDescent="0.2">
      <c r="A4618">
        <v>0.13094666666666699</v>
      </c>
      <c r="B4618">
        <v>0.52439078464993705</v>
      </c>
      <c r="C4618">
        <v>0.47791732696732703</v>
      </c>
      <c r="D4618">
        <v>0.67425194630313301</v>
      </c>
      <c r="E4618">
        <v>0.63053211901694495</v>
      </c>
    </row>
    <row r="4619" spans="1:5" x14ac:dyDescent="0.2">
      <c r="A4619">
        <v>0.13121333333333299</v>
      </c>
      <c r="B4619">
        <v>0.52472167314020501</v>
      </c>
      <c r="C4619">
        <v>0.47826314513614299</v>
      </c>
      <c r="D4619">
        <v>0.67449909875007297</v>
      </c>
      <c r="E4619">
        <v>0.63079692730060499</v>
      </c>
    </row>
    <row r="4620" spans="1:5" x14ac:dyDescent="0.2">
      <c r="A4620">
        <v>0.13148000000000001</v>
      </c>
      <c r="B4620">
        <v>0.52505367005779402</v>
      </c>
      <c r="C4620">
        <v>0.47860978886014399</v>
      </c>
      <c r="D4620">
        <v>0.67474572994438897</v>
      </c>
      <c r="E4620">
        <v>0.631061806515408</v>
      </c>
    </row>
    <row r="4621" spans="1:5" x14ac:dyDescent="0.2">
      <c r="A4621">
        <v>0.13174666666666701</v>
      </c>
      <c r="B4621">
        <v>0.52538632141208896</v>
      </c>
      <c r="C4621">
        <v>0.47895687936988401</v>
      </c>
      <c r="D4621">
        <v>0.67499184888263497</v>
      </c>
      <c r="E4621">
        <v>0.63132675761489299</v>
      </c>
    </row>
    <row r="4622" spans="1:5" x14ac:dyDescent="0.2">
      <c r="A4622">
        <v>0.13201333333333301</v>
      </c>
      <c r="B4622">
        <v>0.52571917007128899</v>
      </c>
      <c r="C4622">
        <v>0.479304035488751</v>
      </c>
      <c r="D4622">
        <v>0.67523746456136502</v>
      </c>
      <c r="E4622">
        <v>0.63159178155259899</v>
      </c>
    </row>
    <row r="4623" spans="1:5" x14ac:dyDescent="0.2">
      <c r="A4623">
        <v>0.13228000000000001</v>
      </c>
      <c r="B4623">
        <v>0.52605185351928396</v>
      </c>
      <c r="C4623">
        <v>0.47965096756071202</v>
      </c>
      <c r="D4623">
        <v>0.67548258597713295</v>
      </c>
      <c r="E4623">
        <v>0.63185687928206702</v>
      </c>
    </row>
    <row r="4624" spans="1:5" x14ac:dyDescent="0.2">
      <c r="A4624">
        <v>0.13254666666666701</v>
      </c>
      <c r="B4624">
        <v>0.52638433511573701</v>
      </c>
      <c r="C4624">
        <v>0.47999770114531098</v>
      </c>
      <c r="D4624">
        <v>0.67572722212649206</v>
      </c>
      <c r="E4624">
        <v>0.632122051756836</v>
      </c>
    </row>
    <row r="4625" spans="1:5" x14ac:dyDescent="0.2">
      <c r="A4625">
        <v>0.13281333333333301</v>
      </c>
      <c r="B4625">
        <v>0.52671664832607201</v>
      </c>
      <c r="C4625">
        <v>0.48034432961452</v>
      </c>
      <c r="D4625">
        <v>0.67597138200599705</v>
      </c>
      <c r="E4625">
        <v>0.63238729993044496</v>
      </c>
    </row>
    <row r="4626" spans="1:5" x14ac:dyDescent="0.2">
      <c r="A4626">
        <v>0.13308</v>
      </c>
      <c r="B4626">
        <v>0.52704882661571095</v>
      </c>
      <c r="C4626">
        <v>0.48069094588035099</v>
      </c>
      <c r="D4626">
        <v>0.67621507461219998</v>
      </c>
      <c r="E4626">
        <v>0.63265262475643602</v>
      </c>
    </row>
    <row r="4627" spans="1:5" x14ac:dyDescent="0.2">
      <c r="A4627">
        <v>0.133346666666667</v>
      </c>
      <c r="B4627">
        <v>0.52738090345007704</v>
      </c>
      <c r="C4627">
        <v>0.48103760726752398</v>
      </c>
      <c r="D4627">
        <v>0.67645830894165604</v>
      </c>
      <c r="E4627">
        <v>0.632918027188346</v>
      </c>
    </row>
    <row r="4628" spans="1:5" x14ac:dyDescent="0.2">
      <c r="A4628">
        <v>0.133613333333333</v>
      </c>
      <c r="B4628">
        <v>0.52771291229459405</v>
      </c>
      <c r="C4628">
        <v>0.481384310777831</v>
      </c>
      <c r="D4628">
        <v>0.67670109399091805</v>
      </c>
      <c r="E4628">
        <v>0.63318350817971603</v>
      </c>
    </row>
    <row r="4629" spans="1:5" x14ac:dyDescent="0.2">
      <c r="A4629">
        <v>0.13388</v>
      </c>
      <c r="B4629">
        <v>0.52804488661468496</v>
      </c>
      <c r="C4629">
        <v>0.48173104756986501</v>
      </c>
      <c r="D4629">
        <v>0.67694343875653895</v>
      </c>
      <c r="E4629">
        <v>0.63344906868408601</v>
      </c>
    </row>
    <row r="4630" spans="1:5" x14ac:dyDescent="0.2">
      <c r="A4630">
        <v>0.134146666666667</v>
      </c>
      <c r="B4630">
        <v>0.52837685987577299</v>
      </c>
      <c r="C4630">
        <v>0.48207780880221901</v>
      </c>
      <c r="D4630">
        <v>0.67718535223507503</v>
      </c>
      <c r="E4630">
        <v>0.63371470965499499</v>
      </c>
    </row>
    <row r="4631" spans="1:5" x14ac:dyDescent="0.2">
      <c r="A4631">
        <v>0.134413333333333</v>
      </c>
      <c r="B4631">
        <v>0.528708865543281</v>
      </c>
      <c r="C4631">
        <v>0.482424585633487</v>
      </c>
      <c r="D4631">
        <v>0.67742684342307802</v>
      </c>
      <c r="E4631">
        <v>0.63398043204598298</v>
      </c>
    </row>
    <row r="4632" spans="1:5" x14ac:dyDescent="0.2">
      <c r="A4632">
        <v>0.13467999999999999</v>
      </c>
      <c r="B4632">
        <v>0.529040937082631</v>
      </c>
      <c r="C4632">
        <v>0.48277136922226199</v>
      </c>
      <c r="D4632">
        <v>0.67766792131710196</v>
      </c>
      <c r="E4632">
        <v>0.63424623681059</v>
      </c>
    </row>
    <row r="4633" spans="1:5" x14ac:dyDescent="0.2">
      <c r="A4633">
        <v>0.13494666666666699</v>
      </c>
      <c r="B4633">
        <v>0.52937310795924797</v>
      </c>
      <c r="C4633">
        <v>0.48311815072713699</v>
      </c>
      <c r="D4633">
        <v>0.67790859491370004</v>
      </c>
      <c r="E4633">
        <v>0.63451212490235498</v>
      </c>
    </row>
    <row r="4634" spans="1:5" x14ac:dyDescent="0.2">
      <c r="A4634">
        <v>0.13521333333333299</v>
      </c>
      <c r="B4634">
        <v>0.529705396395872</v>
      </c>
      <c r="C4634">
        <v>0.48346492164780602</v>
      </c>
      <c r="D4634">
        <v>0.67814887320942696</v>
      </c>
      <c r="E4634">
        <v>0.63477809727481804</v>
      </c>
    </row>
    <row r="4635" spans="1:5" x14ac:dyDescent="0.2">
      <c r="A4635">
        <v>0.13547999999999999</v>
      </c>
      <c r="B4635">
        <v>0.53003770796230998</v>
      </c>
      <c r="C4635">
        <v>0.48381167600491598</v>
      </c>
      <c r="D4635">
        <v>0.67838876520083702</v>
      </c>
      <c r="E4635">
        <v>0.635044154881519</v>
      </c>
    </row>
    <row r="4636" spans="1:5" x14ac:dyDescent="0.2">
      <c r="A4636">
        <v>0.13574666666666699</v>
      </c>
      <c r="B4636">
        <v>0.53036989773698595</v>
      </c>
      <c r="C4636">
        <v>0.48415840894900902</v>
      </c>
      <c r="D4636">
        <v>0.67862827988448204</v>
      </c>
      <c r="E4636">
        <v>0.63531029867599798</v>
      </c>
    </row>
    <row r="4637" spans="1:5" x14ac:dyDescent="0.2">
      <c r="A4637">
        <v>0.13601333333333299</v>
      </c>
      <c r="B4637">
        <v>0.53070182056584403</v>
      </c>
      <c r="C4637">
        <v>0.48450511563698501</v>
      </c>
      <c r="D4637">
        <v>0.67886742625691698</v>
      </c>
      <c r="E4637">
        <v>0.63557652961179301</v>
      </c>
    </row>
    <row r="4638" spans="1:5" x14ac:dyDescent="0.2">
      <c r="A4638">
        <v>0.13628000000000001</v>
      </c>
      <c r="B4638">
        <v>0.53103338393909705</v>
      </c>
      <c r="C4638">
        <v>0.48485180072587902</v>
      </c>
      <c r="D4638">
        <v>0.67910621331469501</v>
      </c>
      <c r="E4638">
        <v>0.635842848642446</v>
      </c>
    </row>
    <row r="4639" spans="1:5" x14ac:dyDescent="0.2">
      <c r="A4639">
        <v>0.13654666666666701</v>
      </c>
      <c r="B4639">
        <v>0.53136467666457998</v>
      </c>
      <c r="C4639">
        <v>0.48519850159313699</v>
      </c>
      <c r="D4639">
        <v>0.67934465005436995</v>
      </c>
      <c r="E4639">
        <v>0.63610925672149499</v>
      </c>
    </row>
    <row r="4640" spans="1:5" x14ac:dyDescent="0.2">
      <c r="A4640">
        <v>0.13681333333333301</v>
      </c>
      <c r="B4640">
        <v>0.53169582655704395</v>
      </c>
      <c r="C4640">
        <v>0.48554526265535602</v>
      </c>
      <c r="D4640">
        <v>0.67958274547249597</v>
      </c>
      <c r="E4640">
        <v>0.63637575480247999</v>
      </c>
    </row>
    <row r="4641" spans="1:5" x14ac:dyDescent="0.2">
      <c r="A4641">
        <v>0.13708000000000001</v>
      </c>
      <c r="B4641">
        <v>0.53202696143123895</v>
      </c>
      <c r="C4641">
        <v>0.48589212735258402</v>
      </c>
      <c r="D4641">
        <v>0.67982050856562604</v>
      </c>
      <c r="E4641">
        <v>0.63664234383894203</v>
      </c>
    </row>
    <row r="4642" spans="1:5" x14ac:dyDescent="0.2">
      <c r="A4642">
        <v>0.13734666666666701</v>
      </c>
      <c r="B4642">
        <v>0.532358209101919</v>
      </c>
      <c r="C4642">
        <v>0.48623906356876401</v>
      </c>
      <c r="D4642">
        <v>0.68005794833031397</v>
      </c>
      <c r="E4642">
        <v>0.63690902478441802</v>
      </c>
    </row>
    <row r="4643" spans="1:5" x14ac:dyDescent="0.2">
      <c r="A4643">
        <v>0.137613333333333</v>
      </c>
      <c r="B4643">
        <v>0.53268969738383298</v>
      </c>
      <c r="C4643">
        <v>0.48658591111499999</v>
      </c>
      <c r="D4643">
        <v>0.68029507376311404</v>
      </c>
      <c r="E4643">
        <v>0.63717579859245099</v>
      </c>
    </row>
    <row r="4644" spans="1:5" x14ac:dyDescent="0.2">
      <c r="A4644">
        <v>0.13788</v>
      </c>
      <c r="B4644">
        <v>0.53302155409173402</v>
      </c>
      <c r="C4644">
        <v>0.48693249739658301</v>
      </c>
      <c r="D4644">
        <v>0.68053189386057999</v>
      </c>
      <c r="E4644">
        <v>0.63744266621657797</v>
      </c>
    </row>
    <row r="4645" spans="1:5" x14ac:dyDescent="0.2">
      <c r="A4645">
        <v>0.138146666666667</v>
      </c>
      <c r="B4645">
        <v>0.533353907040373</v>
      </c>
      <c r="C4645">
        <v>0.48727867251039703</v>
      </c>
      <c r="D4645">
        <v>0.68076841761926499</v>
      </c>
      <c r="E4645">
        <v>0.63770962861033997</v>
      </c>
    </row>
    <row r="4646" spans="1:5" x14ac:dyDescent="0.2">
      <c r="A4646">
        <v>0.138413333333333</v>
      </c>
      <c r="B4646">
        <v>0.53368688404450104</v>
      </c>
      <c r="C4646">
        <v>0.48762470367968302</v>
      </c>
      <c r="D4646">
        <v>0.68100465403572297</v>
      </c>
      <c r="E4646">
        <v>0.63797668672727703</v>
      </c>
    </row>
    <row r="4647" spans="1:5" x14ac:dyDescent="0.2">
      <c r="A4647">
        <v>0.13868</v>
      </c>
      <c r="B4647">
        <v>0.53402061291886904</v>
      </c>
      <c r="C4647">
        <v>0.48797122421074601</v>
      </c>
      <c r="D4647">
        <v>0.68124061210650799</v>
      </c>
      <c r="E4647">
        <v>0.63824384152092695</v>
      </c>
    </row>
    <row r="4648" spans="1:5" x14ac:dyDescent="0.2">
      <c r="A4648">
        <v>0.138946666666667</v>
      </c>
      <c r="B4648">
        <v>0.534355221478231</v>
      </c>
      <c r="C4648">
        <v>0.48831887983826799</v>
      </c>
      <c r="D4648">
        <v>0.68147630082817301</v>
      </c>
      <c r="E4648">
        <v>0.63851109394483196</v>
      </c>
    </row>
    <row r="4649" spans="1:5" x14ac:dyDescent="0.2">
      <c r="A4649">
        <v>0.13921333333333299</v>
      </c>
      <c r="B4649">
        <v>0.53469064270045596</v>
      </c>
      <c r="C4649">
        <v>0.48866805553096798</v>
      </c>
      <c r="D4649">
        <v>0.68171172919727296</v>
      </c>
      <c r="E4649">
        <v>0.63877844495253</v>
      </c>
    </row>
    <row r="4650" spans="1:5" x14ac:dyDescent="0.2">
      <c r="A4650">
        <v>0.13947999999999999</v>
      </c>
      <c r="B4650">
        <v>0.53502536959710301</v>
      </c>
      <c r="C4650">
        <v>0.489017209034105</v>
      </c>
      <c r="D4650">
        <v>0.68194690621036003</v>
      </c>
      <c r="E4650">
        <v>0.63904589549756097</v>
      </c>
    </row>
    <row r="4651" spans="1:5" x14ac:dyDescent="0.2">
      <c r="A4651">
        <v>0.13974666666666699</v>
      </c>
      <c r="B4651">
        <v>0.53535724978256705</v>
      </c>
      <c r="C4651">
        <v>0.48936393430568398</v>
      </c>
      <c r="D4651">
        <v>0.68218184086398803</v>
      </c>
      <c r="E4651">
        <v>0.639313446533465</v>
      </c>
    </row>
    <row r="4652" spans="1:5" x14ac:dyDescent="0.2">
      <c r="A4652">
        <v>0.14001333333333299</v>
      </c>
      <c r="B4652">
        <v>0.53568412792126097</v>
      </c>
      <c r="C4652">
        <v>0.48970582132962198</v>
      </c>
      <c r="D4652">
        <v>0.68241654215471204</v>
      </c>
      <c r="E4652">
        <v>0.63958109901378202</v>
      </c>
    </row>
    <row r="4653" spans="1:5" x14ac:dyDescent="0.2">
      <c r="A4653">
        <v>0.14027999999999999</v>
      </c>
      <c r="B4653">
        <v>0.53600472202946803</v>
      </c>
      <c r="C4653">
        <v>0.49004138933176999</v>
      </c>
      <c r="D4653">
        <v>0.68265101907908499</v>
      </c>
      <c r="E4653">
        <v>0.63984885389205104</v>
      </c>
    </row>
    <row r="4654" spans="1:5" x14ac:dyDescent="0.2">
      <c r="A4654">
        <v>0.14054666666666699</v>
      </c>
      <c r="B4654">
        <v>0.53632075812580604</v>
      </c>
      <c r="C4654">
        <v>0.49037235803712198</v>
      </c>
      <c r="D4654">
        <v>0.68288528063366005</v>
      </c>
      <c r="E4654">
        <v>0.64011671212181298</v>
      </c>
    </row>
    <row r="4655" spans="1:5" x14ac:dyDescent="0.2">
      <c r="A4655">
        <v>0.14081333333333301</v>
      </c>
      <c r="B4655">
        <v>0.53663460934140395</v>
      </c>
      <c r="C4655">
        <v>0.49070113569507801</v>
      </c>
      <c r="D4655">
        <v>0.68311933581499196</v>
      </c>
      <c r="E4655">
        <v>0.64038467465660598</v>
      </c>
    </row>
    <row r="4656" spans="1:5" x14ac:dyDescent="0.2">
      <c r="A4656">
        <v>0.14108000000000001</v>
      </c>
      <c r="B4656">
        <v>0.536948635490892</v>
      </c>
      <c r="C4656">
        <v>0.49103011685411802</v>
      </c>
      <c r="D4656">
        <v>0.68335319361963398</v>
      </c>
      <c r="E4656">
        <v>0.64065274244996995</v>
      </c>
    </row>
    <row r="4657" spans="1:5" x14ac:dyDescent="0.2">
      <c r="A4657">
        <v>0.14134666666666701</v>
      </c>
      <c r="B4657">
        <v>0.53726416608669902</v>
      </c>
      <c r="C4657">
        <v>0.49136063601751501</v>
      </c>
      <c r="D4657">
        <v>0.68358686304413896</v>
      </c>
      <c r="E4657">
        <v>0.64092091645544602</v>
      </c>
    </row>
    <row r="4658" spans="1:5" x14ac:dyDescent="0.2">
      <c r="A4658">
        <v>0.14161333333333301</v>
      </c>
      <c r="B4658">
        <v>0.53758078420751199</v>
      </c>
      <c r="C4658">
        <v>0.49169223083833302</v>
      </c>
      <c r="D4658">
        <v>0.68382035308506195</v>
      </c>
      <c r="E4658">
        <v>0.64118919762657201</v>
      </c>
    </row>
    <row r="4659" spans="1:5" x14ac:dyDescent="0.2">
      <c r="A4659">
        <v>0.14188000000000001</v>
      </c>
      <c r="B4659">
        <v>0.53789790376320101</v>
      </c>
      <c r="C4659">
        <v>0.49202426491721402</v>
      </c>
      <c r="D4659">
        <v>0.68405367273895601</v>
      </c>
      <c r="E4659">
        <v>0.64145758691688903</v>
      </c>
    </row>
    <row r="4660" spans="1:5" x14ac:dyDescent="0.2">
      <c r="A4660">
        <v>0.142146666666667</v>
      </c>
      <c r="B4660">
        <v>0.53821495664930796</v>
      </c>
      <c r="C4660">
        <v>0.49235612330386203</v>
      </c>
      <c r="D4660">
        <v>0.68428683100237497</v>
      </c>
      <c r="E4660">
        <v>0.64172608527993602</v>
      </c>
    </row>
    <row r="4661" spans="1:5" x14ac:dyDescent="0.2">
      <c r="A4661">
        <v>0.142413333333333</v>
      </c>
      <c r="B4661">
        <v>0.53853170538155604</v>
      </c>
      <c r="C4661">
        <v>0.49268758533359902</v>
      </c>
      <c r="D4661">
        <v>0.68451983687187301</v>
      </c>
      <c r="E4661">
        <v>0.64199469366925299</v>
      </c>
    </row>
    <row r="4662" spans="1:5" x14ac:dyDescent="0.2">
      <c r="A4662">
        <v>0.14268</v>
      </c>
      <c r="B4662">
        <v>0.53884820263821598</v>
      </c>
      <c r="C4662">
        <v>0.493018776379062</v>
      </c>
      <c r="D4662">
        <v>0.68475269934400296</v>
      </c>
      <c r="E4662">
        <v>0.64226341303837997</v>
      </c>
    </row>
    <row r="4663" spans="1:5" x14ac:dyDescent="0.2">
      <c r="A4663">
        <v>0.142946666666667</v>
      </c>
      <c r="B4663">
        <v>0.53916451094846596</v>
      </c>
      <c r="C4663">
        <v>0.49334983356072298</v>
      </c>
      <c r="D4663">
        <v>0.68498542741531898</v>
      </c>
      <c r="E4663">
        <v>0.64253224434085598</v>
      </c>
    </row>
    <row r="4664" spans="1:5" x14ac:dyDescent="0.2">
      <c r="A4664">
        <v>0.143213333333333</v>
      </c>
      <c r="B4664">
        <v>0.53948069284148303</v>
      </c>
      <c r="C4664">
        <v>0.49368088237504298</v>
      </c>
      <c r="D4664">
        <v>0.68521803008237503</v>
      </c>
      <c r="E4664">
        <v>0.64280118853022095</v>
      </c>
    </row>
    <row r="4665" spans="1:5" x14ac:dyDescent="0.2">
      <c r="A4665">
        <v>0.14348</v>
      </c>
      <c r="B4665">
        <v>0.53979681084644404</v>
      </c>
      <c r="C4665">
        <v>0.494011962409794</v>
      </c>
      <c r="D4665">
        <v>0.68545051634172405</v>
      </c>
      <c r="E4665">
        <v>0.64307024656001399</v>
      </c>
    </row>
    <row r="4666" spans="1:5" x14ac:dyDescent="0.2">
      <c r="A4666">
        <v>0.14374666666666699</v>
      </c>
      <c r="B4666">
        <v>0.54011292749252604</v>
      </c>
      <c r="C4666">
        <v>0.49434307474821698</v>
      </c>
      <c r="D4666">
        <v>0.68568289518992098</v>
      </c>
      <c r="E4666">
        <v>0.64333941938377603</v>
      </c>
    </row>
    <row r="4667" spans="1:5" x14ac:dyDescent="0.2">
      <c r="A4667">
        <v>0.14401333333333299</v>
      </c>
      <c r="B4667">
        <v>0.54042910530678601</v>
      </c>
      <c r="C4667">
        <v>0.49467422029192998</v>
      </c>
      <c r="D4667">
        <v>0.685915175623518</v>
      </c>
      <c r="E4667">
        <v>0.64360870795504699</v>
      </c>
    </row>
    <row r="4668" spans="1:5" x14ac:dyDescent="0.2">
      <c r="A4668">
        <v>0.14427999999999999</v>
      </c>
      <c r="B4668">
        <v>0.54074538717512299</v>
      </c>
      <c r="C4668">
        <v>0.495005399942547</v>
      </c>
      <c r="D4668">
        <v>0.68614736663907006</v>
      </c>
      <c r="E4668">
        <v>0.64387811322736499</v>
      </c>
    </row>
    <row r="4669" spans="1:5" x14ac:dyDescent="0.2">
      <c r="A4669">
        <v>0.14454666666666699</v>
      </c>
      <c r="B4669">
        <v>0.54106174833528597</v>
      </c>
      <c r="C4669">
        <v>0.49533661460168699</v>
      </c>
      <c r="D4669">
        <v>0.68637947723312998</v>
      </c>
      <c r="E4669">
        <v>0.64414763615426995</v>
      </c>
    </row>
    <row r="4670" spans="1:5" x14ac:dyDescent="0.2">
      <c r="A4670">
        <v>0.14481333333333299</v>
      </c>
      <c r="B4670">
        <v>0.54137814947185203</v>
      </c>
      <c r="C4670">
        <v>0.495667865170966</v>
      </c>
      <c r="D4670">
        <v>0.68661151640225204</v>
      </c>
      <c r="E4670">
        <v>0.64441727768930301</v>
      </c>
    </row>
    <row r="4671" spans="1:5" x14ac:dyDescent="0.2">
      <c r="A4671">
        <v>0.14507999999999999</v>
      </c>
      <c r="B4671">
        <v>0.54169455147467505</v>
      </c>
      <c r="C4671">
        <v>0.495999152552</v>
      </c>
      <c r="D4671">
        <v>0.68684349314298898</v>
      </c>
      <c r="E4671">
        <v>0.64468703878600297</v>
      </c>
    </row>
    <row r="4672" spans="1:5" x14ac:dyDescent="0.2">
      <c r="A4672">
        <v>0.14534666666666701</v>
      </c>
      <c r="B4672">
        <v>0.542010931115816</v>
      </c>
      <c r="C4672">
        <v>0.49633047764640498</v>
      </c>
      <c r="D4672">
        <v>0.68707541645189596</v>
      </c>
      <c r="E4672">
        <v>0.64495692039790897</v>
      </c>
    </row>
    <row r="4673" spans="1:5" x14ac:dyDescent="0.2">
      <c r="A4673">
        <v>0.14561333333333301</v>
      </c>
      <c r="B4673">
        <v>0.54232729208877495</v>
      </c>
      <c r="C4673">
        <v>0.49666184135579899</v>
      </c>
      <c r="D4673">
        <v>0.68730729532552703</v>
      </c>
      <c r="E4673">
        <v>0.64522692347856103</v>
      </c>
    </row>
    <row r="4674" spans="1:5" x14ac:dyDescent="0.2">
      <c r="A4674">
        <v>0.14588000000000001</v>
      </c>
      <c r="B4674">
        <v>0.54264364069480697</v>
      </c>
      <c r="C4674">
        <v>0.496993244581798</v>
      </c>
      <c r="D4674">
        <v>0.68753913876043404</v>
      </c>
      <c r="E4674">
        <v>0.64549704898149995</v>
      </c>
    </row>
    <row r="4675" spans="1:5" x14ac:dyDescent="0.2">
      <c r="A4675">
        <v>0.14614666666666701</v>
      </c>
      <c r="B4675">
        <v>0.54295998323516503</v>
      </c>
      <c r="C4675">
        <v>0.497324688226018</v>
      </c>
      <c r="D4675">
        <v>0.68777095575317104</v>
      </c>
      <c r="E4675">
        <v>0.64576729786026399</v>
      </c>
    </row>
    <row r="4676" spans="1:5" x14ac:dyDescent="0.2">
      <c r="A4676">
        <v>0.14641333333333301</v>
      </c>
      <c r="B4676">
        <v>0.54327632601110498</v>
      </c>
      <c r="C4676">
        <v>0.49765617319007599</v>
      </c>
      <c r="D4676">
        <v>0.68800275530029298</v>
      </c>
      <c r="E4676">
        <v>0.64603767106839405</v>
      </c>
    </row>
    <row r="4677" spans="1:5" x14ac:dyDescent="0.2">
      <c r="A4677">
        <v>0.14668</v>
      </c>
      <c r="B4677">
        <v>0.543592675323881</v>
      </c>
      <c r="C4677">
        <v>0.49798770037558898</v>
      </c>
      <c r="D4677">
        <v>0.68823454639835302</v>
      </c>
      <c r="E4677">
        <v>0.64630816955942905</v>
      </c>
    </row>
    <row r="4678" spans="1:5" x14ac:dyDescent="0.2">
      <c r="A4678">
        <v>0.146946666666667</v>
      </c>
      <c r="B4678">
        <v>0.54390903747474595</v>
      </c>
      <c r="C4678">
        <v>0.49831927068417198</v>
      </c>
      <c r="D4678">
        <v>0.688466338043904</v>
      </c>
      <c r="E4678">
        <v>0.64657879428690801</v>
      </c>
    </row>
    <row r="4679" spans="1:5" x14ac:dyDescent="0.2">
      <c r="A4679">
        <v>0.147213333333333</v>
      </c>
      <c r="B4679">
        <v>0.544225416195385</v>
      </c>
      <c r="C4679">
        <v>0.49865087108044198</v>
      </c>
      <c r="D4679">
        <v>0.68869813923350098</v>
      </c>
      <c r="E4679">
        <v>0.64684954620437196</v>
      </c>
    </row>
    <row r="4680" spans="1:5" x14ac:dyDescent="0.2">
      <c r="A4680">
        <v>0.14748</v>
      </c>
      <c r="B4680">
        <v>0.54454179622674903</v>
      </c>
      <c r="C4680">
        <v>0.498982385525858</v>
      </c>
      <c r="D4680">
        <v>0.68892995896369702</v>
      </c>
      <c r="E4680">
        <v>0.64712042626536004</v>
      </c>
    </row>
    <row r="4681" spans="1:5" x14ac:dyDescent="0.2">
      <c r="A4681">
        <v>0.147746666666667</v>
      </c>
      <c r="B4681">
        <v>0.54485815379808999</v>
      </c>
      <c r="C4681">
        <v>0.49931365181556298</v>
      </c>
      <c r="D4681">
        <v>0.68916180623104495</v>
      </c>
      <c r="E4681">
        <v>0.64739143542341204</v>
      </c>
    </row>
    <row r="4682" spans="1:5" x14ac:dyDescent="0.2">
      <c r="A4682">
        <v>0.148013333333333</v>
      </c>
      <c r="B4682">
        <v>0.54517446510080403</v>
      </c>
      <c r="C4682">
        <v>0.49964450753043499</v>
      </c>
      <c r="D4682">
        <v>0.68939369003210005</v>
      </c>
      <c r="E4682">
        <v>0.647662574632068</v>
      </c>
    </row>
    <row r="4683" spans="1:5" x14ac:dyDescent="0.2">
      <c r="A4683">
        <v>0.14828</v>
      </c>
      <c r="B4683">
        <v>0.54549072760578798</v>
      </c>
      <c r="C4683">
        <v>0.49997482266144899</v>
      </c>
      <c r="D4683">
        <v>0.68962561936341604</v>
      </c>
      <c r="E4683">
        <v>0.64793384484486705</v>
      </c>
    </row>
    <row r="4684" spans="1:5" x14ac:dyDescent="0.2">
      <c r="A4684">
        <v>0.14854666666666699</v>
      </c>
      <c r="B4684">
        <v>0.54580701207486204</v>
      </c>
      <c r="C4684">
        <v>0.50030457882658597</v>
      </c>
      <c r="D4684">
        <v>0.68985760322154499</v>
      </c>
      <c r="E4684">
        <v>0.64820524701534898</v>
      </c>
    </row>
    <row r="4685" spans="1:5" x14ac:dyDescent="0.2">
      <c r="A4685">
        <v>0.14881333333333299</v>
      </c>
      <c r="B4685">
        <v>0.546123405036953</v>
      </c>
      <c r="C4685">
        <v>0.50063378165817696</v>
      </c>
      <c r="D4685">
        <v>0.69008965060304195</v>
      </c>
      <c r="E4685">
        <v>0.64847678209705395</v>
      </c>
    </row>
    <row r="4686" spans="1:5" x14ac:dyDescent="0.2">
      <c r="A4686">
        <v>0.14907999999999999</v>
      </c>
      <c r="B4686">
        <v>0.54643999118020803</v>
      </c>
      <c r="C4686">
        <v>0.50096243678855501</v>
      </c>
      <c r="D4686">
        <v>0.69032177050445998</v>
      </c>
      <c r="E4686">
        <v>0.64874845104351997</v>
      </c>
    </row>
    <row r="4687" spans="1:5" x14ac:dyDescent="0.2">
      <c r="A4687">
        <v>0.14934666666666699</v>
      </c>
      <c r="B4687">
        <v>0.54675671277127502</v>
      </c>
      <c r="C4687">
        <v>0.50129054985005195</v>
      </c>
      <c r="D4687">
        <v>0.69055397192235302</v>
      </c>
      <c r="E4687">
        <v>0.64902025480828995</v>
      </c>
    </row>
    <row r="4688" spans="1:5" x14ac:dyDescent="0.2">
      <c r="A4688">
        <v>0.14961333333333299</v>
      </c>
      <c r="B4688">
        <v>0.54707327066247002</v>
      </c>
      <c r="C4688">
        <v>0.50161812647500204</v>
      </c>
      <c r="D4688">
        <v>0.69078626385327502</v>
      </c>
      <c r="E4688">
        <v>0.64929219434490004</v>
      </c>
    </row>
    <row r="4689" spans="1:5" x14ac:dyDescent="0.2">
      <c r="A4689">
        <v>0.14988000000000001</v>
      </c>
      <c r="B4689">
        <v>0.54738934232144099</v>
      </c>
      <c r="C4689">
        <v>0.50194517229573599</v>
      </c>
      <c r="D4689">
        <v>0.69101865529377904</v>
      </c>
      <c r="E4689">
        <v>0.64956427060689303</v>
      </c>
    </row>
    <row r="4690" spans="1:5" x14ac:dyDescent="0.2">
      <c r="A4690">
        <v>0.15014666666666701</v>
      </c>
      <c r="B4690">
        <v>0.54770461473119103</v>
      </c>
      <c r="C4690">
        <v>0.50227169294458696</v>
      </c>
      <c r="D4690">
        <v>0.69125115524041902</v>
      </c>
      <c r="E4690">
        <v>0.64983648454780596</v>
      </c>
    </row>
    <row r="4691" spans="1:5" x14ac:dyDescent="0.2">
      <c r="A4691">
        <v>0.15041333333333301</v>
      </c>
      <c r="B4691">
        <v>0.54801894979002197</v>
      </c>
      <c r="C4691">
        <v>0.50259769405388699</v>
      </c>
      <c r="D4691">
        <v>0.69148377268975003</v>
      </c>
      <c r="E4691">
        <v>0.65010883712118095</v>
      </c>
    </row>
    <row r="4692" spans="1:5" x14ac:dyDescent="0.2">
      <c r="A4692">
        <v>0.15068000000000001</v>
      </c>
      <c r="B4692">
        <v>0.548332362907337</v>
      </c>
      <c r="C4692">
        <v>0.50292318125596802</v>
      </c>
      <c r="D4692">
        <v>0.69171651663832401</v>
      </c>
      <c r="E4692">
        <v>0.65038132928055503</v>
      </c>
    </row>
    <row r="4693" spans="1:5" x14ac:dyDescent="0.2">
      <c r="A4693">
        <v>0.15094666666666701</v>
      </c>
      <c r="B4693">
        <v>0.54864487470418299</v>
      </c>
      <c r="C4693">
        <v>0.50324816018316398</v>
      </c>
      <c r="D4693">
        <v>0.69194939608269501</v>
      </c>
      <c r="E4693">
        <v>0.65065396197947101</v>
      </c>
    </row>
    <row r="4694" spans="1:5" x14ac:dyDescent="0.2">
      <c r="A4694">
        <v>0.15121333333333301</v>
      </c>
      <c r="B4694">
        <v>0.54895650580160404</v>
      </c>
      <c r="C4694">
        <v>0.50357263646780703</v>
      </c>
      <c r="D4694">
        <v>0.69218242001941699</v>
      </c>
      <c r="E4694">
        <v>0.65092673617146601</v>
      </c>
    </row>
    <row r="4695" spans="1:5" x14ac:dyDescent="0.2">
      <c r="A4695">
        <v>0.15148</v>
      </c>
      <c r="B4695">
        <v>0.54926727682064802</v>
      </c>
      <c r="C4695">
        <v>0.50389661574222899</v>
      </c>
      <c r="D4695">
        <v>0.692415597445044</v>
      </c>
      <c r="E4695">
        <v>0.65119965281007997</v>
      </c>
    </row>
    <row r="4696" spans="1:5" x14ac:dyDescent="0.2">
      <c r="A4696">
        <v>0.151746666666667</v>
      </c>
      <c r="B4696">
        <v>0.54957720838235902</v>
      </c>
      <c r="C4696">
        <v>0.50422010363876202</v>
      </c>
      <c r="D4696">
        <v>0.69264893735612898</v>
      </c>
      <c r="E4696">
        <v>0.651472712848855</v>
      </c>
    </row>
    <row r="4697" spans="1:5" x14ac:dyDescent="0.2">
      <c r="A4697">
        <v>0.152013333333333</v>
      </c>
      <c r="B4697">
        <v>0.54988632110778402</v>
      </c>
      <c r="C4697">
        <v>0.50454310578974004</v>
      </c>
      <c r="D4697">
        <v>0.692882448749226</v>
      </c>
      <c r="E4697">
        <v>0.65174591724132802</v>
      </c>
    </row>
    <row r="4698" spans="1:5" x14ac:dyDescent="0.2">
      <c r="A4698">
        <v>0.15228</v>
      </c>
      <c r="B4698">
        <v>0.550194635617968</v>
      </c>
      <c r="C4698">
        <v>0.504865627827494</v>
      </c>
      <c r="D4698">
        <v>0.693116140620889</v>
      </c>
      <c r="E4698">
        <v>0.65201926694103995</v>
      </c>
    </row>
    <row r="4699" spans="1:5" x14ac:dyDescent="0.2">
      <c r="A4699">
        <v>0.152546666666667</v>
      </c>
      <c r="B4699">
        <v>0.55050217253395695</v>
      </c>
      <c r="C4699">
        <v>0.50518767538435605</v>
      </c>
      <c r="D4699">
        <v>0.69335002196767204</v>
      </c>
      <c r="E4699">
        <v>0.65229276290153004</v>
      </c>
    </row>
    <row r="4700" spans="1:5" x14ac:dyDescent="0.2">
      <c r="A4700">
        <v>0.152813333333333</v>
      </c>
      <c r="B4700">
        <v>0.55080895247679695</v>
      </c>
      <c r="C4700">
        <v>0.50550925409266001</v>
      </c>
      <c r="D4700">
        <v>0.69358410178612795</v>
      </c>
      <c r="E4700">
        <v>0.65256640607633898</v>
      </c>
    </row>
    <row r="4701" spans="1:5" x14ac:dyDescent="0.2">
      <c r="A4701">
        <v>0.15307999999999999</v>
      </c>
      <c r="B4701">
        <v>0.551114996067534</v>
      </c>
      <c r="C4701">
        <v>0.50583036958473804</v>
      </c>
      <c r="D4701">
        <v>0.69381838907281101</v>
      </c>
      <c r="E4701">
        <v>0.65284019741900501</v>
      </c>
    </row>
    <row r="4702" spans="1:5" x14ac:dyDescent="0.2">
      <c r="A4702">
        <v>0.15334666666666699</v>
      </c>
      <c r="B4702">
        <v>0.55142032392721396</v>
      </c>
      <c r="C4702">
        <v>0.50615102749292196</v>
      </c>
      <c r="D4702">
        <v>0.69405289282427496</v>
      </c>
      <c r="E4702">
        <v>0.65311413788306905</v>
      </c>
    </row>
    <row r="4703" spans="1:5" x14ac:dyDescent="0.2">
      <c r="A4703">
        <v>0.15361333333333299</v>
      </c>
      <c r="B4703">
        <v>0.55172495667688204</v>
      </c>
      <c r="C4703">
        <v>0.50647123344954503</v>
      </c>
      <c r="D4703">
        <v>0.69428762203707195</v>
      </c>
      <c r="E4703">
        <v>0.65338822842207001</v>
      </c>
    </row>
    <row r="4704" spans="1:5" x14ac:dyDescent="0.2">
      <c r="A4704">
        <v>0.15387999999999999</v>
      </c>
      <c r="B4704">
        <v>0.55202891493758399</v>
      </c>
      <c r="C4704">
        <v>0.50679099308693898</v>
      </c>
      <c r="D4704">
        <v>0.69452258570775804</v>
      </c>
      <c r="E4704">
        <v>0.65366246998954802</v>
      </c>
    </row>
    <row r="4705" spans="1:5" x14ac:dyDescent="0.2">
      <c r="A4705">
        <v>0.15414666666666699</v>
      </c>
      <c r="B4705">
        <v>0.55233221933036702</v>
      </c>
      <c r="C4705">
        <v>0.50711031203743695</v>
      </c>
      <c r="D4705">
        <v>0.69475779283288597</v>
      </c>
      <c r="E4705">
        <v>0.65393686353904301</v>
      </c>
    </row>
    <row r="4706" spans="1:5" x14ac:dyDescent="0.2">
      <c r="A4706">
        <v>0.15441333333333301</v>
      </c>
      <c r="B4706">
        <v>0.55263489047627501</v>
      </c>
      <c r="C4706">
        <v>0.50742919593337099</v>
      </c>
      <c r="D4706">
        <v>0.694993252409009</v>
      </c>
      <c r="E4706">
        <v>0.654211410024094</v>
      </c>
    </row>
    <row r="4707" spans="1:5" x14ac:dyDescent="0.2">
      <c r="A4707">
        <v>0.15468000000000001</v>
      </c>
      <c r="B4707">
        <v>0.55293694899635604</v>
      </c>
      <c r="C4707">
        <v>0.50774765040707304</v>
      </c>
      <c r="D4707">
        <v>0.69522897343268197</v>
      </c>
      <c r="E4707">
        <v>0.65448611039824101</v>
      </c>
    </row>
    <row r="4708" spans="1:5" x14ac:dyDescent="0.2">
      <c r="A4708">
        <v>0.15494666666666701</v>
      </c>
      <c r="B4708">
        <v>0.55323841551165398</v>
      </c>
      <c r="C4708">
        <v>0.50806568109087602</v>
      </c>
      <c r="D4708">
        <v>0.69546496490045695</v>
      </c>
      <c r="E4708">
        <v>0.65476096561502395</v>
      </c>
    </row>
    <row r="4709" spans="1:5" x14ac:dyDescent="0.2">
      <c r="A4709">
        <v>0.15521333333333301</v>
      </c>
      <c r="B4709">
        <v>0.55353931064321504</v>
      </c>
      <c r="C4709">
        <v>0.50838329361711199</v>
      </c>
      <c r="D4709">
        <v>0.69570123580888898</v>
      </c>
      <c r="E4709">
        <v>0.65503597662798296</v>
      </c>
    </row>
    <row r="4710" spans="1:5" x14ac:dyDescent="0.2">
      <c r="A4710">
        <v>0.15548000000000001</v>
      </c>
      <c r="B4710">
        <v>0.55383965501208599</v>
      </c>
      <c r="C4710">
        <v>0.50870049361811498</v>
      </c>
      <c r="D4710">
        <v>0.69593779515453102</v>
      </c>
      <c r="E4710">
        <v>0.65531114439065596</v>
      </c>
    </row>
    <row r="4711" spans="1:5" x14ac:dyDescent="0.2">
      <c r="A4711">
        <v>0.15574666666666701</v>
      </c>
      <c r="B4711">
        <v>0.55413946923931201</v>
      </c>
      <c r="C4711">
        <v>0.50901728672621505</v>
      </c>
      <c r="D4711">
        <v>0.69617465193393802</v>
      </c>
      <c r="E4711">
        <v>0.65558646985658398</v>
      </c>
    </row>
    <row r="4712" spans="1:5" x14ac:dyDescent="0.2">
      <c r="A4712">
        <v>0.156013333333333</v>
      </c>
      <c r="B4712">
        <v>0.55443877394593899</v>
      </c>
      <c r="C4712">
        <v>0.50933367857374701</v>
      </c>
      <c r="D4712">
        <v>0.69641181514366202</v>
      </c>
      <c r="E4712">
        <v>0.65586195397930702</v>
      </c>
    </row>
    <row r="4713" spans="1:5" x14ac:dyDescent="0.2">
      <c r="A4713">
        <v>0.15628</v>
      </c>
      <c r="B4713">
        <v>0.55473758975301302</v>
      </c>
      <c r="C4713">
        <v>0.50964967479304102</v>
      </c>
      <c r="D4713">
        <v>0.69664929378025697</v>
      </c>
      <c r="E4713">
        <v>0.65613759771236402</v>
      </c>
    </row>
    <row r="4714" spans="1:5" x14ac:dyDescent="0.2">
      <c r="A4714">
        <v>0.156546666666667</v>
      </c>
      <c r="B4714">
        <v>0.55503593728157996</v>
      </c>
      <c r="C4714">
        <v>0.50996528101643201</v>
      </c>
      <c r="D4714">
        <v>0.69688709684027805</v>
      </c>
      <c r="E4714">
        <v>0.65641340200929499</v>
      </c>
    </row>
    <row r="4715" spans="1:5" x14ac:dyDescent="0.2">
      <c r="A4715">
        <v>0.156813333333333</v>
      </c>
      <c r="B4715">
        <v>0.55533383715268503</v>
      </c>
      <c r="C4715">
        <v>0.51028050287625004</v>
      </c>
      <c r="D4715">
        <v>0.69712523332027798</v>
      </c>
      <c r="E4715">
        <v>0.65668936782363996</v>
      </c>
    </row>
    <row r="4716" spans="1:5" x14ac:dyDescent="0.2">
      <c r="A4716">
        <v>0.15708</v>
      </c>
      <c r="B4716">
        <v>0.55563130998737398</v>
      </c>
      <c r="C4716">
        <v>0.51059534600482903</v>
      </c>
      <c r="D4716">
        <v>0.69736371221681004</v>
      </c>
      <c r="E4716">
        <v>0.65696549610893795</v>
      </c>
    </row>
    <row r="4717" spans="1:5" x14ac:dyDescent="0.2">
      <c r="A4717">
        <v>0.157346666666667</v>
      </c>
      <c r="B4717">
        <v>0.55592837640669301</v>
      </c>
      <c r="C4717">
        <v>0.51090981603450103</v>
      </c>
      <c r="D4717">
        <v>0.69760254252642795</v>
      </c>
      <c r="E4717">
        <v>0.657241787818729</v>
      </c>
    </row>
    <row r="4718" spans="1:5" x14ac:dyDescent="0.2">
      <c r="A4718">
        <v>0.15761333333333299</v>
      </c>
      <c r="B4718">
        <v>0.55622505703168901</v>
      </c>
      <c r="C4718">
        <v>0.51122391859759797</v>
      </c>
      <c r="D4718">
        <v>0.69784173324568599</v>
      </c>
      <c r="E4718">
        <v>0.657518243906552</v>
      </c>
    </row>
    <row r="4719" spans="1:5" x14ac:dyDescent="0.2">
      <c r="A4719">
        <v>0.15787999999999999</v>
      </c>
      <c r="B4719">
        <v>0.55652137248340605</v>
      </c>
      <c r="C4719">
        <v>0.51153765932645301</v>
      </c>
      <c r="D4719">
        <v>0.698081293371138</v>
      </c>
      <c r="E4719">
        <v>0.657794865325949</v>
      </c>
    </row>
    <row r="4720" spans="1:5" x14ac:dyDescent="0.2">
      <c r="A4720">
        <v>0.15814666666666699</v>
      </c>
      <c r="B4720">
        <v>0.55681734338289102</v>
      </c>
      <c r="C4720">
        <v>0.51185104385339897</v>
      </c>
      <c r="D4720">
        <v>0.69832123189933804</v>
      </c>
      <c r="E4720">
        <v>0.658071653030457</v>
      </c>
    </row>
    <row r="4721" spans="1:5" x14ac:dyDescent="0.2">
      <c r="A4721">
        <v>0.15841333333333299</v>
      </c>
      <c r="B4721">
        <v>0.557112990351189</v>
      </c>
      <c r="C4721">
        <v>0.512164077810767</v>
      </c>
      <c r="D4721">
        <v>0.69856155782683904</v>
      </c>
      <c r="E4721">
        <v>0.65834860797361705</v>
      </c>
    </row>
    <row r="4722" spans="1:5" x14ac:dyDescent="0.2">
      <c r="A4722">
        <v>0.15867999999999999</v>
      </c>
      <c r="B4722">
        <v>0.55740833400934697</v>
      </c>
      <c r="C4722">
        <v>0.51247676683089105</v>
      </c>
      <c r="D4722">
        <v>0.69880228015019397</v>
      </c>
      <c r="E4722">
        <v>0.65862573110896805</v>
      </c>
    </row>
    <row r="4723" spans="1:5" x14ac:dyDescent="0.2">
      <c r="A4723">
        <v>0.15894666666666701</v>
      </c>
      <c r="B4723">
        <v>0.55770339497840904</v>
      </c>
      <c r="C4723">
        <v>0.51278911654610204</v>
      </c>
      <c r="D4723">
        <v>0.69904340786595798</v>
      </c>
      <c r="E4723">
        <v>0.65890302339005102</v>
      </c>
    </row>
    <row r="4724" spans="1:5" x14ac:dyDescent="0.2">
      <c r="A4724">
        <v>0.15921333333333301</v>
      </c>
      <c r="B4724">
        <v>0.55799819387942295</v>
      </c>
      <c r="C4724">
        <v>0.51310113258873402</v>
      </c>
      <c r="D4724">
        <v>0.69928494997068402</v>
      </c>
      <c r="E4724">
        <v>0.659180485770405</v>
      </c>
    </row>
    <row r="4725" spans="1:5" x14ac:dyDescent="0.2">
      <c r="A4725">
        <v>0.15948000000000001</v>
      </c>
      <c r="B4725">
        <v>0.55829275133343303</v>
      </c>
      <c r="C4725">
        <v>0.51341282059111804</v>
      </c>
      <c r="D4725">
        <v>0.69952691546092605</v>
      </c>
      <c r="E4725">
        <v>0.659458119203569</v>
      </c>
    </row>
    <row r="4726" spans="1:5" x14ac:dyDescent="0.2">
      <c r="A4726">
        <v>0.15974666666666701</v>
      </c>
      <c r="B4726">
        <v>0.55858708796148604</v>
      </c>
      <c r="C4726">
        <v>0.51372418618558702</v>
      </c>
      <c r="D4726">
        <v>0.699769313333238</v>
      </c>
      <c r="E4726">
        <v>0.65973592464308295</v>
      </c>
    </row>
    <row r="4727" spans="1:5" x14ac:dyDescent="0.2">
      <c r="A4727">
        <v>0.16001333333333301</v>
      </c>
      <c r="B4727">
        <v>0.55888122438410703</v>
      </c>
      <c r="C4727">
        <v>0.51403523500435999</v>
      </c>
      <c r="D4727">
        <v>0.70001215258388205</v>
      </c>
      <c r="E4727">
        <v>0.66001390304243401</v>
      </c>
    </row>
    <row r="4728" spans="1:5" x14ac:dyDescent="0.2">
      <c r="A4728">
        <v>0.16028000000000001</v>
      </c>
      <c r="B4728">
        <v>0.559175176399616</v>
      </c>
      <c r="C4728">
        <v>0.51434597163388796</v>
      </c>
      <c r="D4728">
        <v>0.70025543951232605</v>
      </c>
      <c r="E4728">
        <v>0.66029205485947795</v>
      </c>
    </row>
    <row r="4729" spans="1:5" x14ac:dyDescent="0.2">
      <c r="A4729">
        <v>0.160546666666667</v>
      </c>
      <c r="B4729">
        <v>0.55946894319768103</v>
      </c>
      <c r="C4729">
        <v>0.51465639705877098</v>
      </c>
      <c r="D4729">
        <v>0.70049917112972804</v>
      </c>
      <c r="E4729">
        <v>0.66057037884501502</v>
      </c>
    </row>
    <row r="4730" spans="1:5" x14ac:dyDescent="0.2">
      <c r="A4730">
        <v>0.160813333333333</v>
      </c>
      <c r="B4730">
        <v>0.55976252039494401</v>
      </c>
      <c r="C4730">
        <v>0.51496651148874595</v>
      </c>
      <c r="D4730">
        <v>0.70074334244905001</v>
      </c>
      <c r="E4730">
        <v>0.660848873382612</v>
      </c>
    </row>
    <row r="4731" spans="1:5" x14ac:dyDescent="0.2">
      <c r="A4731">
        <v>0.16108</v>
      </c>
      <c r="B4731">
        <v>0.56005590360804502</v>
      </c>
      <c r="C4731">
        <v>0.51527631513354899</v>
      </c>
      <c r="D4731">
        <v>0.70098794848325097</v>
      </c>
      <c r="E4731">
        <v>0.66112753685583103</v>
      </c>
    </row>
    <row r="4732" spans="1:5" x14ac:dyDescent="0.2">
      <c r="A4732">
        <v>0.161346666666667</v>
      </c>
      <c r="B4732">
        <v>0.56034908845362696</v>
      </c>
      <c r="C4732">
        <v>0.515585808202915</v>
      </c>
      <c r="D4732">
        <v>0.70123298424529201</v>
      </c>
      <c r="E4732">
        <v>0.66140636764823701</v>
      </c>
    </row>
    <row r="4733" spans="1:5" x14ac:dyDescent="0.2">
      <c r="A4733">
        <v>0.161613333333333</v>
      </c>
      <c r="B4733">
        <v>0.56064207054833104</v>
      </c>
      <c r="C4733">
        <v>0.51589499090658097</v>
      </c>
      <c r="D4733">
        <v>0.70147844474813403</v>
      </c>
      <c r="E4733">
        <v>0.66168536414339296</v>
      </c>
    </row>
    <row r="4734" spans="1:5" x14ac:dyDescent="0.2">
      <c r="A4734">
        <v>0.16188</v>
      </c>
      <c r="B4734">
        <v>0.56093484550879802</v>
      </c>
      <c r="C4734">
        <v>0.51620386345428204</v>
      </c>
      <c r="D4734">
        <v>0.70172432500473902</v>
      </c>
      <c r="E4734">
        <v>0.661964524724864</v>
      </c>
    </row>
    <row r="4735" spans="1:5" x14ac:dyDescent="0.2">
      <c r="A4735">
        <v>0.16214666666666699</v>
      </c>
      <c r="B4735">
        <v>0.561227408951671</v>
      </c>
      <c r="C4735">
        <v>0.51651242605575398</v>
      </c>
      <c r="D4735">
        <v>0.70197062002806598</v>
      </c>
      <c r="E4735">
        <v>0.66224384777621204</v>
      </c>
    </row>
    <row r="4736" spans="1:5" x14ac:dyDescent="0.2">
      <c r="A4736">
        <v>0.16241333333333299</v>
      </c>
      <c r="B4736">
        <v>0.56151975649359098</v>
      </c>
      <c r="C4736">
        <v>0.51682067892073302</v>
      </c>
      <c r="D4736">
        <v>0.70221732483107702</v>
      </c>
      <c r="E4736">
        <v>0.66252333168100297</v>
      </c>
    </row>
    <row r="4737" spans="1:5" x14ac:dyDescent="0.2">
      <c r="A4737">
        <v>0.16267999999999999</v>
      </c>
      <c r="B4737">
        <v>0.56181188375119895</v>
      </c>
      <c r="C4737">
        <v>0.51712862225895495</v>
      </c>
      <c r="D4737">
        <v>0.70246443442673201</v>
      </c>
      <c r="E4737">
        <v>0.66280297482280004</v>
      </c>
    </row>
    <row r="4738" spans="1:5" x14ac:dyDescent="0.2">
      <c r="A4738">
        <v>0.16294666666666699</v>
      </c>
      <c r="B4738">
        <v>0.562103786341137</v>
      </c>
      <c r="C4738">
        <v>0.51743625628015499</v>
      </c>
      <c r="D4738">
        <v>0.70271194382799196</v>
      </c>
      <c r="E4738">
        <v>0.66308277558516704</v>
      </c>
    </row>
    <row r="4739" spans="1:5" x14ac:dyDescent="0.2">
      <c r="A4739">
        <v>0.16321333333333299</v>
      </c>
      <c r="B4739">
        <v>0.56239545988004702</v>
      </c>
      <c r="C4739">
        <v>0.51774358119407005</v>
      </c>
      <c r="D4739">
        <v>0.70295984804781697</v>
      </c>
      <c r="E4739">
        <v>0.66336273235166798</v>
      </c>
    </row>
    <row r="4740" spans="1:5" x14ac:dyDescent="0.2">
      <c r="A4740">
        <v>0.16347999999999999</v>
      </c>
      <c r="B4740">
        <v>0.562686899984571</v>
      </c>
      <c r="C4740">
        <v>0.518050597210435</v>
      </c>
      <c r="D4740">
        <v>0.70320814209916904</v>
      </c>
      <c r="E4740">
        <v>0.663642843505866</v>
      </c>
    </row>
    <row r="4741" spans="1:5" x14ac:dyDescent="0.2">
      <c r="A4741">
        <v>0.16374666666666701</v>
      </c>
      <c r="B4741">
        <v>0.56297810227134903</v>
      </c>
      <c r="C4741">
        <v>0.51835730453898698</v>
      </c>
      <c r="D4741">
        <v>0.70345682099500795</v>
      </c>
      <c r="E4741">
        <v>0.66392310743132599</v>
      </c>
    </row>
    <row r="4742" spans="1:5" x14ac:dyDescent="0.2">
      <c r="A4742">
        <v>0.16401333333333301</v>
      </c>
      <c r="B4742">
        <v>0.56326906235702301</v>
      </c>
      <c r="C4742">
        <v>0.51866370338946099</v>
      </c>
      <c r="D4742">
        <v>0.70370587974829502</v>
      </c>
      <c r="E4742">
        <v>0.66420352251161197</v>
      </c>
    </row>
    <row r="4743" spans="1:5" x14ac:dyDescent="0.2">
      <c r="A4743">
        <v>0.16428000000000001</v>
      </c>
      <c r="B4743">
        <v>0.56355977585823602</v>
      </c>
      <c r="C4743">
        <v>0.51896979397159204</v>
      </c>
      <c r="D4743">
        <v>0.70395531337199102</v>
      </c>
      <c r="E4743">
        <v>0.66448408713028695</v>
      </c>
    </row>
    <row r="4744" spans="1:5" x14ac:dyDescent="0.2">
      <c r="A4744">
        <v>0.16454666666666701</v>
      </c>
      <c r="B4744">
        <v>0.56385023839162896</v>
      </c>
      <c r="C4744">
        <v>0.51927557649511802</v>
      </c>
      <c r="D4744">
        <v>0.70420511687905696</v>
      </c>
      <c r="E4744">
        <v>0.66476479967091495</v>
      </c>
    </row>
    <row r="4745" spans="1:5" x14ac:dyDescent="0.2">
      <c r="A4745">
        <v>0.16481333333333301</v>
      </c>
      <c r="B4745">
        <v>0.56414044557384202</v>
      </c>
      <c r="C4745">
        <v>0.51958105116977304</v>
      </c>
      <c r="D4745">
        <v>0.70445528528245205</v>
      </c>
      <c r="E4745">
        <v>0.66504565851706099</v>
      </c>
    </row>
    <row r="4746" spans="1:5" x14ac:dyDescent="0.2">
      <c r="A4746">
        <v>0.16508</v>
      </c>
      <c r="B4746">
        <v>0.56443039302151898</v>
      </c>
      <c r="C4746">
        <v>0.51988621820529402</v>
      </c>
      <c r="D4746">
        <v>0.70470581359513895</v>
      </c>
      <c r="E4746">
        <v>0.66532666205228796</v>
      </c>
    </row>
    <row r="4747" spans="1:5" x14ac:dyDescent="0.2">
      <c r="A4747">
        <v>0.165346666666667</v>
      </c>
      <c r="B4747">
        <v>0.56472007635129995</v>
      </c>
      <c r="C4747">
        <v>0.52019107781141605</v>
      </c>
      <c r="D4747">
        <v>0.704956696830077</v>
      </c>
      <c r="E4747">
        <v>0.66560780866016001</v>
      </c>
    </row>
    <row r="4748" spans="1:5" x14ac:dyDescent="0.2">
      <c r="A4748">
        <v>0.165613333333333</v>
      </c>
      <c r="B4748">
        <v>0.56500949117982702</v>
      </c>
      <c r="C4748">
        <v>0.52049563019787504</v>
      </c>
      <c r="D4748">
        <v>0.70520793000022797</v>
      </c>
      <c r="E4748">
        <v>0.66588909672424101</v>
      </c>
    </row>
    <row r="4749" spans="1:5" x14ac:dyDescent="0.2">
      <c r="A4749">
        <v>0.16588</v>
      </c>
      <c r="B4749">
        <v>0.56529863312374196</v>
      </c>
      <c r="C4749">
        <v>0.52079987557440699</v>
      </c>
      <c r="D4749">
        <v>0.70545950811855196</v>
      </c>
      <c r="E4749">
        <v>0.66617052462809501</v>
      </c>
    </row>
    <row r="4750" spans="1:5" x14ac:dyDescent="0.2">
      <c r="A4750">
        <v>0.166146666666667</v>
      </c>
      <c r="B4750">
        <v>0.56558749779968698</v>
      </c>
      <c r="C4750">
        <v>0.52110381415074802</v>
      </c>
      <c r="D4750">
        <v>0.70571142619800997</v>
      </c>
      <c r="E4750">
        <v>0.666452090755285</v>
      </c>
    </row>
    <row r="4751" spans="1:5" x14ac:dyDescent="0.2">
      <c r="A4751">
        <v>0.166413333333333</v>
      </c>
      <c r="B4751">
        <v>0.56587608082430196</v>
      </c>
      <c r="C4751">
        <v>0.52140744613663403</v>
      </c>
      <c r="D4751">
        <v>0.705963679251563</v>
      </c>
      <c r="E4751">
        <v>0.666733793489376</v>
      </c>
    </row>
    <row r="4752" spans="1:5" x14ac:dyDescent="0.2">
      <c r="A4752">
        <v>0.16667999999999999</v>
      </c>
      <c r="B4752">
        <v>0.56616437781422901</v>
      </c>
      <c r="C4752">
        <v>0.52171077174180103</v>
      </c>
      <c r="D4752">
        <v>0.70621626229217105</v>
      </c>
      <c r="E4752">
        <v>0.66701563121393204</v>
      </c>
    </row>
    <row r="4753" spans="1:5" x14ac:dyDescent="0.2">
      <c r="A4753">
        <v>0.16694666666666699</v>
      </c>
      <c r="B4753">
        <v>0.56645238438611101</v>
      </c>
      <c r="C4753">
        <v>0.52201379117598401</v>
      </c>
      <c r="D4753">
        <v>0.70646917033279499</v>
      </c>
      <c r="E4753">
        <v>0.667297602312517</v>
      </c>
    </row>
    <row r="4754" spans="1:5" x14ac:dyDescent="0.2">
      <c r="A4754">
        <v>0.16721333333333299</v>
      </c>
      <c r="B4754">
        <v>0.56674009615658905</v>
      </c>
      <c r="C4754">
        <v>0.52231650464891999</v>
      </c>
      <c r="D4754">
        <v>0.70672239838639705</v>
      </c>
      <c r="E4754">
        <v>0.66757970516869303</v>
      </c>
    </row>
    <row r="4755" spans="1:5" x14ac:dyDescent="0.2">
      <c r="A4755">
        <v>0.16747999999999999</v>
      </c>
      <c r="B4755">
        <v>0.56702750874230401</v>
      </c>
      <c r="C4755">
        <v>0.52261891237034397</v>
      </c>
      <c r="D4755">
        <v>0.70697594146593601</v>
      </c>
      <c r="E4755">
        <v>0.66786193816602601</v>
      </c>
    </row>
    <row r="4756" spans="1:5" x14ac:dyDescent="0.2">
      <c r="A4756">
        <v>0.16774666666666699</v>
      </c>
      <c r="B4756">
        <v>0.567314617759897</v>
      </c>
      <c r="C4756">
        <v>0.52292101454999096</v>
      </c>
      <c r="D4756">
        <v>0.70722979458437396</v>
      </c>
      <c r="E4756">
        <v>0.66814429968807898</v>
      </c>
    </row>
    <row r="4757" spans="1:5" x14ac:dyDescent="0.2">
      <c r="A4757">
        <v>0.16801333333333299</v>
      </c>
      <c r="B4757">
        <v>0.56760141882601201</v>
      </c>
      <c r="C4757">
        <v>0.52322281139759896</v>
      </c>
      <c r="D4757">
        <v>0.70748395275467002</v>
      </c>
      <c r="E4757">
        <v>0.66842678811841705</v>
      </c>
    </row>
    <row r="4758" spans="1:5" x14ac:dyDescent="0.2">
      <c r="A4758">
        <v>0.16828000000000001</v>
      </c>
      <c r="B4758">
        <v>0.56788790755728802</v>
      </c>
      <c r="C4758">
        <v>0.52352430312290299</v>
      </c>
      <c r="D4758">
        <v>0.70773841098978696</v>
      </c>
      <c r="E4758">
        <v>0.66870940184060201</v>
      </c>
    </row>
    <row r="4759" spans="1:5" x14ac:dyDescent="0.2">
      <c r="A4759">
        <v>0.16854666666666701</v>
      </c>
      <c r="B4759">
        <v>0.56817407957036803</v>
      </c>
      <c r="C4759">
        <v>0.52382548993563804</v>
      </c>
      <c r="D4759">
        <v>0.707993164302685</v>
      </c>
      <c r="E4759">
        <v>0.668992139238199</v>
      </c>
    </row>
    <row r="4760" spans="1:5" x14ac:dyDescent="0.2">
      <c r="A4760">
        <v>0.16881333333333301</v>
      </c>
      <c r="B4760">
        <v>0.56845993048189403</v>
      </c>
      <c r="C4760">
        <v>0.52412637204554102</v>
      </c>
      <c r="D4760">
        <v>0.70824820770632402</v>
      </c>
      <c r="E4760">
        <v>0.66927499869477203</v>
      </c>
    </row>
    <row r="4761" spans="1:5" x14ac:dyDescent="0.2">
      <c r="A4761">
        <v>0.16908000000000001</v>
      </c>
      <c r="B4761">
        <v>0.568745455908506</v>
      </c>
      <c r="C4761">
        <v>0.52442694966234704</v>
      </c>
      <c r="D4761">
        <v>0.70850353621366602</v>
      </c>
      <c r="E4761">
        <v>0.66955797859388499</v>
      </c>
    </row>
    <row r="4762" spans="1:5" x14ac:dyDescent="0.2">
      <c r="A4762">
        <v>0.16934666666666701</v>
      </c>
      <c r="B4762">
        <v>0.56903065146684695</v>
      </c>
      <c r="C4762">
        <v>0.524727222995792</v>
      </c>
      <c r="D4762">
        <v>0.70875914483767</v>
      </c>
      <c r="E4762">
        <v>0.66984107731910103</v>
      </c>
    </row>
    <row r="4763" spans="1:5" x14ac:dyDescent="0.2">
      <c r="A4763">
        <v>0.16961333333333301</v>
      </c>
      <c r="B4763">
        <v>0.56931551277355796</v>
      </c>
      <c r="C4763">
        <v>0.52502719225561201</v>
      </c>
      <c r="D4763">
        <v>0.70901502859129895</v>
      </c>
      <c r="E4763">
        <v>0.67012429325398504</v>
      </c>
    </row>
    <row r="4764" spans="1:5" x14ac:dyDescent="0.2">
      <c r="A4764">
        <v>0.16988</v>
      </c>
      <c r="B4764">
        <v>0.56960003544528104</v>
      </c>
      <c r="C4764">
        <v>0.52532685765154297</v>
      </c>
      <c r="D4764">
        <v>0.70927118248751098</v>
      </c>
      <c r="E4764">
        <v>0.67040762478210003</v>
      </c>
    </row>
    <row r="4765" spans="1:5" x14ac:dyDescent="0.2">
      <c r="A4765">
        <v>0.170146666666667</v>
      </c>
      <c r="B4765">
        <v>0.56988421527975597</v>
      </c>
      <c r="C4765">
        <v>0.52562621941180598</v>
      </c>
      <c r="D4765">
        <v>0.70952760153926997</v>
      </c>
      <c r="E4765">
        <v>0.67069107028701103</v>
      </c>
    </row>
    <row r="4766" spans="1:5" x14ac:dyDescent="0.2">
      <c r="A4766">
        <v>0.170413333333333</v>
      </c>
      <c r="B4766">
        <v>0.57016805140376803</v>
      </c>
      <c r="C4766">
        <v>0.52592527810441403</v>
      </c>
      <c r="D4766">
        <v>0.70978428075953404</v>
      </c>
      <c r="E4766">
        <v>0.67097462815228004</v>
      </c>
    </row>
    <row r="4767" spans="1:5" x14ac:dyDescent="0.2">
      <c r="A4767">
        <v>0.17068</v>
      </c>
      <c r="B4767">
        <v>0.57045154586576996</v>
      </c>
      <c r="C4767">
        <v>0.52622403459559597</v>
      </c>
      <c r="D4767">
        <v>0.71004121516126495</v>
      </c>
      <c r="E4767">
        <v>0.67125829676147297</v>
      </c>
    </row>
    <row r="4768" spans="1:5" x14ac:dyDescent="0.2">
      <c r="A4768">
        <v>0.170946666666667</v>
      </c>
      <c r="B4768">
        <v>0.57073470081340905</v>
      </c>
      <c r="C4768">
        <v>0.52652248976170202</v>
      </c>
      <c r="D4768">
        <v>0.71029839975742304</v>
      </c>
      <c r="E4768">
        <v>0.67154207449815295</v>
      </c>
    </row>
    <row r="4769" spans="1:5" x14ac:dyDescent="0.2">
      <c r="A4769">
        <v>0.171213333333333</v>
      </c>
      <c r="B4769">
        <v>0.57101751839432902</v>
      </c>
      <c r="C4769">
        <v>0.52682064447908605</v>
      </c>
      <c r="D4769">
        <v>0.71055582956096996</v>
      </c>
      <c r="E4769">
        <v>0.67182595974588399</v>
      </c>
    </row>
    <row r="4770" spans="1:5" x14ac:dyDescent="0.2">
      <c r="A4770">
        <v>0.17147999999999999</v>
      </c>
      <c r="B4770">
        <v>0.57130000075617304</v>
      </c>
      <c r="C4770">
        <v>0.52711849962409796</v>
      </c>
      <c r="D4770">
        <v>0.71081349958486495</v>
      </c>
      <c r="E4770">
        <v>0.67210995088823</v>
      </c>
    </row>
    <row r="4771" spans="1:5" x14ac:dyDescent="0.2">
      <c r="A4771">
        <v>0.17174666666666699</v>
      </c>
      <c r="B4771">
        <v>0.57158215004658697</v>
      </c>
      <c r="C4771">
        <v>0.52741605607309106</v>
      </c>
      <c r="D4771">
        <v>0.71107140484207099</v>
      </c>
      <c r="E4771">
        <v>0.67239404630875399</v>
      </c>
    </row>
    <row r="4772" spans="1:5" x14ac:dyDescent="0.2">
      <c r="A4772">
        <v>0.17201333333333299</v>
      </c>
      <c r="B4772">
        <v>0.57186396841321596</v>
      </c>
      <c r="C4772">
        <v>0.527713314702417</v>
      </c>
      <c r="D4772">
        <v>0.71132954034554696</v>
      </c>
      <c r="E4772">
        <v>0.67267824439102097</v>
      </c>
    </row>
    <row r="4773" spans="1:5" x14ac:dyDescent="0.2">
      <c r="A4773">
        <v>0.17227999999999999</v>
      </c>
      <c r="B4773">
        <v>0.57214545800370398</v>
      </c>
      <c r="C4773">
        <v>0.52801027638842601</v>
      </c>
      <c r="D4773">
        <v>0.71158790110825398</v>
      </c>
      <c r="E4773">
        <v>0.67296254351859497</v>
      </c>
    </row>
    <row r="4774" spans="1:5" x14ac:dyDescent="0.2">
      <c r="A4774">
        <v>0.17254666666666699</v>
      </c>
      <c r="B4774">
        <v>0.57242662096569596</v>
      </c>
      <c r="C4774">
        <v>0.52830694200747197</v>
      </c>
      <c r="D4774">
        <v>0.71184648214315405</v>
      </c>
      <c r="E4774">
        <v>0.67324694207503899</v>
      </c>
    </row>
    <row r="4775" spans="1:5" x14ac:dyDescent="0.2">
      <c r="A4775">
        <v>0.17281333333333301</v>
      </c>
      <c r="B4775">
        <v>0.57270745944683699</v>
      </c>
      <c r="C4775">
        <v>0.52860331243590597</v>
      </c>
      <c r="D4775">
        <v>0.71210527846320604</v>
      </c>
      <c r="E4775">
        <v>0.67353143844391705</v>
      </c>
    </row>
    <row r="4776" spans="1:5" x14ac:dyDescent="0.2">
      <c r="A4776">
        <v>0.17308000000000001</v>
      </c>
      <c r="B4776">
        <v>0.57298797559476999</v>
      </c>
      <c r="C4776">
        <v>0.52889938855007901</v>
      </c>
      <c r="D4776">
        <v>0.71236428508137195</v>
      </c>
      <c r="E4776">
        <v>0.67381603100879395</v>
      </c>
    </row>
    <row r="4777" spans="1:5" x14ac:dyDescent="0.2">
      <c r="A4777">
        <v>0.17334666666666701</v>
      </c>
      <c r="B4777">
        <v>0.57326817155714105</v>
      </c>
      <c r="C4777">
        <v>0.52919517122634396</v>
      </c>
      <c r="D4777">
        <v>0.71262349701061201</v>
      </c>
      <c r="E4777">
        <v>0.67410071815323303</v>
      </c>
    </row>
    <row r="4778" spans="1:5" x14ac:dyDescent="0.2">
      <c r="A4778">
        <v>0.17361333333333301</v>
      </c>
      <c r="B4778">
        <v>0.57354804948159499</v>
      </c>
      <c r="C4778">
        <v>0.52949066134105205</v>
      </c>
      <c r="D4778">
        <v>0.71288290926388698</v>
      </c>
      <c r="E4778">
        <v>0.67438549826079797</v>
      </c>
    </row>
    <row r="4779" spans="1:5" x14ac:dyDescent="0.2">
      <c r="A4779">
        <v>0.17388000000000001</v>
      </c>
      <c r="B4779">
        <v>0.57382761151577599</v>
      </c>
      <c r="C4779">
        <v>0.52978585977055603</v>
      </c>
      <c r="D4779">
        <v>0.71314251685415797</v>
      </c>
      <c r="E4779">
        <v>0.67467036971505301</v>
      </c>
    </row>
    <row r="4780" spans="1:5" x14ac:dyDescent="0.2">
      <c r="A4780">
        <v>0.174146666666667</v>
      </c>
      <c r="B4780">
        <v>0.57410685980732801</v>
      </c>
      <c r="C4780">
        <v>0.53008076739120702</v>
      </c>
      <c r="D4780">
        <v>0.71340231479438498</v>
      </c>
      <c r="E4780">
        <v>0.67495533089956095</v>
      </c>
    </row>
    <row r="4781" spans="1:5" x14ac:dyDescent="0.2">
      <c r="A4781">
        <v>0.174413333333333</v>
      </c>
      <c r="B4781">
        <v>0.57438579650389698</v>
      </c>
      <c r="C4781">
        <v>0.530375385079357</v>
      </c>
      <c r="D4781">
        <v>0.71366229809753001</v>
      </c>
      <c r="E4781">
        <v>0.67524038019788801</v>
      </c>
    </row>
    <row r="4782" spans="1:5" x14ac:dyDescent="0.2">
      <c r="A4782">
        <v>0.17468</v>
      </c>
      <c r="B4782">
        <v>0.57466442375312698</v>
      </c>
      <c r="C4782">
        <v>0.53066971371135696</v>
      </c>
      <c r="D4782">
        <v>0.71392246177655305</v>
      </c>
      <c r="E4782">
        <v>0.675525515993596</v>
      </c>
    </row>
    <row r="4783" spans="1:5" x14ac:dyDescent="0.2">
      <c r="A4783">
        <v>0.174946666666667</v>
      </c>
      <c r="B4783">
        <v>0.57494274370266296</v>
      </c>
      <c r="C4783">
        <v>0.53096375416356001</v>
      </c>
      <c r="D4783">
        <v>0.71418280084441499</v>
      </c>
      <c r="E4783">
        <v>0.67581073667025005</v>
      </c>
    </row>
    <row r="4784" spans="1:5" x14ac:dyDescent="0.2">
      <c r="A4784">
        <v>0.175213333333333</v>
      </c>
      <c r="B4784">
        <v>0.57522075850014898</v>
      </c>
      <c r="C4784">
        <v>0.53125750731231802</v>
      </c>
      <c r="D4784">
        <v>0.71444331031407604</v>
      </c>
      <c r="E4784">
        <v>0.67609604061141304</v>
      </c>
    </row>
    <row r="4785" spans="1:5" x14ac:dyDescent="0.2">
      <c r="A4785">
        <v>0.17548</v>
      </c>
      <c r="B4785">
        <v>0.57549847029322998</v>
      </c>
      <c r="C4785">
        <v>0.53155097403398199</v>
      </c>
      <c r="D4785">
        <v>0.71470398519849798</v>
      </c>
      <c r="E4785">
        <v>0.67638142620065</v>
      </c>
    </row>
    <row r="4786" spans="1:5" x14ac:dyDescent="0.2">
      <c r="A4786">
        <v>0.175746666666667</v>
      </c>
      <c r="B4786">
        <v>0.57577588122955004</v>
      </c>
      <c r="C4786">
        <v>0.53184415520490402</v>
      </c>
      <c r="D4786">
        <v>0.71496482051064003</v>
      </c>
      <c r="E4786">
        <v>0.67666689182152295</v>
      </c>
    </row>
    <row r="4787" spans="1:5" x14ac:dyDescent="0.2">
      <c r="A4787">
        <v>0.17601333333333299</v>
      </c>
      <c r="B4787">
        <v>0.57605299345675498</v>
      </c>
      <c r="C4787">
        <v>0.53213705170143599</v>
      </c>
      <c r="D4787">
        <v>0.71522581126346496</v>
      </c>
      <c r="E4787">
        <v>0.67695243585759801</v>
      </c>
    </row>
    <row r="4788" spans="1:5" x14ac:dyDescent="0.2">
      <c r="A4788">
        <v>0.17627999999999999</v>
      </c>
      <c r="B4788">
        <v>0.57632980912248799</v>
      </c>
      <c r="C4788">
        <v>0.532429664399929</v>
      </c>
      <c r="D4788">
        <v>0.71548695246993199</v>
      </c>
      <c r="E4788">
        <v>0.67723805669243897</v>
      </c>
    </row>
    <row r="4789" spans="1:5" x14ac:dyDescent="0.2">
      <c r="A4789">
        <v>0.17654666666666699</v>
      </c>
      <c r="B4789">
        <v>0.57660633037439601</v>
      </c>
      <c r="C4789">
        <v>0.53272199417673705</v>
      </c>
      <c r="D4789">
        <v>0.71574823914300201</v>
      </c>
      <c r="E4789">
        <v>0.67752375270960796</v>
      </c>
    </row>
    <row r="4790" spans="1:5" x14ac:dyDescent="0.2">
      <c r="A4790">
        <v>0.17681333333333299</v>
      </c>
      <c r="B4790">
        <v>0.57688255936012101</v>
      </c>
      <c r="C4790">
        <v>0.53301404190821</v>
      </c>
      <c r="D4790">
        <v>0.716009666295637</v>
      </c>
      <c r="E4790">
        <v>0.67780952229267</v>
      </c>
    </row>
    <row r="4791" spans="1:5" x14ac:dyDescent="0.2">
      <c r="A4791">
        <v>0.17707999999999999</v>
      </c>
      <c r="B4791">
        <v>0.57715849822731002</v>
      </c>
      <c r="C4791">
        <v>0.53330580847069997</v>
      </c>
      <c r="D4791">
        <v>0.71627122894079598</v>
      </c>
      <c r="E4791">
        <v>0.67809536382518898</v>
      </c>
    </row>
    <row r="4792" spans="1:5" x14ac:dyDescent="0.2">
      <c r="A4792">
        <v>0.17734666666666701</v>
      </c>
      <c r="B4792">
        <v>0.57743414912360602</v>
      </c>
      <c r="C4792">
        <v>0.53359729474055895</v>
      </c>
      <c r="D4792">
        <v>0.71653292209144104</v>
      </c>
      <c r="E4792">
        <v>0.67838127569072804</v>
      </c>
    </row>
    <row r="4793" spans="1:5" x14ac:dyDescent="0.2">
      <c r="A4793">
        <v>0.17761333333333301</v>
      </c>
      <c r="B4793">
        <v>0.57770951419665395</v>
      </c>
      <c r="C4793">
        <v>0.53388850159413903</v>
      </c>
      <c r="D4793">
        <v>0.71679474076053196</v>
      </c>
      <c r="E4793">
        <v>0.67866725627285196</v>
      </c>
    </row>
    <row r="4794" spans="1:5" x14ac:dyDescent="0.2">
      <c r="A4794">
        <v>0.17788000000000001</v>
      </c>
      <c r="B4794">
        <v>0.57798459559409898</v>
      </c>
      <c r="C4794">
        <v>0.53417942990779199</v>
      </c>
      <c r="D4794">
        <v>0.71705667996103095</v>
      </c>
      <c r="E4794">
        <v>0.67895330395512499</v>
      </c>
    </row>
    <row r="4795" spans="1:5" x14ac:dyDescent="0.2">
      <c r="A4795">
        <v>0.17814666666666701</v>
      </c>
      <c r="B4795">
        <v>0.57825939546358496</v>
      </c>
      <c r="C4795">
        <v>0.53447008055787004</v>
      </c>
      <c r="D4795">
        <v>0.71731873470589702</v>
      </c>
      <c r="E4795">
        <v>0.67923941712111002</v>
      </c>
    </row>
    <row r="4796" spans="1:5" x14ac:dyDescent="0.2">
      <c r="A4796">
        <v>0.17841333333333301</v>
      </c>
      <c r="B4796">
        <v>0.57853391595275805</v>
      </c>
      <c r="C4796">
        <v>0.53476045442072395</v>
      </c>
      <c r="D4796">
        <v>0.71758090000809205</v>
      </c>
      <c r="E4796">
        <v>0.67952559415437097</v>
      </c>
    </row>
    <row r="4797" spans="1:5" x14ac:dyDescent="0.2">
      <c r="A4797">
        <v>0.17868000000000001</v>
      </c>
      <c r="B4797">
        <v>0.57880815920926099</v>
      </c>
      <c r="C4797">
        <v>0.53505055237270605</v>
      </c>
      <c r="D4797">
        <v>0.71784317088057603</v>
      </c>
      <c r="E4797">
        <v>0.67981183343847296</v>
      </c>
    </row>
    <row r="4798" spans="1:5" x14ac:dyDescent="0.2">
      <c r="A4798">
        <v>0.178946666666667</v>
      </c>
      <c r="B4798">
        <v>0.57908212738074005</v>
      </c>
      <c r="C4798">
        <v>0.53534037529016898</v>
      </c>
      <c r="D4798">
        <v>0.71810554233630997</v>
      </c>
      <c r="E4798">
        <v>0.680098133356979</v>
      </c>
    </row>
    <row r="4799" spans="1:5" x14ac:dyDescent="0.2">
      <c r="A4799">
        <v>0.179213333333333</v>
      </c>
      <c r="B4799">
        <v>0.57935582261483898</v>
      </c>
      <c r="C4799">
        <v>0.53562992404946397</v>
      </c>
      <c r="D4799">
        <v>0.71836800938825596</v>
      </c>
      <c r="E4799">
        <v>0.68038449229345199</v>
      </c>
    </row>
    <row r="4800" spans="1:5" x14ac:dyDescent="0.2">
      <c r="A4800">
        <v>0.17948</v>
      </c>
      <c r="B4800">
        <v>0.57962924705920205</v>
      </c>
      <c r="C4800">
        <v>0.535919199526942</v>
      </c>
      <c r="D4800">
        <v>0.718630567049372</v>
      </c>
      <c r="E4800">
        <v>0.68067090863145796</v>
      </c>
    </row>
    <row r="4801" spans="1:5" x14ac:dyDescent="0.2">
      <c r="A4801">
        <v>0.179746666666667</v>
      </c>
      <c r="B4801">
        <v>0.57990240286147499</v>
      </c>
      <c r="C4801">
        <v>0.53620820259895596</v>
      </c>
      <c r="D4801">
        <v>0.71889321033262199</v>
      </c>
      <c r="E4801">
        <v>0.68095738075455903</v>
      </c>
    </row>
    <row r="4802" spans="1:5" x14ac:dyDescent="0.2">
      <c r="A4802">
        <v>0.180013333333333</v>
      </c>
      <c r="B4802">
        <v>0.580175292169263</v>
      </c>
      <c r="C4802">
        <v>0.53649693414185096</v>
      </c>
      <c r="D4802">
        <v>0.71915593425096402</v>
      </c>
      <c r="E4802">
        <v>0.68124390704632098</v>
      </c>
    </row>
    <row r="4803" spans="1:5" x14ac:dyDescent="0.2">
      <c r="A4803">
        <v>0.18028</v>
      </c>
      <c r="B4803">
        <v>0.58044791676637897</v>
      </c>
      <c r="C4803">
        <v>0.53678539497272904</v>
      </c>
      <c r="D4803">
        <v>0.71941873381735999</v>
      </c>
      <c r="E4803">
        <v>0.68153048589030496</v>
      </c>
    </row>
    <row r="4804" spans="1:5" x14ac:dyDescent="0.2">
      <c r="A4804">
        <v>0.18054666666666699</v>
      </c>
      <c r="B4804">
        <v>0.58072027718366503</v>
      </c>
      <c r="C4804">
        <v>0.53707358570464603</v>
      </c>
      <c r="D4804">
        <v>0.719681604044771</v>
      </c>
      <c r="E4804">
        <v>0.68181711567007797</v>
      </c>
    </row>
    <row r="4805" spans="1:5" x14ac:dyDescent="0.2">
      <c r="A4805">
        <v>0.18081333333333299</v>
      </c>
      <c r="B4805">
        <v>0.58099237368240697</v>
      </c>
      <c r="C4805">
        <v>0.53736150690676099</v>
      </c>
      <c r="D4805">
        <v>0.71994453994615704</v>
      </c>
      <c r="E4805">
        <v>0.68210379476920202</v>
      </c>
    </row>
    <row r="4806" spans="1:5" x14ac:dyDescent="0.2">
      <c r="A4806">
        <v>0.18107999999999999</v>
      </c>
      <c r="B4806">
        <v>0.58126420652389599</v>
      </c>
      <c r="C4806">
        <v>0.53764915914823197</v>
      </c>
      <c r="D4806">
        <v>0.720207536534479</v>
      </c>
      <c r="E4806">
        <v>0.68239052157124103</v>
      </c>
    </row>
    <row r="4807" spans="1:5" x14ac:dyDescent="0.2">
      <c r="A4807">
        <v>0.18134666666666699</v>
      </c>
      <c r="B4807">
        <v>0.58153577596941797</v>
      </c>
      <c r="C4807">
        <v>0.53793654299821902</v>
      </c>
      <c r="D4807">
        <v>0.72047058882269799</v>
      </c>
      <c r="E4807">
        <v>0.682677294459759</v>
      </c>
    </row>
    <row r="4808" spans="1:5" x14ac:dyDescent="0.2">
      <c r="A4808">
        <v>0.18161333333333299</v>
      </c>
      <c r="B4808">
        <v>0.58180708228026201</v>
      </c>
      <c r="C4808">
        <v>0.53822365902588098</v>
      </c>
      <c r="D4808">
        <v>0.720733691823775</v>
      </c>
      <c r="E4808">
        <v>0.68296411181832095</v>
      </c>
    </row>
    <row r="4809" spans="1:5" x14ac:dyDescent="0.2">
      <c r="A4809">
        <v>0.18187999999999999</v>
      </c>
      <c r="B4809">
        <v>0.582078125717716</v>
      </c>
      <c r="C4809">
        <v>0.53851050780037701</v>
      </c>
      <c r="D4809">
        <v>0.72099684055067004</v>
      </c>
      <c r="E4809">
        <v>0.68325097203048901</v>
      </c>
    </row>
    <row r="4810" spans="1:5" x14ac:dyDescent="0.2">
      <c r="A4810">
        <v>0.18214666666666701</v>
      </c>
      <c r="B4810">
        <v>0.58234890654306903</v>
      </c>
      <c r="C4810">
        <v>0.53879708989086506</v>
      </c>
      <c r="D4810">
        <v>0.72126003001634498</v>
      </c>
      <c r="E4810">
        <v>0.68353787347982897</v>
      </c>
    </row>
    <row r="4811" spans="1:5" x14ac:dyDescent="0.2">
      <c r="A4811">
        <v>0.18241333333333301</v>
      </c>
      <c r="B4811">
        <v>0.58261942501760899</v>
      </c>
      <c r="C4811">
        <v>0.53908340586650605</v>
      </c>
      <c r="D4811">
        <v>0.72152325523375904</v>
      </c>
      <c r="E4811">
        <v>0.68382481454990296</v>
      </c>
    </row>
    <row r="4812" spans="1:5" x14ac:dyDescent="0.2">
      <c r="A4812">
        <v>0.18268000000000001</v>
      </c>
      <c r="B4812">
        <v>0.58288968140262398</v>
      </c>
      <c r="C4812">
        <v>0.53936945629645705</v>
      </c>
      <c r="D4812">
        <v>0.721786511215874</v>
      </c>
      <c r="E4812">
        <v>0.68411179362427599</v>
      </c>
    </row>
    <row r="4813" spans="1:5" x14ac:dyDescent="0.2">
      <c r="A4813">
        <v>0.18294666666666701</v>
      </c>
      <c r="B4813">
        <v>0.58315967595940199</v>
      </c>
      <c r="C4813">
        <v>0.539655241749879</v>
      </c>
      <c r="D4813">
        <v>0.72204979297564997</v>
      </c>
      <c r="E4813">
        <v>0.68439880908651196</v>
      </c>
    </row>
    <row r="4814" spans="1:5" x14ac:dyDescent="0.2">
      <c r="A4814">
        <v>0.18321333333333301</v>
      </c>
      <c r="B4814">
        <v>0.58342940894923101</v>
      </c>
      <c r="C4814">
        <v>0.53994076279592895</v>
      </c>
      <c r="D4814">
        <v>0.72231309552604805</v>
      </c>
      <c r="E4814">
        <v>0.68468585932017501</v>
      </c>
    </row>
    <row r="4815" spans="1:5" x14ac:dyDescent="0.2">
      <c r="A4815">
        <v>0.18348</v>
      </c>
      <c r="B4815">
        <v>0.58369888063340103</v>
      </c>
      <c r="C4815">
        <v>0.54022602000376696</v>
      </c>
      <c r="D4815">
        <v>0.72257641388003002</v>
      </c>
      <c r="E4815">
        <v>0.68497294270882703</v>
      </c>
    </row>
    <row r="4816" spans="1:5" x14ac:dyDescent="0.2">
      <c r="A4816">
        <v>0.183746666666667</v>
      </c>
      <c r="B4816">
        <v>0.58396809127319804</v>
      </c>
      <c r="C4816">
        <v>0.54051101394255296</v>
      </c>
      <c r="D4816">
        <v>0.72283974305055498</v>
      </c>
      <c r="E4816">
        <v>0.68526005763603504</v>
      </c>
    </row>
    <row r="4817" spans="1:5" x14ac:dyDescent="0.2">
      <c r="A4817">
        <v>0.184013333333333</v>
      </c>
      <c r="B4817">
        <v>0.58423704112991204</v>
      </c>
      <c r="C4817">
        <v>0.54079574518144402</v>
      </c>
      <c r="D4817">
        <v>0.72310307805058405</v>
      </c>
      <c r="E4817">
        <v>0.68554720248536005</v>
      </c>
    </row>
    <row r="4818" spans="1:5" x14ac:dyDescent="0.2">
      <c r="A4818">
        <v>0.18428</v>
      </c>
      <c r="B4818">
        <v>0.58450573046483001</v>
      </c>
      <c r="C4818">
        <v>0.54108021428959996</v>
      </c>
      <c r="D4818">
        <v>0.72336641389307899</v>
      </c>
      <c r="E4818">
        <v>0.68583437564036798</v>
      </c>
    </row>
    <row r="4819" spans="1:5" x14ac:dyDescent="0.2">
      <c r="A4819">
        <v>0.184546666666667</v>
      </c>
      <c r="B4819">
        <v>0.58477415953923995</v>
      </c>
      <c r="C4819">
        <v>0.54136442183618105</v>
      </c>
      <c r="D4819">
        <v>0.72362974559099902</v>
      </c>
      <c r="E4819">
        <v>0.68612157548462205</v>
      </c>
    </row>
    <row r="4820" spans="1:5" x14ac:dyDescent="0.2">
      <c r="A4820">
        <v>0.184813333333333</v>
      </c>
      <c r="B4820">
        <v>0.58504232861443195</v>
      </c>
      <c r="C4820">
        <v>0.54164836839034403</v>
      </c>
      <c r="D4820">
        <v>0.72389306815730603</v>
      </c>
      <c r="E4820">
        <v>0.68640880040168495</v>
      </c>
    </row>
    <row r="4821" spans="1:5" x14ac:dyDescent="0.2">
      <c r="A4821">
        <v>0.18507999999999999</v>
      </c>
      <c r="B4821">
        <v>0.58531023795169301</v>
      </c>
      <c r="C4821">
        <v>0.54193205452125004</v>
      </c>
      <c r="D4821">
        <v>0.72415637660496102</v>
      </c>
      <c r="E4821">
        <v>0.68669604877512302</v>
      </c>
    </row>
    <row r="4822" spans="1:5" x14ac:dyDescent="0.2">
      <c r="A4822">
        <v>0.18534666666666699</v>
      </c>
      <c r="B4822">
        <v>0.58557788781231102</v>
      </c>
      <c r="C4822">
        <v>0.54221548079805704</v>
      </c>
      <c r="D4822">
        <v>0.72441966594692297</v>
      </c>
      <c r="E4822">
        <v>0.68698331898849796</v>
      </c>
    </row>
    <row r="4823" spans="1:5" x14ac:dyDescent="0.2">
      <c r="A4823">
        <v>0.18561333333333299</v>
      </c>
      <c r="B4823">
        <v>0.58584527845757495</v>
      </c>
      <c r="C4823">
        <v>0.54249864778992396</v>
      </c>
      <c r="D4823">
        <v>0.72468293119615501</v>
      </c>
      <c r="E4823">
        <v>0.68727060942537599</v>
      </c>
    </row>
    <row r="4824" spans="1:5" x14ac:dyDescent="0.2">
      <c r="A4824">
        <v>0.18587999999999999</v>
      </c>
      <c r="B4824">
        <v>0.58611241014877302</v>
      </c>
      <c r="C4824">
        <v>0.54278155606601097</v>
      </c>
      <c r="D4824">
        <v>0.72494616736561601</v>
      </c>
      <c r="E4824">
        <v>0.68755791846931802</v>
      </c>
    </row>
    <row r="4825" spans="1:5" x14ac:dyDescent="0.2">
      <c r="A4825">
        <v>0.18614666666666699</v>
      </c>
      <c r="B4825">
        <v>0.58637928314719301</v>
      </c>
      <c r="C4825">
        <v>0.54306420619547502</v>
      </c>
      <c r="D4825">
        <v>0.72520936946826797</v>
      </c>
      <c r="E4825">
        <v>0.68784524450389095</v>
      </c>
    </row>
    <row r="4826" spans="1:5" x14ac:dyDescent="0.2">
      <c r="A4826">
        <v>0.18641333333333299</v>
      </c>
      <c r="B4826">
        <v>0.58664589771412301</v>
      </c>
      <c r="C4826">
        <v>0.54334659874747704</v>
      </c>
      <c r="D4826">
        <v>0.725472532517071</v>
      </c>
      <c r="E4826">
        <v>0.68813258591265603</v>
      </c>
    </row>
    <row r="4827" spans="1:5" x14ac:dyDescent="0.2">
      <c r="A4827">
        <v>0.18668000000000001</v>
      </c>
      <c r="B4827">
        <v>0.58691225411085202</v>
      </c>
      <c r="C4827">
        <v>0.54362873429117498</v>
      </c>
      <c r="D4827">
        <v>0.72573565152498598</v>
      </c>
      <c r="E4827">
        <v>0.68841994107917903</v>
      </c>
    </row>
    <row r="4828" spans="1:5" x14ac:dyDescent="0.2">
      <c r="A4828">
        <v>0.18694666666666701</v>
      </c>
      <c r="B4828">
        <v>0.58717835259866802</v>
      </c>
      <c r="C4828">
        <v>0.54391061339572899</v>
      </c>
      <c r="D4828">
        <v>0.72599872150497302</v>
      </c>
      <c r="E4828">
        <v>0.68870730838702299</v>
      </c>
    </row>
    <row r="4829" spans="1:5" x14ac:dyDescent="0.2">
      <c r="A4829">
        <v>0.18721333333333301</v>
      </c>
      <c r="B4829">
        <v>0.58744419343885801</v>
      </c>
      <c r="C4829">
        <v>0.54419223663029703</v>
      </c>
      <c r="D4829">
        <v>0.72626173746999401</v>
      </c>
      <c r="E4829">
        <v>0.68899468621975202</v>
      </c>
    </row>
    <row r="4830" spans="1:5" x14ac:dyDescent="0.2">
      <c r="A4830">
        <v>0.18748000000000001</v>
      </c>
      <c r="B4830">
        <v>0.58770977689271298</v>
      </c>
      <c r="C4830">
        <v>0.54447360456403804</v>
      </c>
      <c r="D4830">
        <v>0.72652469443300904</v>
      </c>
      <c r="E4830">
        <v>0.68928207296093102</v>
      </c>
    </row>
    <row r="4831" spans="1:5" x14ac:dyDescent="0.2">
      <c r="A4831">
        <v>0.18774666666666701</v>
      </c>
      <c r="B4831">
        <v>0.58797510322151803</v>
      </c>
      <c r="C4831">
        <v>0.54475471776611195</v>
      </c>
      <c r="D4831">
        <v>0.72678758740698002</v>
      </c>
      <c r="E4831">
        <v>0.68956946699412203</v>
      </c>
    </row>
    <row r="4832" spans="1:5" x14ac:dyDescent="0.2">
      <c r="A4832">
        <v>0.188013333333333</v>
      </c>
      <c r="B4832">
        <v>0.58824017268656403</v>
      </c>
      <c r="C4832">
        <v>0.54503557680567705</v>
      </c>
      <c r="D4832">
        <v>0.72705041140486504</v>
      </c>
      <c r="E4832">
        <v>0.68985686670289004</v>
      </c>
    </row>
    <row r="4833" spans="1:5" x14ac:dyDescent="0.2">
      <c r="A4833">
        <v>0.18828</v>
      </c>
      <c r="B4833">
        <v>0.58850498554913799</v>
      </c>
      <c r="C4833">
        <v>0.54531618225189205</v>
      </c>
      <c r="D4833">
        <v>0.72731316143962799</v>
      </c>
      <c r="E4833">
        <v>0.69014427047079896</v>
      </c>
    </row>
    <row r="4834" spans="1:5" x14ac:dyDescent="0.2">
      <c r="A4834">
        <v>0.188546666666667</v>
      </c>
      <c r="B4834">
        <v>0.58876954207052801</v>
      </c>
      <c r="C4834">
        <v>0.545596534673917</v>
      </c>
      <c r="D4834">
        <v>0.72757583252422697</v>
      </c>
      <c r="E4834">
        <v>0.69043167668141203</v>
      </c>
    </row>
    <row r="4835" spans="1:5" x14ac:dyDescent="0.2">
      <c r="A4835">
        <v>0.188813333333333</v>
      </c>
      <c r="B4835">
        <v>0.58903384251202195</v>
      </c>
      <c r="C4835">
        <v>0.54587663464091096</v>
      </c>
      <c r="D4835">
        <v>0.72783841967162499</v>
      </c>
      <c r="E4835">
        <v>0.69071908371829405</v>
      </c>
    </row>
    <row r="4836" spans="1:5" x14ac:dyDescent="0.2">
      <c r="A4836">
        <v>0.18908</v>
      </c>
      <c r="B4836">
        <v>0.58929788713490905</v>
      </c>
      <c r="C4836">
        <v>0.54615648272203199</v>
      </c>
      <c r="D4836">
        <v>0.72810091789478104</v>
      </c>
      <c r="E4836">
        <v>0.69100648996500802</v>
      </c>
    </row>
    <row r="4837" spans="1:5" x14ac:dyDescent="0.2">
      <c r="A4837">
        <v>0.189346666666667</v>
      </c>
      <c r="B4837">
        <v>0.58956167620047795</v>
      </c>
      <c r="C4837">
        <v>0.54643607948643902</v>
      </c>
      <c r="D4837">
        <v>0.72836332220665601</v>
      </c>
      <c r="E4837">
        <v>0.69129389380511896</v>
      </c>
    </row>
    <row r="4838" spans="1:5" x14ac:dyDescent="0.2">
      <c r="A4838">
        <v>0.189613333333333</v>
      </c>
      <c r="B4838">
        <v>0.58982520997001497</v>
      </c>
      <c r="C4838">
        <v>0.546715425503292</v>
      </c>
      <c r="D4838">
        <v>0.72862562762021199</v>
      </c>
      <c r="E4838">
        <v>0.69158129362219001</v>
      </c>
    </row>
    <row r="4839" spans="1:5" x14ac:dyDescent="0.2">
      <c r="A4839">
        <v>0.18987999999999999</v>
      </c>
      <c r="B4839">
        <v>0.59008848870481001</v>
      </c>
      <c r="C4839">
        <v>0.54699452134174997</v>
      </c>
      <c r="D4839">
        <v>0.72888782914840899</v>
      </c>
      <c r="E4839">
        <v>0.69186868779978505</v>
      </c>
    </row>
    <row r="4840" spans="1:5" x14ac:dyDescent="0.2">
      <c r="A4840">
        <v>0.19014666666666699</v>
      </c>
      <c r="B4840">
        <v>0.59035151267707597</v>
      </c>
      <c r="C4840">
        <v>0.54727336757033096</v>
      </c>
      <c r="D4840">
        <v>0.72914992180420701</v>
      </c>
      <c r="E4840">
        <v>0.69215607472146801</v>
      </c>
    </row>
    <row r="4841" spans="1:5" x14ac:dyDescent="0.2">
      <c r="A4841">
        <v>0.19041333333333299</v>
      </c>
      <c r="B4841">
        <v>0.59061428235985503</v>
      </c>
      <c r="C4841">
        <v>0.54755196474576795</v>
      </c>
      <c r="D4841">
        <v>0.72941190060056804</v>
      </c>
      <c r="E4841">
        <v>0.69244345277080299</v>
      </c>
    </row>
    <row r="4842" spans="1:5" x14ac:dyDescent="0.2">
      <c r="A4842">
        <v>0.19067999999999999</v>
      </c>
      <c r="B4842">
        <v>0.590876798402445</v>
      </c>
      <c r="C4842">
        <v>0.54783031341445398</v>
      </c>
      <c r="D4842">
        <v>0.72967376055045197</v>
      </c>
      <c r="E4842">
        <v>0.69273082033135303</v>
      </c>
    </row>
    <row r="4843" spans="1:5" x14ac:dyDescent="0.2">
      <c r="A4843">
        <v>0.19094666666666699</v>
      </c>
      <c r="B4843">
        <v>0.59113906146012596</v>
      </c>
      <c r="C4843">
        <v>0.54810841412243205</v>
      </c>
      <c r="D4843">
        <v>0.72993549666682001</v>
      </c>
      <c r="E4843">
        <v>0.69301817578668401</v>
      </c>
    </row>
    <row r="4844" spans="1:5" x14ac:dyDescent="0.2">
      <c r="A4844">
        <v>0.19121333333333301</v>
      </c>
      <c r="B4844">
        <v>0.59140107218817795</v>
      </c>
      <c r="C4844">
        <v>0.54838626741574104</v>
      </c>
      <c r="D4844">
        <v>0.73019710396263304</v>
      </c>
      <c r="E4844">
        <v>0.69330551752035796</v>
      </c>
    </row>
    <row r="4845" spans="1:5" x14ac:dyDescent="0.2">
      <c r="A4845">
        <v>0.19148000000000001</v>
      </c>
      <c r="B4845">
        <v>0.59166283124188201</v>
      </c>
      <c r="C4845">
        <v>0.54866387384042403</v>
      </c>
      <c r="D4845">
        <v>0.73045857745085196</v>
      </c>
      <c r="E4845">
        <v>0.69359284391594</v>
      </c>
    </row>
    <row r="4846" spans="1:5" x14ac:dyDescent="0.2">
      <c r="A4846">
        <v>0.19174666666666701</v>
      </c>
      <c r="B4846">
        <v>0.59192433927652</v>
      </c>
      <c r="C4846">
        <v>0.54894123394252203</v>
      </c>
      <c r="D4846">
        <v>0.73071991214443599</v>
      </c>
      <c r="E4846">
        <v>0.69388015335699305</v>
      </c>
    </row>
    <row r="4847" spans="1:5" x14ac:dyDescent="0.2">
      <c r="A4847">
        <v>0.19201333333333301</v>
      </c>
      <c r="B4847">
        <v>0.59218559694737105</v>
      </c>
      <c r="C4847">
        <v>0.54921834826807703</v>
      </c>
      <c r="D4847">
        <v>0.730981103056348</v>
      </c>
      <c r="E4847">
        <v>0.69416744422708199</v>
      </c>
    </row>
    <row r="4848" spans="1:5" x14ac:dyDescent="0.2">
      <c r="A4848">
        <v>0.19228000000000001</v>
      </c>
      <c r="B4848">
        <v>0.59244660490971601</v>
      </c>
      <c r="C4848">
        <v>0.54949521736312901</v>
      </c>
      <c r="D4848">
        <v>0.731242145199547</v>
      </c>
      <c r="E4848">
        <v>0.69445471490976995</v>
      </c>
    </row>
    <row r="4849" spans="1:5" x14ac:dyDescent="0.2">
      <c r="A4849">
        <v>0.192546666666667</v>
      </c>
      <c r="B4849">
        <v>0.59270736381883504</v>
      </c>
      <c r="C4849">
        <v>0.54977184177371996</v>
      </c>
      <c r="D4849">
        <v>0.73150303358699498</v>
      </c>
      <c r="E4849">
        <v>0.69474196378862096</v>
      </c>
    </row>
    <row r="4850" spans="1:5" x14ac:dyDescent="0.2">
      <c r="A4850">
        <v>0.192813333333333</v>
      </c>
      <c r="B4850">
        <v>0.59296787433000997</v>
      </c>
      <c r="C4850">
        <v>0.55004822204589199</v>
      </c>
      <c r="D4850">
        <v>0.73176376323165204</v>
      </c>
      <c r="E4850">
        <v>0.69502918924719903</v>
      </c>
    </row>
    <row r="4851" spans="1:5" x14ac:dyDescent="0.2">
      <c r="A4851">
        <v>0.19308</v>
      </c>
      <c r="B4851">
        <v>0.59322813709852096</v>
      </c>
      <c r="C4851">
        <v>0.55032435872568497</v>
      </c>
      <c r="D4851">
        <v>0.73202432914647897</v>
      </c>
      <c r="E4851">
        <v>0.69531638966906795</v>
      </c>
    </row>
    <row r="4852" spans="1:5" x14ac:dyDescent="0.2">
      <c r="A4852">
        <v>0.193346666666667</v>
      </c>
      <c r="B4852">
        <v>0.59348815277964795</v>
      </c>
      <c r="C4852">
        <v>0.55060025235914201</v>
      </c>
      <c r="D4852">
        <v>0.73228472634443698</v>
      </c>
      <c r="E4852">
        <v>0.69560356343779195</v>
      </c>
    </row>
    <row r="4853" spans="1:5" x14ac:dyDescent="0.2">
      <c r="A4853">
        <v>0.193613333333333</v>
      </c>
      <c r="B4853">
        <v>0.59374792202867299</v>
      </c>
      <c r="C4853">
        <v>0.55087590349230398</v>
      </c>
      <c r="D4853">
        <v>0.73254494983848595</v>
      </c>
      <c r="E4853">
        <v>0.69589070893693505</v>
      </c>
    </row>
    <row r="4854" spans="1:5" x14ac:dyDescent="0.2">
      <c r="A4854">
        <v>0.19388</v>
      </c>
      <c r="B4854">
        <v>0.59400744550087503</v>
      </c>
      <c r="C4854">
        <v>0.55115131267121098</v>
      </c>
      <c r="D4854">
        <v>0.73280499464158699</v>
      </c>
      <c r="E4854">
        <v>0.69617782455006105</v>
      </c>
    </row>
    <row r="4855" spans="1:5" x14ac:dyDescent="0.2">
      <c r="A4855">
        <v>0.19414666666666699</v>
      </c>
      <c r="B4855">
        <v>0.59426672385153601</v>
      </c>
      <c r="C4855">
        <v>0.55142648044190701</v>
      </c>
      <c r="D4855">
        <v>0.73306485576670199</v>
      </c>
      <c r="E4855">
        <v>0.69646490866073296</v>
      </c>
    </row>
    <row r="4856" spans="1:5" x14ac:dyDescent="0.2">
      <c r="A4856">
        <v>0.19441333333333299</v>
      </c>
      <c r="B4856">
        <v>0.59452575773593497</v>
      </c>
      <c r="C4856">
        <v>0.55170140735043105</v>
      </c>
      <c r="D4856">
        <v>0.73332452822678995</v>
      </c>
      <c r="E4856">
        <v>0.69675195965251502</v>
      </c>
    </row>
    <row r="4857" spans="1:5" x14ac:dyDescent="0.2">
      <c r="A4857">
        <v>0.19467999999999999</v>
      </c>
      <c r="B4857">
        <v>0.59478454780935397</v>
      </c>
      <c r="C4857">
        <v>0.55197609394282499</v>
      </c>
      <c r="D4857">
        <v>0.73358400703481297</v>
      </c>
      <c r="E4857">
        <v>0.69703897590897201</v>
      </c>
    </row>
    <row r="4858" spans="1:5" x14ac:dyDescent="0.2">
      <c r="A4858">
        <v>0.19494666666666699</v>
      </c>
      <c r="B4858">
        <v>0.59504309472707395</v>
      </c>
      <c r="C4858">
        <v>0.55225054076513103</v>
      </c>
      <c r="D4858">
        <v>0.73384328720373104</v>
      </c>
      <c r="E4858">
        <v>0.69732595581366696</v>
      </c>
    </row>
    <row r="4859" spans="1:5" x14ac:dyDescent="0.2">
      <c r="A4859">
        <v>0.19521333333333299</v>
      </c>
      <c r="B4859">
        <v>0.59530139914437397</v>
      </c>
      <c r="C4859">
        <v>0.55252474836339005</v>
      </c>
      <c r="D4859">
        <v>0.73410236374650495</v>
      </c>
      <c r="E4859">
        <v>0.697612897750165</v>
      </c>
    </row>
    <row r="4860" spans="1:5" x14ac:dyDescent="0.2">
      <c r="A4860">
        <v>0.19547999999999999</v>
      </c>
      <c r="B4860">
        <v>0.59555946171653595</v>
      </c>
      <c r="C4860">
        <v>0.55279871728364305</v>
      </c>
      <c r="D4860">
        <v>0.73436123167609602</v>
      </c>
      <c r="E4860">
        <v>0.69789980010202801</v>
      </c>
    </row>
    <row r="4861" spans="1:5" x14ac:dyDescent="0.2">
      <c r="A4861">
        <v>0.19574666666666701</v>
      </c>
      <c r="B4861">
        <v>0.59581728309883997</v>
      </c>
      <c r="C4861">
        <v>0.55307244807193301</v>
      </c>
      <c r="D4861">
        <v>0.73461988600546402</v>
      </c>
      <c r="E4861">
        <v>0.69818666125282203</v>
      </c>
    </row>
    <row r="4862" spans="1:5" x14ac:dyDescent="0.2">
      <c r="A4862">
        <v>0.19601333333333301</v>
      </c>
      <c r="B4862">
        <v>0.59607486394656595</v>
      </c>
      <c r="C4862">
        <v>0.55334594127429904</v>
      </c>
      <c r="D4862">
        <v>0.73487832174757095</v>
      </c>
      <c r="E4862">
        <v>0.69847347958610995</v>
      </c>
    </row>
    <row r="4863" spans="1:5" x14ac:dyDescent="0.2">
      <c r="A4863">
        <v>0.19628000000000001</v>
      </c>
      <c r="B4863">
        <v>0.59633220491499594</v>
      </c>
      <c r="C4863">
        <v>0.553619197436785</v>
      </c>
      <c r="D4863">
        <v>0.73513653391537703</v>
      </c>
      <c r="E4863">
        <v>0.69876025348545501</v>
      </c>
    </row>
    <row r="4864" spans="1:5" x14ac:dyDescent="0.2">
      <c r="A4864">
        <v>0.19654666666666701</v>
      </c>
      <c r="B4864">
        <v>0.59658930665940901</v>
      </c>
      <c r="C4864">
        <v>0.55389221710543002</v>
      </c>
      <c r="D4864">
        <v>0.73539451752184204</v>
      </c>
      <c r="E4864">
        <v>0.699046981334422</v>
      </c>
    </row>
    <row r="4865" spans="1:5" x14ac:dyDescent="0.2">
      <c r="A4865">
        <v>0.19681333333333301</v>
      </c>
      <c r="B4865">
        <v>0.59684616983508698</v>
      </c>
      <c r="C4865">
        <v>0.55416500082627695</v>
      </c>
      <c r="D4865">
        <v>0.73565226757992797</v>
      </c>
      <c r="E4865">
        <v>0.69933366151657395</v>
      </c>
    </row>
    <row r="4866" spans="1:5" x14ac:dyDescent="0.2">
      <c r="A4866">
        <v>0.19708000000000001</v>
      </c>
      <c r="B4866">
        <v>0.59710279509731101</v>
      </c>
      <c r="C4866">
        <v>0.55443754914536603</v>
      </c>
      <c r="D4866">
        <v>0.73590977910259503</v>
      </c>
      <c r="E4866">
        <v>0.69962029241547696</v>
      </c>
    </row>
    <row r="4867" spans="1:5" x14ac:dyDescent="0.2">
      <c r="A4867">
        <v>0.197346666666667</v>
      </c>
      <c r="B4867">
        <v>0.59735918310136005</v>
      </c>
      <c r="C4867">
        <v>0.55470986260874</v>
      </c>
      <c r="D4867">
        <v>0.73616704710280501</v>
      </c>
      <c r="E4867">
        <v>0.69990687241469196</v>
      </c>
    </row>
    <row r="4868" spans="1:5" x14ac:dyDescent="0.2">
      <c r="A4868">
        <v>0.197613333333333</v>
      </c>
      <c r="B4868">
        <v>0.59761533450251503</v>
      </c>
      <c r="C4868">
        <v>0.55498194176243898</v>
      </c>
      <c r="D4868">
        <v>0.736424066593517</v>
      </c>
      <c r="E4868">
        <v>0.70019339989778495</v>
      </c>
    </row>
    <row r="4869" spans="1:5" x14ac:dyDescent="0.2">
      <c r="A4869">
        <v>0.19788</v>
      </c>
      <c r="B4869">
        <v>0.597871249956057</v>
      </c>
      <c r="C4869">
        <v>0.55525378715250595</v>
      </c>
      <c r="D4869">
        <v>0.73668083258769201</v>
      </c>
      <c r="E4869">
        <v>0.70047987324831895</v>
      </c>
    </row>
    <row r="4870" spans="1:5" x14ac:dyDescent="0.2">
      <c r="A4870">
        <v>0.198146666666667</v>
      </c>
      <c r="B4870">
        <v>0.59812693011726703</v>
      </c>
      <c r="C4870">
        <v>0.55552539932498002</v>
      </c>
      <c r="D4870">
        <v>0.73693734009829204</v>
      </c>
      <c r="E4870">
        <v>0.70076629084985798</v>
      </c>
    </row>
    <row r="4871" spans="1:5" x14ac:dyDescent="0.2">
      <c r="A4871">
        <v>0.198413333333333</v>
      </c>
      <c r="B4871">
        <v>0.59838237564142505</v>
      </c>
      <c r="C4871">
        <v>0.55579677882590495</v>
      </c>
      <c r="D4871">
        <v>0.73719358413827696</v>
      </c>
      <c r="E4871">
        <v>0.70105265108596704</v>
      </c>
    </row>
    <row r="4872" spans="1:5" x14ac:dyDescent="0.2">
      <c r="A4872">
        <v>0.19868</v>
      </c>
      <c r="B4872">
        <v>0.59863758718381199</v>
      </c>
      <c r="C4872">
        <v>0.55606792620132095</v>
      </c>
      <c r="D4872">
        <v>0.73744955972060799</v>
      </c>
      <c r="E4872">
        <v>0.70133895234020804</v>
      </c>
    </row>
    <row r="4873" spans="1:5" x14ac:dyDescent="0.2">
      <c r="A4873">
        <v>0.19894666666666699</v>
      </c>
      <c r="B4873">
        <v>0.59889256539970803</v>
      </c>
      <c r="C4873">
        <v>0.55633884199726902</v>
      </c>
      <c r="D4873">
        <v>0.73770526185824503</v>
      </c>
      <c r="E4873">
        <v>0.70162519299614601</v>
      </c>
    </row>
    <row r="4874" spans="1:5" x14ac:dyDescent="0.2">
      <c r="A4874">
        <v>0.19921333333333299</v>
      </c>
      <c r="B4874">
        <v>0.599147310944395</v>
      </c>
      <c r="C4874">
        <v>0.55660952675979103</v>
      </c>
      <c r="D4874">
        <v>0.73796068556414995</v>
      </c>
      <c r="E4874">
        <v>0.70191137143734506</v>
      </c>
    </row>
    <row r="4875" spans="1:5" x14ac:dyDescent="0.2">
      <c r="A4875">
        <v>0.19947999999999999</v>
      </c>
      <c r="B4875">
        <v>0.59940182447315205</v>
      </c>
      <c r="C4875">
        <v>0.55687998103492897</v>
      </c>
      <c r="D4875">
        <v>0.73821582585128298</v>
      </c>
      <c r="E4875">
        <v>0.70219748604736798</v>
      </c>
    </row>
    <row r="4876" spans="1:5" x14ac:dyDescent="0.2">
      <c r="A4876">
        <v>0.19974666666666699</v>
      </c>
      <c r="B4876">
        <v>0.59965610664126001</v>
      </c>
      <c r="C4876">
        <v>0.55715020536872295</v>
      </c>
      <c r="D4876">
        <v>0.738470677732604</v>
      </c>
      <c r="E4876">
        <v>0.70248353520978002</v>
      </c>
    </row>
    <row r="4877" spans="1:5" x14ac:dyDescent="0.2">
      <c r="A4877">
        <v>0.20001333333333299</v>
      </c>
      <c r="B4877">
        <v>0.59991015810399595</v>
      </c>
      <c r="C4877">
        <v>0.55742020030721395</v>
      </c>
      <c r="D4877">
        <v>0.738725236221075</v>
      </c>
      <c r="E4877">
        <v>0.70276951730814496</v>
      </c>
    </row>
    <row r="4878" spans="1:5" x14ac:dyDescent="0.2">
      <c r="A4878">
        <v>0.20028000000000001</v>
      </c>
      <c r="B4878">
        <v>0.60016397947852296</v>
      </c>
      <c r="C4878">
        <v>0.55768996638081103</v>
      </c>
      <c r="D4878">
        <v>0.73897949632965598</v>
      </c>
      <c r="E4878">
        <v>0.70305543072602505</v>
      </c>
    </row>
    <row r="4879" spans="1:5" x14ac:dyDescent="0.2">
      <c r="A4879">
        <v>0.20054666666666701</v>
      </c>
      <c r="B4879">
        <v>0.60041757125073003</v>
      </c>
      <c r="C4879">
        <v>0.55795950406608796</v>
      </c>
      <c r="D4879">
        <v>0.73923345307130905</v>
      </c>
      <c r="E4879">
        <v>0.70334127384698597</v>
      </c>
    </row>
    <row r="4880" spans="1:5" x14ac:dyDescent="0.2">
      <c r="A4880">
        <v>0.20081333333333301</v>
      </c>
      <c r="B4880">
        <v>0.60067093387826698</v>
      </c>
      <c r="C4880">
        <v>0.55822881382804002</v>
      </c>
      <c r="D4880">
        <v>0.73948710145899299</v>
      </c>
      <c r="E4880">
        <v>0.70362704505459195</v>
      </c>
    </row>
    <row r="4881" spans="1:5" x14ac:dyDescent="0.2">
      <c r="A4881">
        <v>0.20108000000000001</v>
      </c>
      <c r="B4881">
        <v>0.60092406781878505</v>
      </c>
      <c r="C4881">
        <v>0.55849789613166001</v>
      </c>
      <c r="D4881">
        <v>0.73974043650567001</v>
      </c>
      <c r="E4881">
        <v>0.70391274273240501</v>
      </c>
    </row>
    <row r="4882" spans="1:5" x14ac:dyDescent="0.2">
      <c r="A4882">
        <v>0.20134666666666701</v>
      </c>
      <c r="B4882">
        <v>0.60117697352993305</v>
      </c>
      <c r="C4882">
        <v>0.55876675144194099</v>
      </c>
      <c r="D4882">
        <v>0.73999345322429999</v>
      </c>
      <c r="E4882">
        <v>0.70419836526399004</v>
      </c>
    </row>
    <row r="4883" spans="1:5" x14ac:dyDescent="0.2">
      <c r="A4883">
        <v>0.20161333333333301</v>
      </c>
      <c r="B4883">
        <v>0.60142965146936</v>
      </c>
      <c r="C4883">
        <v>0.559035380223878</v>
      </c>
      <c r="D4883">
        <v>0.74024614662784405</v>
      </c>
      <c r="E4883">
        <v>0.70448391103291097</v>
      </c>
    </row>
    <row r="4884" spans="1:5" x14ac:dyDescent="0.2">
      <c r="A4884">
        <v>0.20188</v>
      </c>
      <c r="B4884">
        <v>0.60168210209471695</v>
      </c>
      <c r="C4884">
        <v>0.55930378294246397</v>
      </c>
      <c r="D4884">
        <v>0.74049851172926295</v>
      </c>
      <c r="E4884">
        <v>0.70476937842273202</v>
      </c>
    </row>
    <row r="4885" spans="1:5" x14ac:dyDescent="0.2">
      <c r="A4885">
        <v>0.202146666666667</v>
      </c>
      <c r="B4885">
        <v>0.60193432586365303</v>
      </c>
      <c r="C4885">
        <v>0.55957196006269205</v>
      </c>
      <c r="D4885">
        <v>0.74075054354151804</v>
      </c>
      <c r="E4885">
        <v>0.70505476581701698</v>
      </c>
    </row>
    <row r="4886" spans="1:5" x14ac:dyDescent="0.2">
      <c r="A4886">
        <v>0.202413333333333</v>
      </c>
      <c r="B4886">
        <v>0.60218632323381804</v>
      </c>
      <c r="C4886">
        <v>0.55983991204955597</v>
      </c>
      <c r="D4886">
        <v>0.74100223707756896</v>
      </c>
      <c r="E4886">
        <v>0.70534007159932899</v>
      </c>
    </row>
    <row r="4887" spans="1:5" x14ac:dyDescent="0.2">
      <c r="A4887">
        <v>0.20268</v>
      </c>
      <c r="B4887">
        <v>0.60243809466286202</v>
      </c>
      <c r="C4887">
        <v>0.56010763936804997</v>
      </c>
      <c r="D4887">
        <v>0.74125358735037705</v>
      </c>
      <c r="E4887">
        <v>0.70562529415323305</v>
      </c>
    </row>
    <row r="4888" spans="1:5" x14ac:dyDescent="0.2">
      <c r="A4888">
        <v>0.202946666666667</v>
      </c>
      <c r="B4888">
        <v>0.602689640608434</v>
      </c>
      <c r="C4888">
        <v>0.560375142483167</v>
      </c>
      <c r="D4888">
        <v>0.74150458937290298</v>
      </c>
      <c r="E4888">
        <v>0.70591043186229196</v>
      </c>
    </row>
    <row r="4889" spans="1:5" x14ac:dyDescent="0.2">
      <c r="A4889">
        <v>0.203213333333333</v>
      </c>
      <c r="B4889">
        <v>0.60294096152818399</v>
      </c>
      <c r="C4889">
        <v>0.56064242185990198</v>
      </c>
      <c r="D4889">
        <v>0.74175523815810696</v>
      </c>
      <c r="E4889">
        <v>0.70619548311006997</v>
      </c>
    </row>
    <row r="4890" spans="1:5" x14ac:dyDescent="0.2">
      <c r="A4890">
        <v>0.20347999999999999</v>
      </c>
      <c r="B4890">
        <v>0.60319205787976204</v>
      </c>
      <c r="C4890">
        <v>0.56090947796324697</v>
      </c>
      <c r="D4890">
        <v>0.74200552871895098</v>
      </c>
      <c r="E4890">
        <v>0.70648044628013196</v>
      </c>
    </row>
    <row r="4891" spans="1:5" x14ac:dyDescent="0.2">
      <c r="A4891">
        <v>0.20374666666666699</v>
      </c>
      <c r="B4891">
        <v>0.60344293012081796</v>
      </c>
      <c r="C4891">
        <v>0.561176311258196</v>
      </c>
      <c r="D4891">
        <v>0.74225545606839505</v>
      </c>
      <c r="E4891">
        <v>0.70676531975603996</v>
      </c>
    </row>
    <row r="4892" spans="1:5" x14ac:dyDescent="0.2">
      <c r="A4892">
        <v>0.20401333333333299</v>
      </c>
      <c r="B4892">
        <v>0.60369357870900098</v>
      </c>
      <c r="C4892">
        <v>0.56144292220974301</v>
      </c>
      <c r="D4892">
        <v>0.74250501521940004</v>
      </c>
      <c r="E4892">
        <v>0.70705010192135997</v>
      </c>
    </row>
    <row r="4893" spans="1:5" x14ac:dyDescent="0.2">
      <c r="A4893">
        <v>0.20427999999999999</v>
      </c>
      <c r="B4893">
        <v>0.60394400410196203</v>
      </c>
      <c r="C4893">
        <v>0.56170931128288104</v>
      </c>
      <c r="D4893">
        <v>0.74275420118492597</v>
      </c>
      <c r="E4893">
        <v>0.70733479115965403</v>
      </c>
    </row>
    <row r="4894" spans="1:5" x14ac:dyDescent="0.2">
      <c r="A4894">
        <v>0.20454666666666699</v>
      </c>
      <c r="B4894">
        <v>0.60419420675734903</v>
      </c>
      <c r="C4894">
        <v>0.56197547894260402</v>
      </c>
      <c r="D4894">
        <v>0.74300300897793503</v>
      </c>
      <c r="E4894">
        <v>0.70761938585448803</v>
      </c>
    </row>
    <row r="4895" spans="1:5" x14ac:dyDescent="0.2">
      <c r="A4895">
        <v>0.20481333333333299</v>
      </c>
      <c r="B4895">
        <v>0.604444187132813</v>
      </c>
      <c r="C4895">
        <v>0.562241425653907</v>
      </c>
      <c r="D4895">
        <v>0.74325143361138701</v>
      </c>
      <c r="E4895">
        <v>0.70790388438942398</v>
      </c>
    </row>
    <row r="4896" spans="1:5" x14ac:dyDescent="0.2">
      <c r="A4896">
        <v>0.20508000000000001</v>
      </c>
      <c r="B4896">
        <v>0.60469394568600399</v>
      </c>
      <c r="C4896">
        <v>0.56250715188178102</v>
      </c>
      <c r="D4896">
        <v>0.74349947009824202</v>
      </c>
      <c r="E4896">
        <v>0.70818828514802601</v>
      </c>
    </row>
    <row r="4897" spans="1:5" x14ac:dyDescent="0.2">
      <c r="A4897">
        <v>0.20534666666666701</v>
      </c>
      <c r="B4897">
        <v>0.604943482874571</v>
      </c>
      <c r="C4897">
        <v>0.56277265809122201</v>
      </c>
      <c r="D4897">
        <v>0.74374711345146305</v>
      </c>
      <c r="E4897">
        <v>0.70847258651385903</v>
      </c>
    </row>
    <row r="4898" spans="1:5" x14ac:dyDescent="0.2">
      <c r="A4898">
        <v>0.20561333333333301</v>
      </c>
      <c r="B4898">
        <v>0.60519279915616297</v>
      </c>
      <c r="C4898">
        <v>0.56303794474722202</v>
      </c>
      <c r="D4898">
        <v>0.74399435868400798</v>
      </c>
      <c r="E4898">
        <v>0.70875678687048704</v>
      </c>
    </row>
    <row r="4899" spans="1:5" x14ac:dyDescent="0.2">
      <c r="A4899">
        <v>0.20588000000000001</v>
      </c>
      <c r="B4899">
        <v>0.60544189498843204</v>
      </c>
      <c r="C4899">
        <v>0.56330301231477498</v>
      </c>
      <c r="D4899">
        <v>0.74424120080884004</v>
      </c>
      <c r="E4899">
        <v>0.70904088460147296</v>
      </c>
    </row>
    <row r="4900" spans="1:5" x14ac:dyDescent="0.2">
      <c r="A4900">
        <v>0.20614666666666701</v>
      </c>
      <c r="B4900">
        <v>0.605690770829025</v>
      </c>
      <c r="C4900">
        <v>0.56356786125887504</v>
      </c>
      <c r="D4900">
        <v>0.744487634838919</v>
      </c>
      <c r="E4900">
        <v>0.70932487809038103</v>
      </c>
    </row>
    <row r="4901" spans="1:5" x14ac:dyDescent="0.2">
      <c r="A4901">
        <v>0.206413333333333</v>
      </c>
      <c r="B4901">
        <v>0.60593942713559401</v>
      </c>
      <c r="C4901">
        <v>0.56383249204451502</v>
      </c>
      <c r="D4901">
        <v>0.74473365578720496</v>
      </c>
      <c r="E4901">
        <v>0.70960876572077503</v>
      </c>
    </row>
    <row r="4902" spans="1:5" x14ac:dyDescent="0.2">
      <c r="A4902">
        <v>0.20668</v>
      </c>
      <c r="B4902">
        <v>0.60618786436578798</v>
      </c>
      <c r="C4902">
        <v>0.56409690513668898</v>
      </c>
      <c r="D4902">
        <v>0.74497925866666004</v>
      </c>
      <c r="E4902">
        <v>0.70989254587621997</v>
      </c>
    </row>
    <row r="4903" spans="1:5" x14ac:dyDescent="0.2">
      <c r="A4903">
        <v>0.206946666666667</v>
      </c>
      <c r="B4903">
        <v>0.60643608297725604</v>
      </c>
      <c r="C4903">
        <v>0.56436110100039105</v>
      </c>
      <c r="D4903">
        <v>0.745224438490244</v>
      </c>
      <c r="E4903">
        <v>0.71017621694027799</v>
      </c>
    </row>
    <row r="4904" spans="1:5" x14ac:dyDescent="0.2">
      <c r="A4904">
        <v>0.207213333333333</v>
      </c>
      <c r="B4904">
        <v>0.60668408342764901</v>
      </c>
      <c r="C4904">
        <v>0.56462508010061496</v>
      </c>
      <c r="D4904">
        <v>0.74546919027091696</v>
      </c>
      <c r="E4904">
        <v>0.71045977729651399</v>
      </c>
    </row>
    <row r="4905" spans="1:5" x14ac:dyDescent="0.2">
      <c r="A4905">
        <v>0.20748</v>
      </c>
      <c r="B4905">
        <v>0.60693186617461603</v>
      </c>
      <c r="C4905">
        <v>0.56488884290235297</v>
      </c>
      <c r="D4905">
        <v>0.74571350902164202</v>
      </c>
      <c r="E4905">
        <v>0.71074322532849199</v>
      </c>
    </row>
    <row r="4906" spans="1:5" x14ac:dyDescent="0.2">
      <c r="A4906">
        <v>0.207746666666667</v>
      </c>
      <c r="B4906">
        <v>0.60717943167580701</v>
      </c>
      <c r="C4906">
        <v>0.56515238987059901</v>
      </c>
      <c r="D4906">
        <v>0.74595738975537695</v>
      </c>
      <c r="E4906">
        <v>0.71102655941977499</v>
      </c>
    </row>
    <row r="4907" spans="1:5" x14ac:dyDescent="0.2">
      <c r="A4907">
        <v>0.20801333333333299</v>
      </c>
      <c r="B4907">
        <v>0.60742678038887199</v>
      </c>
      <c r="C4907">
        <v>0.56541572147034802</v>
      </c>
      <c r="D4907">
        <v>0.74620082748508498</v>
      </c>
      <c r="E4907">
        <v>0.71130977795392802</v>
      </c>
    </row>
    <row r="4908" spans="1:5" x14ac:dyDescent="0.2">
      <c r="A4908">
        <v>0.20827999999999999</v>
      </c>
      <c r="B4908">
        <v>0.60767391277145999</v>
      </c>
      <c r="C4908">
        <v>0.56567883816659303</v>
      </c>
      <c r="D4908">
        <v>0.74644381722372599</v>
      </c>
      <c r="E4908">
        <v>0.71159287931451398</v>
      </c>
    </row>
    <row r="4909" spans="1:5" x14ac:dyDescent="0.2">
      <c r="A4909">
        <v>0.20854666666666699</v>
      </c>
      <c r="B4909">
        <v>0.60792082928122104</v>
      </c>
      <c r="C4909">
        <v>0.56594174042432699</v>
      </c>
      <c r="D4909">
        <v>0.74668635398425998</v>
      </c>
      <c r="E4909">
        <v>0.71187586188509799</v>
      </c>
    </row>
    <row r="4910" spans="1:5" x14ac:dyDescent="0.2">
      <c r="A4910">
        <v>0.20881333333333299</v>
      </c>
      <c r="B4910">
        <v>0.60816753037580495</v>
      </c>
      <c r="C4910">
        <v>0.56620442870854404</v>
      </c>
      <c r="D4910">
        <v>0.74692843277964904</v>
      </c>
      <c r="E4910">
        <v>0.71215872404924296</v>
      </c>
    </row>
    <row r="4911" spans="1:5" x14ac:dyDescent="0.2">
      <c r="A4911">
        <v>0.20907999999999999</v>
      </c>
      <c r="B4911">
        <v>0.60841401651286198</v>
      </c>
      <c r="C4911">
        <v>0.56646690348423701</v>
      </c>
      <c r="D4911">
        <v>0.74717004862285297</v>
      </c>
      <c r="E4911">
        <v>0.71244146419051302</v>
      </c>
    </row>
    <row r="4912" spans="1:5" x14ac:dyDescent="0.2">
      <c r="A4912">
        <v>0.20934666666666699</v>
      </c>
      <c r="B4912">
        <v>0.60866028815004103</v>
      </c>
      <c r="C4912">
        <v>0.56672916521640104</v>
      </c>
      <c r="D4912">
        <v>0.74741119652683297</v>
      </c>
      <c r="E4912">
        <v>0.71272408069247195</v>
      </c>
    </row>
    <row r="4913" spans="1:5" x14ac:dyDescent="0.2">
      <c r="A4913">
        <v>0.20961333333333301</v>
      </c>
      <c r="B4913">
        <v>0.60890634574499203</v>
      </c>
      <c r="C4913">
        <v>0.56699121437002797</v>
      </c>
      <c r="D4913">
        <v>0.74765187150454904</v>
      </c>
      <c r="E4913">
        <v>0.713006571938684</v>
      </c>
    </row>
    <row r="4914" spans="1:5" x14ac:dyDescent="0.2">
      <c r="A4914">
        <v>0.20988000000000001</v>
      </c>
      <c r="B4914">
        <v>0.609152189755366</v>
      </c>
      <c r="C4914">
        <v>0.56725305141011295</v>
      </c>
      <c r="D4914">
        <v>0.74789206856896295</v>
      </c>
      <c r="E4914">
        <v>0.71328893631271395</v>
      </c>
    </row>
    <row r="4915" spans="1:5" x14ac:dyDescent="0.2">
      <c r="A4915">
        <v>0.21014666666666701</v>
      </c>
      <c r="B4915">
        <v>0.60939782063815195</v>
      </c>
      <c r="C4915">
        <v>0.56751467680023104</v>
      </c>
      <c r="D4915">
        <v>0.74813178291112303</v>
      </c>
      <c r="E4915">
        <v>0.71357117219812305</v>
      </c>
    </row>
    <row r="4916" spans="1:5" x14ac:dyDescent="0.2">
      <c r="A4916">
        <v>0.21041333333333301</v>
      </c>
      <c r="B4916">
        <v>0.60964323883822802</v>
      </c>
      <c r="C4916">
        <v>0.56777609097788995</v>
      </c>
      <c r="D4916">
        <v>0.74837101299576303</v>
      </c>
      <c r="E4916">
        <v>0.71385327797847797</v>
      </c>
    </row>
    <row r="4917" spans="1:5" x14ac:dyDescent="0.2">
      <c r="A4917">
        <v>0.21068000000000001</v>
      </c>
      <c r="B4917">
        <v>0.60988844478984106</v>
      </c>
      <c r="C4917">
        <v>0.56803729435771799</v>
      </c>
      <c r="D4917">
        <v>0.74860976016070602</v>
      </c>
      <c r="E4917">
        <v>0.71413525203734096</v>
      </c>
    </row>
    <row r="4918" spans="1:5" x14ac:dyDescent="0.2">
      <c r="A4918">
        <v>0.210946666666667</v>
      </c>
      <c r="B4918">
        <v>0.61013343892687599</v>
      </c>
      <c r="C4918">
        <v>0.56829828735356802</v>
      </c>
      <c r="D4918">
        <v>0.74884802584131505</v>
      </c>
      <c r="E4918">
        <v>0.71441709275827603</v>
      </c>
    </row>
    <row r="4919" spans="1:5" x14ac:dyDescent="0.2">
      <c r="A4919">
        <v>0.211213333333333</v>
      </c>
      <c r="B4919">
        <v>0.61037822168321998</v>
      </c>
      <c r="C4919">
        <v>0.56855907037929299</v>
      </c>
      <c r="D4919">
        <v>0.74908581147295195</v>
      </c>
      <c r="E4919">
        <v>0.71469879852484797</v>
      </c>
    </row>
    <row r="4920" spans="1:5" x14ac:dyDescent="0.2">
      <c r="A4920">
        <v>0.21148</v>
      </c>
      <c r="B4920">
        <v>0.61062279349275805</v>
      </c>
      <c r="C4920">
        <v>0.56881964384874595</v>
      </c>
      <c r="D4920">
        <v>0.74932311849098099</v>
      </c>
      <c r="E4920">
        <v>0.71498036772062001</v>
      </c>
    </row>
    <row r="4921" spans="1:5" x14ac:dyDescent="0.2">
      <c r="A4921">
        <v>0.211746666666667</v>
      </c>
      <c r="B4921">
        <v>0.61086715478937603</v>
      </c>
      <c r="C4921">
        <v>0.56908000817577897</v>
      </c>
      <c r="D4921">
        <v>0.749559948330764</v>
      </c>
      <c r="E4921">
        <v>0.71526179872915696</v>
      </c>
    </row>
    <row r="4922" spans="1:5" x14ac:dyDescent="0.2">
      <c r="A4922">
        <v>0.212013333333333</v>
      </c>
      <c r="B4922">
        <v>0.61111130600695995</v>
      </c>
      <c r="C4922">
        <v>0.56934016377424401</v>
      </c>
      <c r="D4922">
        <v>0.74979630242766404</v>
      </c>
      <c r="E4922">
        <v>0.71554308993402105</v>
      </c>
    </row>
    <row r="4923" spans="1:5" x14ac:dyDescent="0.2">
      <c r="A4923">
        <v>0.21228</v>
      </c>
      <c r="B4923">
        <v>0.61135524757939497</v>
      </c>
      <c r="C4923">
        <v>0.56960011105799402</v>
      </c>
      <c r="D4923">
        <v>0.75003218221704404</v>
      </c>
      <c r="E4923">
        <v>0.71582423971877795</v>
      </c>
    </row>
    <row r="4924" spans="1:5" x14ac:dyDescent="0.2">
      <c r="A4924">
        <v>0.21254666666666699</v>
      </c>
      <c r="B4924">
        <v>0.611598979940566</v>
      </c>
      <c r="C4924">
        <v>0.56985985044088205</v>
      </c>
      <c r="D4924">
        <v>0.75026758913426705</v>
      </c>
      <c r="E4924">
        <v>0.71610524646699003</v>
      </c>
    </row>
    <row r="4925" spans="1:5" x14ac:dyDescent="0.2">
      <c r="A4925">
        <v>0.21281333333333299</v>
      </c>
      <c r="B4925">
        <v>0.61184250352436098</v>
      </c>
      <c r="C4925">
        <v>0.57011938233676096</v>
      </c>
      <c r="D4925">
        <v>0.75050252461469502</v>
      </c>
      <c r="E4925">
        <v>0.71638610856222196</v>
      </c>
    </row>
    <row r="4926" spans="1:5" x14ac:dyDescent="0.2">
      <c r="A4926">
        <v>0.21307999999999999</v>
      </c>
      <c r="B4926">
        <v>0.61208581876466295</v>
      </c>
      <c r="C4926">
        <v>0.57037870715948202</v>
      </c>
      <c r="D4926">
        <v>0.75073699009369199</v>
      </c>
      <c r="E4926">
        <v>0.71666682438803797</v>
      </c>
    </row>
    <row r="4927" spans="1:5" x14ac:dyDescent="0.2">
      <c r="A4927">
        <v>0.21334666666666699</v>
      </c>
      <c r="B4927">
        <v>0.61232892609536005</v>
      </c>
      <c r="C4927">
        <v>0.57063782532289797</v>
      </c>
      <c r="D4927">
        <v>0.75097098700661902</v>
      </c>
      <c r="E4927">
        <v>0.71694739232800098</v>
      </c>
    </row>
    <row r="4928" spans="1:5" x14ac:dyDescent="0.2">
      <c r="A4928">
        <v>0.21361333333333299</v>
      </c>
      <c r="B4928">
        <v>0.61257182595033699</v>
      </c>
      <c r="C4928">
        <v>0.57089673724086298</v>
      </c>
      <c r="D4928">
        <v>0.75120451678884104</v>
      </c>
      <c r="E4928">
        <v>0.71722781076567599</v>
      </c>
    </row>
    <row r="4929" spans="1:5" x14ac:dyDescent="0.2">
      <c r="A4929">
        <v>0.21387999999999999</v>
      </c>
      <c r="B4929">
        <v>0.61281451876348003</v>
      </c>
      <c r="C4929">
        <v>0.57115544332722801</v>
      </c>
      <c r="D4929">
        <v>0.75143758087571999</v>
      </c>
      <c r="E4929">
        <v>0.71750807808462702</v>
      </c>
    </row>
    <row r="4930" spans="1:5" x14ac:dyDescent="0.2">
      <c r="A4930">
        <v>0.21414666666666701</v>
      </c>
      <c r="B4930">
        <v>0.61305700496867399</v>
      </c>
      <c r="C4930">
        <v>0.571413943995846</v>
      </c>
      <c r="D4930">
        <v>0.75167018070261904</v>
      </c>
      <c r="E4930">
        <v>0.71778819266841598</v>
      </c>
    </row>
    <row r="4931" spans="1:5" x14ac:dyDescent="0.2">
      <c r="A4931">
        <v>0.21441333333333301</v>
      </c>
      <c r="B4931">
        <v>0.61329928499980502</v>
      </c>
      <c r="C4931">
        <v>0.57167223966057001</v>
      </c>
      <c r="D4931">
        <v>0.75190231770490001</v>
      </c>
      <c r="E4931">
        <v>0.71806815290060899</v>
      </c>
    </row>
    <row r="4932" spans="1:5" x14ac:dyDescent="0.2">
      <c r="A4932">
        <v>0.21468000000000001</v>
      </c>
      <c r="B4932">
        <v>0.61354135929075804</v>
      </c>
      <c r="C4932">
        <v>0.57193033073525201</v>
      </c>
      <c r="D4932">
        <v>0.75213399331792696</v>
      </c>
      <c r="E4932">
        <v>0.71834795716476896</v>
      </c>
    </row>
    <row r="4933" spans="1:5" x14ac:dyDescent="0.2">
      <c r="A4933">
        <v>0.21494666666666701</v>
      </c>
      <c r="B4933">
        <v>0.61378322827541998</v>
      </c>
      <c r="C4933">
        <v>0.57218821763374605</v>
      </c>
      <c r="D4933">
        <v>0.75236520897706105</v>
      </c>
      <c r="E4933">
        <v>0.71862760384446001</v>
      </c>
    </row>
    <row r="4934" spans="1:5" x14ac:dyDescent="0.2">
      <c r="A4934">
        <v>0.21521333333333301</v>
      </c>
      <c r="B4934">
        <v>0.61402489238767699</v>
      </c>
      <c r="C4934">
        <v>0.57244590076990198</v>
      </c>
      <c r="D4934">
        <v>0.75259596611766699</v>
      </c>
      <c r="E4934">
        <v>0.71890709132324604</v>
      </c>
    </row>
    <row r="4935" spans="1:5" x14ac:dyDescent="0.2">
      <c r="A4935">
        <v>0.21548</v>
      </c>
      <c r="B4935">
        <v>0.614266352061413</v>
      </c>
      <c r="C4935">
        <v>0.57270338055757497</v>
      </c>
      <c r="D4935">
        <v>0.75282626617510695</v>
      </c>
      <c r="E4935">
        <v>0.71918641798469096</v>
      </c>
    </row>
    <row r="4936" spans="1:5" x14ac:dyDescent="0.2">
      <c r="A4936">
        <v>0.215746666666667</v>
      </c>
      <c r="B4936">
        <v>0.61450760773051505</v>
      </c>
      <c r="C4936">
        <v>0.57296065741061597</v>
      </c>
      <c r="D4936">
        <v>0.75305611058474398</v>
      </c>
      <c r="E4936">
        <v>0.71946558221235801</v>
      </c>
    </row>
    <row r="4937" spans="1:5" x14ac:dyDescent="0.2">
      <c r="A4937">
        <v>0.216013333333333</v>
      </c>
      <c r="B4937">
        <v>0.61474865982886895</v>
      </c>
      <c r="C4937">
        <v>0.57321773174287804</v>
      </c>
      <c r="D4937">
        <v>0.75328550078194001</v>
      </c>
      <c r="E4937">
        <v>0.71974458238981198</v>
      </c>
    </row>
    <row r="4938" spans="1:5" x14ac:dyDescent="0.2">
      <c r="A4938">
        <v>0.21628</v>
      </c>
      <c r="B4938">
        <v>0.61498950879035996</v>
      </c>
      <c r="C4938">
        <v>0.57347460396821404</v>
      </c>
      <c r="D4938">
        <v>0.75351443820205799</v>
      </c>
      <c r="E4938">
        <v>0.720023416900617</v>
      </c>
    </row>
    <row r="4939" spans="1:5" x14ac:dyDescent="0.2">
      <c r="A4939">
        <v>0.216546666666667</v>
      </c>
      <c r="B4939">
        <v>0.61523015504887302</v>
      </c>
      <c r="C4939">
        <v>0.57373127450047601</v>
      </c>
      <c r="D4939">
        <v>0.75374292428046197</v>
      </c>
      <c r="E4939">
        <v>0.72030208412833596</v>
      </c>
    </row>
    <row r="4940" spans="1:5" x14ac:dyDescent="0.2">
      <c r="A4940">
        <v>0.216813333333333</v>
      </c>
      <c r="B4940">
        <v>0.61547059903829504</v>
      </c>
      <c r="C4940">
        <v>0.57398774375351802</v>
      </c>
      <c r="D4940">
        <v>0.75397096045251399</v>
      </c>
      <c r="E4940">
        <v>0.720580582456534</v>
      </c>
    </row>
    <row r="4941" spans="1:5" x14ac:dyDescent="0.2">
      <c r="A4941">
        <v>0.21708</v>
      </c>
      <c r="B4941">
        <v>0.61571084119251196</v>
      </c>
      <c r="C4941">
        <v>0.57424401214119003</v>
      </c>
      <c r="D4941">
        <v>0.75419854815357701</v>
      </c>
      <c r="E4941">
        <v>0.72085891026877302</v>
      </c>
    </row>
    <row r="4942" spans="1:5" x14ac:dyDescent="0.2">
      <c r="A4942">
        <v>0.21734666666666699</v>
      </c>
      <c r="B4942">
        <v>0.61595088194540804</v>
      </c>
      <c r="C4942">
        <v>0.57450008007734699</v>
      </c>
      <c r="D4942">
        <v>0.75442568881901295</v>
      </c>
      <c r="E4942">
        <v>0.72113706594861904</v>
      </c>
    </row>
    <row r="4943" spans="1:5" x14ac:dyDescent="0.2">
      <c r="A4943">
        <v>0.21761333333333299</v>
      </c>
      <c r="B4943">
        <v>0.61619072173086997</v>
      </c>
      <c r="C4943">
        <v>0.57475594797583995</v>
      </c>
      <c r="D4943">
        <v>0.75465238388418598</v>
      </c>
      <c r="E4943">
        <v>0.72141504787963495</v>
      </c>
    </row>
    <row r="4944" spans="1:5" x14ac:dyDescent="0.2">
      <c r="A4944">
        <v>0.21787999999999999</v>
      </c>
      <c r="B4944">
        <v>0.61643036098278403</v>
      </c>
      <c r="C4944">
        <v>0.575011616250522</v>
      </c>
      <c r="D4944">
        <v>0.75487863478445905</v>
      </c>
      <c r="E4944">
        <v>0.721692854445385</v>
      </c>
    </row>
    <row r="4945" spans="1:5" x14ac:dyDescent="0.2">
      <c r="A4945">
        <v>0.21814666666666699</v>
      </c>
      <c r="B4945">
        <v>0.61666980013503503</v>
      </c>
      <c r="C4945">
        <v>0.57526708531524695</v>
      </c>
      <c r="D4945">
        <v>0.75510444295519397</v>
      </c>
      <c r="E4945">
        <v>0.72197048402943198</v>
      </c>
    </row>
    <row r="4946" spans="1:5" x14ac:dyDescent="0.2">
      <c r="A4946">
        <v>0.21841333333333299</v>
      </c>
      <c r="B4946">
        <v>0.616909039621509</v>
      </c>
      <c r="C4946">
        <v>0.575522355583865</v>
      </c>
      <c r="D4946">
        <v>0.75532980983175302</v>
      </c>
      <c r="E4946">
        <v>0.72224793501534201</v>
      </c>
    </row>
    <row r="4947" spans="1:5" x14ac:dyDescent="0.2">
      <c r="A4947">
        <v>0.21868000000000001</v>
      </c>
      <c r="B4947">
        <v>0.61714807987609199</v>
      </c>
      <c r="C4947">
        <v>0.57577742747022997</v>
      </c>
      <c r="D4947">
        <v>0.75555473684950103</v>
      </c>
      <c r="E4947">
        <v>0.72252520578667701</v>
      </c>
    </row>
    <row r="4948" spans="1:5" x14ac:dyDescent="0.2">
      <c r="A4948">
        <v>0.21894666666666701</v>
      </c>
      <c r="B4948">
        <v>0.61738692133266904</v>
      </c>
      <c r="C4948">
        <v>0.57603230138819494</v>
      </c>
      <c r="D4948">
        <v>0.75577922544380005</v>
      </c>
      <c r="E4948">
        <v>0.72280229472700197</v>
      </c>
    </row>
    <row r="4949" spans="1:5" x14ac:dyDescent="0.2">
      <c r="A4949">
        <v>0.21921333333333301</v>
      </c>
      <c r="B4949">
        <v>0.61762556442512595</v>
      </c>
      <c r="C4949">
        <v>0.57628697775161197</v>
      </c>
      <c r="D4949">
        <v>0.75600327705001202</v>
      </c>
      <c r="E4949">
        <v>0.72307920021988004</v>
      </c>
    </row>
    <row r="4950" spans="1:5" x14ac:dyDescent="0.2">
      <c r="A4950">
        <v>0.21948000000000001</v>
      </c>
      <c r="B4950">
        <v>0.61786400958734899</v>
      </c>
      <c r="C4950">
        <v>0.57654145697433301</v>
      </c>
      <c r="D4950">
        <v>0.756226893103501</v>
      </c>
      <c r="E4950">
        <v>0.72335592064887499</v>
      </c>
    </row>
    <row r="4951" spans="1:5" x14ac:dyDescent="0.2">
      <c r="A4951">
        <v>0.21974666666666701</v>
      </c>
      <c r="B4951">
        <v>0.61810225725322299</v>
      </c>
      <c r="C4951">
        <v>0.57679573947021201</v>
      </c>
      <c r="D4951">
        <v>0.75645007503962802</v>
      </c>
      <c r="E4951">
        <v>0.72363245439755197</v>
      </c>
    </row>
    <row r="4952" spans="1:5" x14ac:dyDescent="0.2">
      <c r="A4952">
        <v>0.22001333333333301</v>
      </c>
      <c r="B4952">
        <v>0.61834030785663396</v>
      </c>
      <c r="C4952">
        <v>0.57704982565309904</v>
      </c>
      <c r="D4952">
        <v>0.75667282429375804</v>
      </c>
      <c r="E4952">
        <v>0.72390879984947398</v>
      </c>
    </row>
    <row r="4953" spans="1:5" x14ac:dyDescent="0.2">
      <c r="A4953">
        <v>0.22028</v>
      </c>
      <c r="B4953">
        <v>0.61857816182026204</v>
      </c>
      <c r="C4953">
        <v>0.57730371592763596</v>
      </c>
      <c r="D4953">
        <v>0.75689514230125299</v>
      </c>
      <c r="E4953">
        <v>0.72418495538820504</v>
      </c>
    </row>
    <row r="4954" spans="1:5" x14ac:dyDescent="0.2">
      <c r="A4954">
        <v>0.220546666666667</v>
      </c>
      <c r="B4954">
        <v>0.61881581952820497</v>
      </c>
      <c r="C4954">
        <v>0.57755741066674404</v>
      </c>
      <c r="D4954">
        <v>0.75711703049747603</v>
      </c>
      <c r="E4954">
        <v>0.72446091939730906</v>
      </c>
    </row>
    <row r="4955" spans="1:5" x14ac:dyDescent="0.2">
      <c r="A4955">
        <v>0.220813333333333</v>
      </c>
      <c r="B4955">
        <v>0.61905328135625803</v>
      </c>
      <c r="C4955">
        <v>0.57781091023651698</v>
      </c>
      <c r="D4955">
        <v>0.75733849031778899</v>
      </c>
      <c r="E4955">
        <v>0.72473669026035004</v>
      </c>
    </row>
    <row r="4956" spans="1:5" x14ac:dyDescent="0.2">
      <c r="A4956">
        <v>0.22108</v>
      </c>
      <c r="B4956">
        <v>0.61929054768021696</v>
      </c>
      <c r="C4956">
        <v>0.57806421500305205</v>
      </c>
      <c r="D4956">
        <v>0.75755952319755604</v>
      </c>
      <c r="E4956">
        <v>0.725012266360892</v>
      </c>
    </row>
    <row r="4957" spans="1:5" x14ac:dyDescent="0.2">
      <c r="A4957">
        <v>0.221346666666667</v>
      </c>
      <c r="B4957">
        <v>0.61952761887587704</v>
      </c>
      <c r="C4957">
        <v>0.57831732533244395</v>
      </c>
      <c r="D4957">
        <v>0.757780130572139</v>
      </c>
      <c r="E4957">
        <v>0.72528764608249796</v>
      </c>
    </row>
    <row r="4958" spans="1:5" x14ac:dyDescent="0.2">
      <c r="A4958">
        <v>0.221613333333333</v>
      </c>
      <c r="B4958">
        <v>0.61976449531903499</v>
      </c>
      <c r="C4958">
        <v>0.57857024159078796</v>
      </c>
      <c r="D4958">
        <v>0.75800031387690103</v>
      </c>
      <c r="E4958">
        <v>0.72556282780873305</v>
      </c>
    </row>
    <row r="4959" spans="1:5" x14ac:dyDescent="0.2">
      <c r="A4959">
        <v>0.22187999999999999</v>
      </c>
      <c r="B4959">
        <v>0.62000117738548599</v>
      </c>
      <c r="C4959">
        <v>0.578822964144181</v>
      </c>
      <c r="D4959">
        <v>0.75822007454720497</v>
      </c>
      <c r="E4959">
        <v>0.72583780992316005</v>
      </c>
    </row>
    <row r="4960" spans="1:5" x14ac:dyDescent="0.2">
      <c r="A4960">
        <v>0.22214666666666699</v>
      </c>
      <c r="B4960">
        <v>0.62023766545102599</v>
      </c>
      <c r="C4960">
        <v>0.579075493358717</v>
      </c>
      <c r="D4960">
        <v>0.75843941401841297</v>
      </c>
      <c r="E4960">
        <v>0.72611259080934398</v>
      </c>
    </row>
    <row r="4961" spans="1:5" x14ac:dyDescent="0.2">
      <c r="A4961">
        <v>0.22241333333333299</v>
      </c>
      <c r="B4961">
        <v>0.62047395989145204</v>
      </c>
      <c r="C4961">
        <v>0.579327829600494</v>
      </c>
      <c r="D4961">
        <v>0.75865833372588998</v>
      </c>
      <c r="E4961">
        <v>0.72638716885084798</v>
      </c>
    </row>
    <row r="4962" spans="1:5" x14ac:dyDescent="0.2">
      <c r="A4962">
        <v>0.22267999999999999</v>
      </c>
      <c r="B4962">
        <v>0.620710061082558</v>
      </c>
      <c r="C4962">
        <v>0.57957997323560595</v>
      </c>
      <c r="D4962">
        <v>0.75887683510499704</v>
      </c>
      <c r="E4962">
        <v>0.72666154243123704</v>
      </c>
    </row>
    <row r="4963" spans="1:5" x14ac:dyDescent="0.2">
      <c r="A4963">
        <v>0.22294666666666699</v>
      </c>
      <c r="B4963">
        <v>0.62094596940014002</v>
      </c>
      <c r="C4963">
        <v>0.57983192463014799</v>
      </c>
      <c r="D4963">
        <v>0.75909491959109698</v>
      </c>
      <c r="E4963">
        <v>0.72693570993407297</v>
      </c>
    </row>
    <row r="4964" spans="1:5" x14ac:dyDescent="0.2">
      <c r="A4964">
        <v>0.22321333333333301</v>
      </c>
      <c r="B4964">
        <v>0.62118168521999395</v>
      </c>
      <c r="C4964">
        <v>0.58008368415021705</v>
      </c>
      <c r="D4964">
        <v>0.75931258861955298</v>
      </c>
      <c r="E4964">
        <v>0.727209669742922</v>
      </c>
    </row>
    <row r="4965" spans="1:5" x14ac:dyDescent="0.2">
      <c r="A4965">
        <v>0.22348000000000001</v>
      </c>
      <c r="B4965">
        <v>0.62141720891791696</v>
      </c>
      <c r="C4965">
        <v>0.58033525216190895</v>
      </c>
      <c r="D4965">
        <v>0.75952984362572795</v>
      </c>
      <c r="E4965">
        <v>0.72748342024134605</v>
      </c>
    </row>
    <row r="4966" spans="1:5" x14ac:dyDescent="0.2">
      <c r="A4966">
        <v>0.22374666666666701</v>
      </c>
      <c r="B4966">
        <v>0.62165254086970401</v>
      </c>
      <c r="C4966">
        <v>0.58058662903131797</v>
      </c>
      <c r="D4966">
        <v>0.75974668604498496</v>
      </c>
      <c r="E4966">
        <v>0.72775695981291</v>
      </c>
    </row>
    <row r="4967" spans="1:5" x14ac:dyDescent="0.2">
      <c r="A4967">
        <v>0.22401333333333301</v>
      </c>
      <c r="B4967">
        <v>0.62188768145115003</v>
      </c>
      <c r="C4967">
        <v>0.58083781512454102</v>
      </c>
      <c r="D4967">
        <v>0.75996311731268595</v>
      </c>
      <c r="E4967">
        <v>0.72803028684117799</v>
      </c>
    </row>
    <row r="4968" spans="1:5" x14ac:dyDescent="0.2">
      <c r="A4968">
        <v>0.22428000000000001</v>
      </c>
      <c r="B4968">
        <v>0.62212263103805099</v>
      </c>
      <c r="C4968">
        <v>0.58108881080767305</v>
      </c>
      <c r="D4968">
        <v>0.76017913886419497</v>
      </c>
      <c r="E4968">
        <v>0.72830339970971403</v>
      </c>
    </row>
    <row r="4969" spans="1:5" x14ac:dyDescent="0.2">
      <c r="A4969">
        <v>0.22454666666666701</v>
      </c>
      <c r="B4969">
        <v>0.62235739000620405</v>
      </c>
      <c r="C4969">
        <v>0.58133961644680898</v>
      </c>
      <c r="D4969">
        <v>0.76039475213487495</v>
      </c>
      <c r="E4969">
        <v>0.72857629680208102</v>
      </c>
    </row>
    <row r="4970" spans="1:5" x14ac:dyDescent="0.2">
      <c r="A4970">
        <v>0.224813333333333</v>
      </c>
      <c r="B4970">
        <v>0.62259195873140405</v>
      </c>
      <c r="C4970">
        <v>0.58159023240804597</v>
      </c>
      <c r="D4970">
        <v>0.76060995856008695</v>
      </c>
      <c r="E4970">
        <v>0.72884897650184399</v>
      </c>
    </row>
    <row r="4971" spans="1:5" x14ac:dyDescent="0.2">
      <c r="A4971">
        <v>0.22508</v>
      </c>
      <c r="B4971">
        <v>0.62282633758944606</v>
      </c>
      <c r="C4971">
        <v>0.58184065905747995</v>
      </c>
      <c r="D4971">
        <v>0.76082475957519502</v>
      </c>
      <c r="E4971">
        <v>0.72912143719256495</v>
      </c>
    </row>
    <row r="4972" spans="1:5" x14ac:dyDescent="0.2">
      <c r="A4972">
        <v>0.225346666666667</v>
      </c>
      <c r="B4972">
        <v>0.62306052695612801</v>
      </c>
      <c r="C4972">
        <v>0.58209089676120496</v>
      </c>
      <c r="D4972">
        <v>0.76103915661556198</v>
      </c>
      <c r="E4972">
        <v>0.72939367725781001</v>
      </c>
    </row>
    <row r="4973" spans="1:5" x14ac:dyDescent="0.2">
      <c r="A4973">
        <v>0.225613333333333</v>
      </c>
      <c r="B4973">
        <v>0.62329452720724299</v>
      </c>
      <c r="C4973">
        <v>0.58234094588531704</v>
      </c>
      <c r="D4973">
        <v>0.76125315111655101</v>
      </c>
      <c r="E4973">
        <v>0.72966569508114298</v>
      </c>
    </row>
    <row r="4974" spans="1:5" x14ac:dyDescent="0.2">
      <c r="A4974">
        <v>0.22588</v>
      </c>
      <c r="B4974">
        <v>0.62352833871858904</v>
      </c>
      <c r="C4974">
        <v>0.58259080679591202</v>
      </c>
      <c r="D4974">
        <v>0.76146674451352403</v>
      </c>
      <c r="E4974">
        <v>0.72993748904612599</v>
      </c>
    </row>
    <row r="4975" spans="1:5" x14ac:dyDescent="0.2">
      <c r="A4975">
        <v>0.226146666666667</v>
      </c>
      <c r="B4975">
        <v>0.623761961865961</v>
      </c>
      <c r="C4975">
        <v>0.58284047985908605</v>
      </c>
      <c r="D4975">
        <v>0.76167993824184399</v>
      </c>
      <c r="E4975">
        <v>0.73020905753632404</v>
      </c>
    </row>
    <row r="4976" spans="1:5" x14ac:dyDescent="0.2">
      <c r="A4976">
        <v>0.22641333333333299</v>
      </c>
      <c r="B4976">
        <v>0.62399539702515505</v>
      </c>
      <c r="C4976">
        <v>0.58308996544093405</v>
      </c>
      <c r="D4976">
        <v>0.76189273373687505</v>
      </c>
      <c r="E4976">
        <v>0.73048039893530103</v>
      </c>
    </row>
    <row r="4977" spans="1:5" x14ac:dyDescent="0.2">
      <c r="A4977">
        <v>0.22667999999999999</v>
      </c>
      <c r="B4977">
        <v>0.62422864457196603</v>
      </c>
      <c r="C4977">
        <v>0.58333926390755297</v>
      </c>
      <c r="D4977">
        <v>0.76210513243397804</v>
      </c>
      <c r="E4977">
        <v>0.730751511626621</v>
      </c>
    </row>
    <row r="4978" spans="1:5" x14ac:dyDescent="0.2">
      <c r="A4978">
        <v>0.22694666666666699</v>
      </c>
      <c r="B4978">
        <v>0.62446170488219099</v>
      </c>
      <c r="C4978">
        <v>0.58358837562503696</v>
      </c>
      <c r="D4978">
        <v>0.76231713576851801</v>
      </c>
      <c r="E4978">
        <v>0.73102239399384805</v>
      </c>
    </row>
    <row r="4979" spans="1:5" x14ac:dyDescent="0.2">
      <c r="A4979">
        <v>0.22721333333333299</v>
      </c>
      <c r="B4979">
        <v>0.62469457833162401</v>
      </c>
      <c r="C4979">
        <v>0.58383730095948205</v>
      </c>
      <c r="D4979">
        <v>0.762528745175856</v>
      </c>
      <c r="E4979">
        <v>0.73129304442054499</v>
      </c>
    </row>
    <row r="4980" spans="1:5" x14ac:dyDescent="0.2">
      <c r="A4980">
        <v>0.22747999999999999</v>
      </c>
      <c r="B4980">
        <v>0.62492726529606302</v>
      </c>
      <c r="C4980">
        <v>0.58408604027698396</v>
      </c>
      <c r="D4980">
        <v>0.76273996209135497</v>
      </c>
      <c r="E4980">
        <v>0.73156346129027605</v>
      </c>
    </row>
    <row r="4981" spans="1:5" x14ac:dyDescent="0.2">
      <c r="A4981">
        <v>0.22774666666666701</v>
      </c>
      <c r="B4981">
        <v>0.62515976615130298</v>
      </c>
      <c r="C4981">
        <v>0.58433459394363896</v>
      </c>
      <c r="D4981">
        <v>0.76295078795037896</v>
      </c>
      <c r="E4981">
        <v>0.73183364298660603</v>
      </c>
    </row>
    <row r="4982" spans="1:5" x14ac:dyDescent="0.2">
      <c r="A4982">
        <v>0.22801333333333301</v>
      </c>
      <c r="B4982">
        <v>0.62539208127313906</v>
      </c>
      <c r="C4982">
        <v>0.58458296232554097</v>
      </c>
      <c r="D4982">
        <v>0.76316122418829002</v>
      </c>
      <c r="E4982">
        <v>0.73210358789309804</v>
      </c>
    </row>
    <row r="4983" spans="1:5" x14ac:dyDescent="0.2">
      <c r="A4983">
        <v>0.22828000000000001</v>
      </c>
      <c r="B4983">
        <v>0.62562421103736698</v>
      </c>
      <c r="C4983">
        <v>0.58483114578878803</v>
      </c>
      <c r="D4983">
        <v>0.76337127224044998</v>
      </c>
      <c r="E4983">
        <v>0.732373294393317</v>
      </c>
    </row>
    <row r="4984" spans="1:5" x14ac:dyDescent="0.2">
      <c r="A4984">
        <v>0.22854666666666701</v>
      </c>
      <c r="B4984">
        <v>0.62585615581978304</v>
      </c>
      <c r="C4984">
        <v>0.58507914469947397</v>
      </c>
      <c r="D4984">
        <v>0.76358093354222401</v>
      </c>
      <c r="E4984">
        <v>0.73264276087082503</v>
      </c>
    </row>
    <row r="4985" spans="1:5" x14ac:dyDescent="0.2">
      <c r="A4985">
        <v>0.22881333333333301</v>
      </c>
      <c r="B4985">
        <v>0.62608791599618396</v>
      </c>
      <c r="C4985">
        <v>0.58532695942369495</v>
      </c>
      <c r="D4985">
        <v>0.76379020952897303</v>
      </c>
      <c r="E4985">
        <v>0.73291198570918703</v>
      </c>
    </row>
    <row r="4986" spans="1:5" x14ac:dyDescent="0.2">
      <c r="A4986">
        <v>0.22908000000000001</v>
      </c>
      <c r="B4986">
        <v>0.62631949194236403</v>
      </c>
      <c r="C4986">
        <v>0.585574590327547</v>
      </c>
      <c r="D4986">
        <v>0.763999101636061</v>
      </c>
      <c r="E4986">
        <v>0.73318096729196702</v>
      </c>
    </row>
    <row r="4987" spans="1:5" x14ac:dyDescent="0.2">
      <c r="A4987">
        <v>0.229346666666667</v>
      </c>
      <c r="B4987">
        <v>0.62655088403411996</v>
      </c>
      <c r="C4987">
        <v>0.58582203777712605</v>
      </c>
      <c r="D4987">
        <v>0.76420761129884995</v>
      </c>
      <c r="E4987">
        <v>0.73344970400272902</v>
      </c>
    </row>
    <row r="4988" spans="1:5" x14ac:dyDescent="0.2">
      <c r="A4988">
        <v>0.229613333333333</v>
      </c>
      <c r="B4988">
        <v>0.62678209264724705</v>
      </c>
      <c r="C4988">
        <v>0.58606930213852604</v>
      </c>
      <c r="D4988">
        <v>0.76441573995270296</v>
      </c>
      <c r="E4988">
        <v>0.73371819422503703</v>
      </c>
    </row>
    <row r="4989" spans="1:5" x14ac:dyDescent="0.2">
      <c r="A4989">
        <v>0.22988</v>
      </c>
      <c r="B4989">
        <v>0.62701311815754102</v>
      </c>
      <c r="C4989">
        <v>0.58631638377784501</v>
      </c>
      <c r="D4989">
        <v>0.76462348903298305</v>
      </c>
      <c r="E4989">
        <v>0.73398643634245397</v>
      </c>
    </row>
    <row r="4990" spans="1:5" x14ac:dyDescent="0.2">
      <c r="A4990">
        <v>0.230146666666667</v>
      </c>
      <c r="B4990">
        <v>0.62724396093971002</v>
      </c>
      <c r="C4990">
        <v>0.58656328306008598</v>
      </c>
      <c r="D4990">
        <v>0.76483085997505296</v>
      </c>
      <c r="E4990">
        <v>0.73425442873854496</v>
      </c>
    </row>
    <row r="4991" spans="1:5" x14ac:dyDescent="0.2">
      <c r="A4991">
        <v>0.230413333333333</v>
      </c>
      <c r="B4991">
        <v>0.627474621348457</v>
      </c>
      <c r="C4991">
        <v>0.58681000033021402</v>
      </c>
      <c r="D4991">
        <v>0.76503785421427495</v>
      </c>
      <c r="E4991">
        <v>0.73452216979687301</v>
      </c>
    </row>
    <row r="4992" spans="1:5" x14ac:dyDescent="0.2">
      <c r="A4992">
        <v>0.23068</v>
      </c>
      <c r="B4992">
        <v>0.62770509972093202</v>
      </c>
      <c r="C4992">
        <v>0.58705653591560603</v>
      </c>
      <c r="D4992">
        <v>0.76524447318601296</v>
      </c>
      <c r="E4992">
        <v>0.73478965790100303</v>
      </c>
    </row>
    <row r="4993" spans="1:5" x14ac:dyDescent="0.2">
      <c r="A4993">
        <v>0.23094666666666699</v>
      </c>
      <c r="B4993">
        <v>0.62793539639368701</v>
      </c>
      <c r="C4993">
        <v>0.58730289014303705</v>
      </c>
      <c r="D4993">
        <v>0.76545071832563005</v>
      </c>
      <c r="E4993">
        <v>0.73505689143449704</v>
      </c>
    </row>
    <row r="4994" spans="1:5" x14ac:dyDescent="0.2">
      <c r="A4994">
        <v>0.23121333333333299</v>
      </c>
      <c r="B4994">
        <v>0.62816551170327395</v>
      </c>
      <c r="C4994">
        <v>0.58754906333928802</v>
      </c>
      <c r="D4994">
        <v>0.76565659106848705</v>
      </c>
      <c r="E4994">
        <v>0.73532386878092104</v>
      </c>
    </row>
    <row r="4995" spans="1:5" x14ac:dyDescent="0.2">
      <c r="A4995">
        <v>0.23147999999999999</v>
      </c>
      <c r="B4995">
        <v>0.62839544598624497</v>
      </c>
      <c r="C4995">
        <v>0.587795055831136</v>
      </c>
      <c r="D4995">
        <v>0.765862092849948</v>
      </c>
      <c r="E4995">
        <v>0.73559058832383795</v>
      </c>
    </row>
    <row r="4996" spans="1:5" x14ac:dyDescent="0.2">
      <c r="A4996">
        <v>0.23174666666666699</v>
      </c>
      <c r="B4996">
        <v>0.62862519957915297</v>
      </c>
      <c r="C4996">
        <v>0.58804086794536004</v>
      </c>
      <c r="D4996">
        <v>0.76606722510537695</v>
      </c>
      <c r="E4996">
        <v>0.73585704844681199</v>
      </c>
    </row>
    <row r="4997" spans="1:5" x14ac:dyDescent="0.2">
      <c r="A4997">
        <v>0.23201333333333299</v>
      </c>
      <c r="B4997">
        <v>0.62885477281855096</v>
      </c>
      <c r="C4997">
        <v>0.58828650000873595</v>
      </c>
      <c r="D4997">
        <v>0.76627198927013496</v>
      </c>
      <c r="E4997">
        <v>0.73612324753340597</v>
      </c>
    </row>
    <row r="4998" spans="1:5" x14ac:dyDescent="0.2">
      <c r="A4998">
        <v>0.23227999999999999</v>
      </c>
      <c r="B4998">
        <v>0.62908416604099104</v>
      </c>
      <c r="C4998">
        <v>0.58853195234804501</v>
      </c>
      <c r="D4998">
        <v>0.76647638677958496</v>
      </c>
      <c r="E4998">
        <v>0.736389183967185</v>
      </c>
    </row>
    <row r="4999" spans="1:5" x14ac:dyDescent="0.2">
      <c r="A4999">
        <v>0.23254666666666701</v>
      </c>
      <c r="B4999">
        <v>0.62931337958302502</v>
      </c>
      <c r="C4999">
        <v>0.58877722529006304</v>
      </c>
      <c r="D4999">
        <v>0.76668041906909101</v>
      </c>
      <c r="E4999">
        <v>0.736654856131713</v>
      </c>
    </row>
    <row r="5000" spans="1:5" x14ac:dyDescent="0.2">
      <c r="A5000">
        <v>0.23281333333333301</v>
      </c>
      <c r="B5000">
        <v>0.62954241378120601</v>
      </c>
      <c r="C5000">
        <v>0.589022319161569</v>
      </c>
      <c r="D5000">
        <v>0.76688408757401405</v>
      </c>
      <c r="E5000">
        <v>0.73692026241055297</v>
      </c>
    </row>
    <row r="5001" spans="1:5" x14ac:dyDescent="0.2">
      <c r="A5001">
        <v>0.23308000000000001</v>
      </c>
      <c r="B5001">
        <v>0.62977126897208602</v>
      </c>
      <c r="C5001">
        <v>0.58926723428934102</v>
      </c>
      <c r="D5001">
        <v>0.76708739372971901</v>
      </c>
      <c r="E5001">
        <v>0.73718540118727005</v>
      </c>
    </row>
    <row r="5002" spans="1:5" x14ac:dyDescent="0.2">
      <c r="A5002">
        <v>0.23334666666666701</v>
      </c>
      <c r="B5002">
        <v>0.62999994549221705</v>
      </c>
      <c r="C5002">
        <v>0.58951197100015795</v>
      </c>
      <c r="D5002">
        <v>0.76729033897156795</v>
      </c>
      <c r="E5002">
        <v>0.73745027084542703</v>
      </c>
    </row>
    <row r="5003" spans="1:5" x14ac:dyDescent="0.2">
      <c r="A5003">
        <v>0.23361333333333301</v>
      </c>
      <c r="B5003">
        <v>0.63022844367815301</v>
      </c>
      <c r="C5003">
        <v>0.58975652962079705</v>
      </c>
      <c r="D5003">
        <v>0.76749292473492303</v>
      </c>
      <c r="E5003">
        <v>0.73771486976858902</v>
      </c>
    </row>
    <row r="5004" spans="1:5" x14ac:dyDescent="0.2">
      <c r="A5004">
        <v>0.23388</v>
      </c>
      <c r="B5004">
        <v>0.630456763866445</v>
      </c>
      <c r="C5004">
        <v>0.59000091047803704</v>
      </c>
      <c r="D5004">
        <v>0.76769515245514797</v>
      </c>
      <c r="E5004">
        <v>0.73797919634031806</v>
      </c>
    </row>
    <row r="5005" spans="1:5" x14ac:dyDescent="0.2">
      <c r="A5005">
        <v>0.234146666666667</v>
      </c>
      <c r="B5005">
        <v>0.63068490639364505</v>
      </c>
      <c r="C5005">
        <v>0.59024511389865597</v>
      </c>
      <c r="D5005">
        <v>0.76789702356760503</v>
      </c>
      <c r="E5005">
        <v>0.73824324894417903</v>
      </c>
    </row>
    <row r="5006" spans="1:5" x14ac:dyDescent="0.2">
      <c r="A5006">
        <v>0.234413333333333</v>
      </c>
      <c r="B5006">
        <v>0.63091287159630804</v>
      </c>
      <c r="C5006">
        <v>0.590489140209432</v>
      </c>
      <c r="D5006">
        <v>0.76809853950765705</v>
      </c>
      <c r="E5006">
        <v>0.73850702596373696</v>
      </c>
    </row>
    <row r="5007" spans="1:5" x14ac:dyDescent="0.2">
      <c r="A5007">
        <v>0.23468</v>
      </c>
      <c r="B5007">
        <v>0.63114065981098399</v>
      </c>
      <c r="C5007">
        <v>0.59073298973714305</v>
      </c>
      <c r="D5007">
        <v>0.76829970171066697</v>
      </c>
      <c r="E5007">
        <v>0.73877052578255398</v>
      </c>
    </row>
    <row r="5008" spans="1:5" x14ac:dyDescent="0.2">
      <c r="A5008">
        <v>0.234946666666667</v>
      </c>
      <c r="B5008">
        <v>0.63136827137422602</v>
      </c>
      <c r="C5008">
        <v>0.59097666280856698</v>
      </c>
      <c r="D5008">
        <v>0.76850051161199795</v>
      </c>
      <c r="E5008">
        <v>0.73903374678419498</v>
      </c>
    </row>
    <row r="5009" spans="1:5" x14ac:dyDescent="0.2">
      <c r="A5009">
        <v>0.235213333333333</v>
      </c>
      <c r="B5009">
        <v>0.63159570662258702</v>
      </c>
      <c r="C5009">
        <v>0.59122015975048303</v>
      </c>
      <c r="D5009">
        <v>0.76870097064701304</v>
      </c>
      <c r="E5009">
        <v>0.73929668735222398</v>
      </c>
    </row>
    <row r="5010" spans="1:5" x14ac:dyDescent="0.2">
      <c r="A5010">
        <v>0.23547999999999999</v>
      </c>
      <c r="B5010">
        <v>0.63182296589261899</v>
      </c>
      <c r="C5010">
        <v>0.59146348088966905</v>
      </c>
      <c r="D5010">
        <v>0.76890108025107395</v>
      </c>
      <c r="E5010">
        <v>0.739559345870204</v>
      </c>
    </row>
    <row r="5011" spans="1:5" x14ac:dyDescent="0.2">
      <c r="A5011">
        <v>0.23574666666666699</v>
      </c>
      <c r="B5011">
        <v>0.63205004952087396</v>
      </c>
      <c r="C5011">
        <v>0.59170662655290296</v>
      </c>
      <c r="D5011">
        <v>0.76910084185954397</v>
      </c>
      <c r="E5011">
        <v>0.73982172072169905</v>
      </c>
    </row>
    <row r="5012" spans="1:5" x14ac:dyDescent="0.2">
      <c r="A5012">
        <v>0.23601333333333299</v>
      </c>
      <c r="B5012">
        <v>0.63227695784390503</v>
      </c>
      <c r="C5012">
        <v>0.59194959706696304</v>
      </c>
      <c r="D5012">
        <v>0.76930025690778703</v>
      </c>
      <c r="E5012">
        <v>0.74008381029027404</v>
      </c>
    </row>
    <row r="5013" spans="1:5" x14ac:dyDescent="0.2">
      <c r="A5013">
        <v>0.23627999999999999</v>
      </c>
      <c r="B5013">
        <v>0.63250369119826499</v>
      </c>
      <c r="C5013">
        <v>0.59219239275862701</v>
      </c>
      <c r="D5013">
        <v>0.76949932683116495</v>
      </c>
      <c r="E5013">
        <v>0.74034561295949297</v>
      </c>
    </row>
    <row r="5014" spans="1:5" x14ac:dyDescent="0.2">
      <c r="A5014">
        <v>0.23654666666666699</v>
      </c>
      <c r="B5014">
        <v>0.63273024992050597</v>
      </c>
      <c r="C5014">
        <v>0.59243501395467402</v>
      </c>
      <c r="D5014">
        <v>0.76969805306504002</v>
      </c>
      <c r="E5014">
        <v>0.74060712711291798</v>
      </c>
    </row>
    <row r="5015" spans="1:5" x14ac:dyDescent="0.2">
      <c r="A5015">
        <v>0.23681333333333299</v>
      </c>
      <c r="B5015">
        <v>0.63295663434717897</v>
      </c>
      <c r="C5015">
        <v>0.59267746098188101</v>
      </c>
      <c r="D5015">
        <v>0.76989643704477595</v>
      </c>
      <c r="E5015">
        <v>0.74086835113411498</v>
      </c>
    </row>
    <row r="5016" spans="1:5" x14ac:dyDescent="0.2">
      <c r="A5016">
        <v>0.23708000000000001</v>
      </c>
      <c r="B5016">
        <v>0.633182844814839</v>
      </c>
      <c r="C5016">
        <v>0.59291973416702703</v>
      </c>
      <c r="D5016">
        <v>0.77009448020573601</v>
      </c>
      <c r="E5016">
        <v>0.74112928340664597</v>
      </c>
    </row>
    <row r="5017" spans="1:5" x14ac:dyDescent="0.2">
      <c r="A5017">
        <v>0.23734666666666701</v>
      </c>
      <c r="B5017">
        <v>0.63340888166003595</v>
      </c>
      <c r="C5017">
        <v>0.59316183383689103</v>
      </c>
      <c r="D5017">
        <v>0.77029218398328203</v>
      </c>
      <c r="E5017">
        <v>0.74138992231407597</v>
      </c>
    </row>
    <row r="5018" spans="1:5" x14ac:dyDescent="0.2">
      <c r="A5018">
        <v>0.23761333333333301</v>
      </c>
      <c r="B5018">
        <v>0.63363474521932395</v>
      </c>
      <c r="C5018">
        <v>0.59340376031824904</v>
      </c>
      <c r="D5018">
        <v>0.77048954981277695</v>
      </c>
      <c r="E5018">
        <v>0.74165026623996999</v>
      </c>
    </row>
    <row r="5019" spans="1:5" x14ac:dyDescent="0.2">
      <c r="A5019">
        <v>0.23788000000000001</v>
      </c>
      <c r="B5019">
        <v>0.633860435829255</v>
      </c>
      <c r="C5019">
        <v>0.59364551393788101</v>
      </c>
      <c r="D5019">
        <v>0.77068657912958405</v>
      </c>
      <c r="E5019">
        <v>0.74191031356788895</v>
      </c>
    </row>
    <row r="5020" spans="1:5" x14ac:dyDescent="0.2">
      <c r="A5020">
        <v>0.23814666666666701</v>
      </c>
      <c r="B5020">
        <v>0.634085953826382</v>
      </c>
      <c r="C5020">
        <v>0.59388709502256398</v>
      </c>
      <c r="D5020">
        <v>0.77088327336906604</v>
      </c>
      <c r="E5020">
        <v>0.74217006268139996</v>
      </c>
    </row>
    <row r="5021" spans="1:5" x14ac:dyDescent="0.2">
      <c r="A5021">
        <v>0.23841333333333301</v>
      </c>
      <c r="B5021">
        <v>0.63431129954725596</v>
      </c>
      <c r="C5021">
        <v>0.59412850389907701</v>
      </c>
      <c r="D5021">
        <v>0.77107963396658596</v>
      </c>
      <c r="E5021">
        <v>0.74242951196406404</v>
      </c>
    </row>
    <row r="5022" spans="1:5" x14ac:dyDescent="0.2">
      <c r="A5022">
        <v>0.23868</v>
      </c>
      <c r="B5022">
        <v>0.63453647332843</v>
      </c>
      <c r="C5022">
        <v>0.59436974089419803</v>
      </c>
      <c r="D5022">
        <v>0.771275662357506</v>
      </c>
      <c r="E5022">
        <v>0.74268865979944798</v>
      </c>
    </row>
    <row r="5023" spans="1:5" x14ac:dyDescent="0.2">
      <c r="A5023">
        <v>0.238946666666667</v>
      </c>
      <c r="B5023">
        <v>0.63476147550645701</v>
      </c>
      <c r="C5023">
        <v>0.59461080633470598</v>
      </c>
      <c r="D5023">
        <v>0.77147135997718996</v>
      </c>
      <c r="E5023">
        <v>0.74294750457111303</v>
      </c>
    </row>
    <row r="5024" spans="1:5" x14ac:dyDescent="0.2">
      <c r="A5024">
        <v>0.239213333333333</v>
      </c>
      <c r="B5024">
        <v>0.63498630641789</v>
      </c>
      <c r="C5024">
        <v>0.59485170054737702</v>
      </c>
      <c r="D5024">
        <v>0.77166672826099902</v>
      </c>
      <c r="E5024">
        <v>0.74320604466262497</v>
      </c>
    </row>
    <row r="5025" spans="1:5" x14ac:dyDescent="0.2">
      <c r="A5025">
        <v>0.23948</v>
      </c>
      <c r="B5025">
        <v>0.63521096639927899</v>
      </c>
      <c r="C5025">
        <v>0.59509242385899097</v>
      </c>
      <c r="D5025">
        <v>0.77186176864429801</v>
      </c>
      <c r="E5025">
        <v>0.74346427845754703</v>
      </c>
    </row>
    <row r="5026" spans="1:5" x14ac:dyDescent="0.2">
      <c r="A5026">
        <v>0.239746666666667</v>
      </c>
      <c r="B5026">
        <v>0.63543545578717897</v>
      </c>
      <c r="C5026">
        <v>0.595332976596325</v>
      </c>
      <c r="D5026">
        <v>0.77205648256244797</v>
      </c>
      <c r="E5026">
        <v>0.74372220433944203</v>
      </c>
    </row>
    <row r="5027" spans="1:5" x14ac:dyDescent="0.2">
      <c r="A5027">
        <v>0.240013333333333</v>
      </c>
      <c r="B5027">
        <v>0.63565977491814096</v>
      </c>
      <c r="C5027">
        <v>0.59557335908615705</v>
      </c>
      <c r="D5027">
        <v>0.77225087145081395</v>
      </c>
      <c r="E5027">
        <v>0.74397982069187596</v>
      </c>
    </row>
    <row r="5028" spans="1:5" x14ac:dyDescent="0.2">
      <c r="A5028">
        <v>0.24027999999999999</v>
      </c>
      <c r="B5028">
        <v>0.63588392412176398</v>
      </c>
      <c r="C5028">
        <v>0.59581357164868298</v>
      </c>
      <c r="D5028">
        <v>0.77244493674475601</v>
      </c>
      <c r="E5028">
        <v>0.74423712589841196</v>
      </c>
    </row>
    <row r="5029" spans="1:5" x14ac:dyDescent="0.2">
      <c r="A5029">
        <v>0.24054666666666699</v>
      </c>
      <c r="B5029">
        <v>0.63610790370370895</v>
      </c>
      <c r="C5029">
        <v>0.59605361458142203</v>
      </c>
      <c r="D5029">
        <v>0.77263867987963897</v>
      </c>
      <c r="E5029">
        <v>0.74449411834261303</v>
      </c>
    </row>
    <row r="5030" spans="1:5" x14ac:dyDescent="0.2">
      <c r="A5030">
        <v>0.24081333333333299</v>
      </c>
      <c r="B5030">
        <v>0.63633171396448196</v>
      </c>
      <c r="C5030">
        <v>0.59629348817701999</v>
      </c>
      <c r="D5030">
        <v>0.772832102290826</v>
      </c>
      <c r="E5030">
        <v>0.74475079640804298</v>
      </c>
    </row>
    <row r="5031" spans="1:5" x14ac:dyDescent="0.2">
      <c r="A5031">
        <v>0.24107999999999999</v>
      </c>
      <c r="B5031">
        <v>0.63655535520459305</v>
      </c>
      <c r="C5031">
        <v>0.59653319272812</v>
      </c>
      <c r="D5031">
        <v>0.77302520541367803</v>
      </c>
      <c r="E5031">
        <v>0.74500715847826804</v>
      </c>
    </row>
    <row r="5032" spans="1:5" x14ac:dyDescent="0.2">
      <c r="A5032">
        <v>0.24134666666666699</v>
      </c>
      <c r="B5032">
        <v>0.63677882772454997</v>
      </c>
      <c r="C5032">
        <v>0.59677272852736796</v>
      </c>
      <c r="D5032">
        <v>0.77321799068355901</v>
      </c>
      <c r="E5032">
        <v>0.74526320293685</v>
      </c>
    </row>
    <row r="5033" spans="1:5" x14ac:dyDescent="0.2">
      <c r="A5033">
        <v>0.24161333333333301</v>
      </c>
      <c r="B5033">
        <v>0.63700213182485999</v>
      </c>
      <c r="C5033">
        <v>0.597012095867405</v>
      </c>
      <c r="D5033">
        <v>0.77341045953583198</v>
      </c>
      <c r="E5033">
        <v>0.74551892816735299</v>
      </c>
    </row>
    <row r="5034" spans="1:5" x14ac:dyDescent="0.2">
      <c r="A5034">
        <v>0.24188000000000001</v>
      </c>
      <c r="B5034">
        <v>0.63722526780603295</v>
      </c>
      <c r="C5034">
        <v>0.59725129504087804</v>
      </c>
      <c r="D5034">
        <v>0.77360261340585901</v>
      </c>
      <c r="E5034">
        <v>0.74577433255334102</v>
      </c>
    </row>
    <row r="5035" spans="1:5" x14ac:dyDescent="0.2">
      <c r="A5035">
        <v>0.24214666666666701</v>
      </c>
      <c r="B5035">
        <v>0.63744823596857603</v>
      </c>
      <c r="C5035">
        <v>0.59749032634042898</v>
      </c>
      <c r="D5035">
        <v>0.77379445372900302</v>
      </c>
      <c r="E5035">
        <v>0.74602941447837801</v>
      </c>
    </row>
    <row r="5036" spans="1:5" x14ac:dyDescent="0.2">
      <c r="A5036">
        <v>0.24241333333333301</v>
      </c>
      <c r="B5036">
        <v>0.63767103661299795</v>
      </c>
      <c r="C5036">
        <v>0.59772919005870395</v>
      </c>
      <c r="D5036">
        <v>0.77398598194062795</v>
      </c>
      <c r="E5036">
        <v>0.74628417232602895</v>
      </c>
    </row>
    <row r="5037" spans="1:5" x14ac:dyDescent="0.2">
      <c r="A5037">
        <v>0.24268000000000001</v>
      </c>
      <c r="B5037">
        <v>0.63789367003980701</v>
      </c>
      <c r="C5037">
        <v>0.59796788648834498</v>
      </c>
      <c r="D5037">
        <v>0.77417719947609598</v>
      </c>
      <c r="E5037">
        <v>0.74653860447985598</v>
      </c>
    </row>
    <row r="5038" spans="1:5" x14ac:dyDescent="0.2">
      <c r="A5038">
        <v>0.242946666666667</v>
      </c>
      <c r="B5038">
        <v>0.63811613654951105</v>
      </c>
      <c r="C5038">
        <v>0.59820641592199797</v>
      </c>
      <c r="D5038">
        <v>0.77436810777077003</v>
      </c>
      <c r="E5038">
        <v>0.74679270932342401</v>
      </c>
    </row>
    <row r="5039" spans="1:5" x14ac:dyDescent="0.2">
      <c r="A5039">
        <v>0.243213333333333</v>
      </c>
      <c r="B5039">
        <v>0.63833843644261801</v>
      </c>
      <c r="C5039">
        <v>0.59844477865230605</v>
      </c>
      <c r="D5039">
        <v>0.77455870826001205</v>
      </c>
      <c r="E5039">
        <v>0.74704648524029704</v>
      </c>
    </row>
    <row r="5040" spans="1:5" x14ac:dyDescent="0.2">
      <c r="A5040">
        <v>0.24348</v>
      </c>
      <c r="B5040">
        <v>0.63856057001963695</v>
      </c>
      <c r="C5040">
        <v>0.59868297497191303</v>
      </c>
      <c r="D5040">
        <v>0.77474900237918598</v>
      </c>
      <c r="E5040">
        <v>0.74729993061403899</v>
      </c>
    </row>
    <row r="5041" spans="1:5" x14ac:dyDescent="0.2">
      <c r="A5041">
        <v>0.243746666666667</v>
      </c>
      <c r="B5041">
        <v>0.63878253758107595</v>
      </c>
      <c r="C5041">
        <v>0.59892100517346303</v>
      </c>
      <c r="D5041">
        <v>0.77493899156365398</v>
      </c>
      <c r="E5041">
        <v>0.74755304382821297</v>
      </c>
    </row>
    <row r="5042" spans="1:5" x14ac:dyDescent="0.2">
      <c r="A5042">
        <v>0.244013333333333</v>
      </c>
      <c r="B5042">
        <v>0.63900433942744295</v>
      </c>
      <c r="C5042">
        <v>0.59915886954960096</v>
      </c>
      <c r="D5042">
        <v>0.77512867724877998</v>
      </c>
      <c r="E5042">
        <v>0.74780582326638301</v>
      </c>
    </row>
    <row r="5043" spans="1:5" x14ac:dyDescent="0.2">
      <c r="A5043">
        <v>0.24428</v>
      </c>
      <c r="B5043">
        <v>0.63922597585924701</v>
      </c>
      <c r="C5043">
        <v>0.59939656839297095</v>
      </c>
      <c r="D5043">
        <v>0.77531806086992505</v>
      </c>
      <c r="E5043">
        <v>0.748058267312114</v>
      </c>
    </row>
    <row r="5044" spans="1:5" x14ac:dyDescent="0.2">
      <c r="A5044">
        <v>0.244546666666667</v>
      </c>
      <c r="B5044">
        <v>0.63944744717699498</v>
      </c>
      <c r="C5044">
        <v>0.59963410199621603</v>
      </c>
      <c r="D5044">
        <v>0.77550714386245401</v>
      </c>
      <c r="E5044">
        <v>0.74831037434896897</v>
      </c>
    </row>
    <row r="5045" spans="1:5" x14ac:dyDescent="0.2">
      <c r="A5045">
        <v>0.24481333333333299</v>
      </c>
      <c r="B5045">
        <v>0.63966875368119602</v>
      </c>
      <c r="C5045">
        <v>0.59987147065198099</v>
      </c>
      <c r="D5045">
        <v>0.77569592766172801</v>
      </c>
      <c r="E5045">
        <v>0.74856214276051203</v>
      </c>
    </row>
    <row r="5046" spans="1:5" x14ac:dyDescent="0.2">
      <c r="A5046">
        <v>0.24507999999999999</v>
      </c>
      <c r="B5046">
        <v>0.63988989567235899</v>
      </c>
      <c r="C5046">
        <v>0.60010867465290996</v>
      </c>
      <c r="D5046">
        <v>0.77588441370311001</v>
      </c>
      <c r="E5046">
        <v>0.74881357093030798</v>
      </c>
    </row>
    <row r="5047" spans="1:5" x14ac:dyDescent="0.2">
      <c r="A5047">
        <v>0.24534666666666699</v>
      </c>
      <c r="B5047">
        <v>0.64011087345099105</v>
      </c>
      <c r="C5047">
        <v>0.60034571429164696</v>
      </c>
      <c r="D5047">
        <v>0.77607260342196405</v>
      </c>
      <c r="E5047">
        <v>0.74906465724191895</v>
      </c>
    </row>
    <row r="5048" spans="1:5" x14ac:dyDescent="0.2">
      <c r="A5048">
        <v>0.24561333333333299</v>
      </c>
      <c r="B5048">
        <v>0.64033168731760004</v>
      </c>
      <c r="C5048">
        <v>0.60058258986083601</v>
      </c>
      <c r="D5048">
        <v>0.77626049825365295</v>
      </c>
      <c r="E5048">
        <v>0.74931540007890995</v>
      </c>
    </row>
    <row r="5049" spans="1:5" x14ac:dyDescent="0.2">
      <c r="A5049">
        <v>0.24587999999999999</v>
      </c>
      <c r="B5049">
        <v>0.64055233757269603</v>
      </c>
      <c r="C5049">
        <v>0.60081930165312103</v>
      </c>
      <c r="D5049">
        <v>0.776448099633538</v>
      </c>
      <c r="E5049">
        <v>0.749565797824845</v>
      </c>
    </row>
    <row r="5050" spans="1:5" x14ac:dyDescent="0.2">
      <c r="A5050">
        <v>0.24614666666666701</v>
      </c>
      <c r="B5050">
        <v>0.64077282451678597</v>
      </c>
      <c r="C5050">
        <v>0.60105584996114603</v>
      </c>
      <c r="D5050">
        <v>0.77663540899698302</v>
      </c>
      <c r="E5050">
        <v>0.749815848863288</v>
      </c>
    </row>
    <row r="5051" spans="1:5" x14ac:dyDescent="0.2">
      <c r="A5051">
        <v>0.24641333333333301</v>
      </c>
      <c r="B5051">
        <v>0.64099314845037803</v>
      </c>
      <c r="C5051">
        <v>0.60129223507755603</v>
      </c>
      <c r="D5051">
        <v>0.77682242777935095</v>
      </c>
      <c r="E5051">
        <v>0.75006555157780197</v>
      </c>
    </row>
    <row r="5052" spans="1:5" x14ac:dyDescent="0.2">
      <c r="A5052">
        <v>0.24668000000000001</v>
      </c>
      <c r="B5052">
        <v>0.64121330967398105</v>
      </c>
      <c r="C5052">
        <v>0.60152845729499405</v>
      </c>
      <c r="D5052">
        <v>0.77700915741600396</v>
      </c>
      <c r="E5052">
        <v>0.75031490435195103</v>
      </c>
    </row>
    <row r="5053" spans="1:5" x14ac:dyDescent="0.2">
      <c r="A5053">
        <v>0.24694666666666701</v>
      </c>
      <c r="B5053">
        <v>0.64143330848810298</v>
      </c>
      <c r="C5053">
        <v>0.601764516906104</v>
      </c>
      <c r="D5053">
        <v>0.77719559934230498</v>
      </c>
      <c r="E5053">
        <v>0.75056390556930097</v>
      </c>
    </row>
    <row r="5054" spans="1:5" x14ac:dyDescent="0.2">
      <c r="A5054">
        <v>0.24721333333333301</v>
      </c>
      <c r="B5054">
        <v>0.64165314519325201</v>
      </c>
      <c r="C5054">
        <v>0.60200041420353101</v>
      </c>
      <c r="D5054">
        <v>0.77738175499361795</v>
      </c>
      <c r="E5054">
        <v>0.75081255361341304</v>
      </c>
    </row>
    <row r="5055" spans="1:5" x14ac:dyDescent="0.2">
      <c r="A5055">
        <v>0.24748000000000001</v>
      </c>
      <c r="B5055">
        <v>0.64187282008993696</v>
      </c>
      <c r="C5055">
        <v>0.60223614947991799</v>
      </c>
      <c r="D5055">
        <v>0.77756762580530503</v>
      </c>
      <c r="E5055">
        <v>0.75106084686785202</v>
      </c>
    </row>
    <row r="5056" spans="1:5" x14ac:dyDescent="0.2">
      <c r="A5056">
        <v>0.247746666666667</v>
      </c>
      <c r="B5056">
        <v>0.64209233347866601</v>
      </c>
      <c r="C5056">
        <v>0.60247172302791097</v>
      </c>
      <c r="D5056">
        <v>0.77775321321272906</v>
      </c>
      <c r="E5056">
        <v>0.75130878371618304</v>
      </c>
    </row>
    <row r="5057" spans="1:5" x14ac:dyDescent="0.2">
      <c r="A5057">
        <v>0.248013333333333</v>
      </c>
      <c r="B5057">
        <v>0.64231168565994601</v>
      </c>
      <c r="C5057">
        <v>0.60270713514015195</v>
      </c>
      <c r="D5057">
        <v>0.77793851865125196</v>
      </c>
      <c r="E5057">
        <v>0.751556362541968</v>
      </c>
    </row>
    <row r="5058" spans="1:5" x14ac:dyDescent="0.2">
      <c r="A5058">
        <v>0.24828</v>
      </c>
      <c r="B5058">
        <v>0.64253087693428701</v>
      </c>
      <c r="C5058">
        <v>0.60294238610928497</v>
      </c>
      <c r="D5058">
        <v>0.77812354355623803</v>
      </c>
      <c r="E5058">
        <v>0.75180358172877304</v>
      </c>
    </row>
    <row r="5059" spans="1:5" x14ac:dyDescent="0.2">
      <c r="A5059">
        <v>0.248546666666667</v>
      </c>
      <c r="B5059">
        <v>0.64274990760219597</v>
      </c>
      <c r="C5059">
        <v>0.60317747622795603</v>
      </c>
      <c r="D5059">
        <v>0.77830828936304997</v>
      </c>
      <c r="E5059">
        <v>0.75205043966016005</v>
      </c>
    </row>
    <row r="5060" spans="1:5" x14ac:dyDescent="0.2">
      <c r="A5060">
        <v>0.248813333333333</v>
      </c>
      <c r="B5060">
        <v>0.64296877796418195</v>
      </c>
      <c r="C5060">
        <v>0.60341240578880795</v>
      </c>
      <c r="D5060">
        <v>0.77849275750704905</v>
      </c>
      <c r="E5060">
        <v>0.75229693471969405</v>
      </c>
    </row>
    <row r="5061" spans="1:5" x14ac:dyDescent="0.2">
      <c r="A5061">
        <v>0.24908</v>
      </c>
      <c r="B5061">
        <v>0.64318748832075301</v>
      </c>
      <c r="C5061">
        <v>0.60364717508448595</v>
      </c>
      <c r="D5061">
        <v>0.7786769494236</v>
      </c>
      <c r="E5061">
        <v>0.75254306529093895</v>
      </c>
    </row>
    <row r="5062" spans="1:5" x14ac:dyDescent="0.2">
      <c r="A5062">
        <v>0.24934666666666699</v>
      </c>
      <c r="B5062">
        <v>0.64340603897241699</v>
      </c>
      <c r="C5062">
        <v>0.60388178440763196</v>
      </c>
      <c r="D5062">
        <v>0.77886086654806497</v>
      </c>
      <c r="E5062">
        <v>0.75278882975745798</v>
      </c>
    </row>
    <row r="5063" spans="1:5" x14ac:dyDescent="0.2">
      <c r="A5063">
        <v>0.24961333333333299</v>
      </c>
      <c r="B5063">
        <v>0.64362443021968296</v>
      </c>
      <c r="C5063">
        <v>0.60411623405089199</v>
      </c>
      <c r="D5063">
        <v>0.77904451031580602</v>
      </c>
      <c r="E5063">
        <v>0.75303422650281504</v>
      </c>
    </row>
    <row r="5064" spans="1:5" x14ac:dyDescent="0.2">
      <c r="A5064">
        <v>0.24987999999999999</v>
      </c>
      <c r="B5064">
        <v>0.64384266236305898</v>
      </c>
      <c r="C5064">
        <v>0.60435052430690905</v>
      </c>
      <c r="D5064">
        <v>0.77922788216218697</v>
      </c>
      <c r="E5064">
        <v>0.75327925391057504</v>
      </c>
    </row>
    <row r="5065" spans="1:5" x14ac:dyDescent="0.2">
      <c r="A5065">
        <v>0.25014666666666702</v>
      </c>
      <c r="B5065">
        <v>0.64406073570220701</v>
      </c>
      <c r="C5065">
        <v>0.60458465546751805</v>
      </c>
      <c r="D5065">
        <v>0.77941098352256999</v>
      </c>
      <c r="E5065">
        <v>0.753523910364301</v>
      </c>
    </row>
    <row r="5066" spans="1:5" x14ac:dyDescent="0.2">
      <c r="A5066">
        <v>0.25041333333333299</v>
      </c>
      <c r="B5066">
        <v>0.64427865052125299</v>
      </c>
      <c r="C5066">
        <v>0.60481862780968498</v>
      </c>
      <c r="D5066">
        <v>0.77959381583231802</v>
      </c>
      <c r="E5066">
        <v>0.75376819424755703</v>
      </c>
    </row>
    <row r="5067" spans="1:5" x14ac:dyDescent="0.2">
      <c r="A5067">
        <v>0.25068000000000001</v>
      </c>
      <c r="B5067">
        <v>0.64449640709068701</v>
      </c>
      <c r="C5067">
        <v>0.60505244159732197</v>
      </c>
      <c r="D5067">
        <v>0.77977638052679499</v>
      </c>
      <c r="E5067">
        <v>0.75401210394390705</v>
      </c>
    </row>
    <row r="5068" spans="1:5" x14ac:dyDescent="0.2">
      <c r="A5068">
        <v>0.25094666666666698</v>
      </c>
      <c r="B5068">
        <v>0.64471400568053405</v>
      </c>
      <c r="C5068">
        <v>0.60528609709390002</v>
      </c>
      <c r="D5068">
        <v>0.77995867904136196</v>
      </c>
      <c r="E5068">
        <v>0.75425563783691496</v>
      </c>
    </row>
    <row r="5069" spans="1:5" x14ac:dyDescent="0.2">
      <c r="A5069">
        <v>0.25121333333333301</v>
      </c>
      <c r="B5069">
        <v>0.64493144656082002</v>
      </c>
      <c r="C5069">
        <v>0.60551959456288895</v>
      </c>
      <c r="D5069">
        <v>0.78014071281138297</v>
      </c>
      <c r="E5069">
        <v>0.75449879431014499</v>
      </c>
    </row>
    <row r="5070" spans="1:5" x14ac:dyDescent="0.2">
      <c r="A5070">
        <v>0.25147999999999998</v>
      </c>
      <c r="B5070">
        <v>0.64514873000157202</v>
      </c>
      <c r="C5070">
        <v>0.60575293426776</v>
      </c>
      <c r="D5070">
        <v>0.78032248327222098</v>
      </c>
      <c r="E5070">
        <v>0.75474157174715995</v>
      </c>
    </row>
    <row r="5071" spans="1:5" x14ac:dyDescent="0.2">
      <c r="A5071">
        <v>0.25174666666666701</v>
      </c>
      <c r="B5071">
        <v>0.64536585627281595</v>
      </c>
      <c r="C5071">
        <v>0.60598611647198197</v>
      </c>
      <c r="D5071">
        <v>0.78050399185923802</v>
      </c>
      <c r="E5071">
        <v>0.75498396853152605</v>
      </c>
    </row>
    <row r="5072" spans="1:5" x14ac:dyDescent="0.2">
      <c r="A5072">
        <v>0.25201333333333298</v>
      </c>
      <c r="B5072">
        <v>0.64558282564457703</v>
      </c>
      <c r="C5072">
        <v>0.606219141439027</v>
      </c>
      <c r="D5072">
        <v>0.78068524000779704</v>
      </c>
      <c r="E5072">
        <v>0.75522598304680399</v>
      </c>
    </row>
    <row r="5073" spans="1:5" x14ac:dyDescent="0.2">
      <c r="A5073">
        <v>0.25228</v>
      </c>
      <c r="B5073">
        <v>0.64579963838688204</v>
      </c>
      <c r="C5073">
        <v>0.60645200943236399</v>
      </c>
      <c r="D5073">
        <v>0.78086622915326198</v>
      </c>
      <c r="E5073">
        <v>0.75546761367656001</v>
      </c>
    </row>
    <row r="5074" spans="1:5" x14ac:dyDescent="0.2">
      <c r="A5074">
        <v>0.25254666666666697</v>
      </c>
      <c r="B5074">
        <v>0.64601629476975797</v>
      </c>
      <c r="C5074">
        <v>0.60668472071546398</v>
      </c>
      <c r="D5074">
        <v>0.781046960730994</v>
      </c>
      <c r="E5074">
        <v>0.75570885880435801</v>
      </c>
    </row>
    <row r="5075" spans="1:5" x14ac:dyDescent="0.2">
      <c r="A5075">
        <v>0.252813333333333</v>
      </c>
      <c r="B5075">
        <v>0.64623279506322895</v>
      </c>
      <c r="C5075">
        <v>0.60691727555179698</v>
      </c>
      <c r="D5075">
        <v>0.78122743617635704</v>
      </c>
      <c r="E5075">
        <v>0.755949716813761</v>
      </c>
    </row>
    <row r="5076" spans="1:5" x14ac:dyDescent="0.2">
      <c r="A5076">
        <v>0.25308000000000003</v>
      </c>
      <c r="B5076">
        <v>0.64644913953732197</v>
      </c>
      <c r="C5076">
        <v>0.60714967420483401</v>
      </c>
      <c r="D5076">
        <v>0.78140765692471303</v>
      </c>
      <c r="E5076">
        <v>0.75619018608833299</v>
      </c>
    </row>
    <row r="5077" spans="1:5" x14ac:dyDescent="0.2">
      <c r="A5077">
        <v>0.253346666666667</v>
      </c>
      <c r="B5077">
        <v>0.64666532846206404</v>
      </c>
      <c r="C5077">
        <v>0.607381916938045</v>
      </c>
      <c r="D5077">
        <v>0.78158762441142604</v>
      </c>
      <c r="E5077">
        <v>0.75643026501163801</v>
      </c>
    </row>
    <row r="5078" spans="1:5" x14ac:dyDescent="0.2">
      <c r="A5078">
        <v>0.25361333333333302</v>
      </c>
      <c r="B5078">
        <v>0.64688136210748004</v>
      </c>
      <c r="C5078">
        <v>0.60761400401490095</v>
      </c>
      <c r="D5078">
        <v>0.781767340071858</v>
      </c>
      <c r="E5078">
        <v>0.75666995196723996</v>
      </c>
    </row>
    <row r="5079" spans="1:5" x14ac:dyDescent="0.2">
      <c r="A5079">
        <v>0.25387999999999999</v>
      </c>
      <c r="B5079">
        <v>0.64709724074359698</v>
      </c>
      <c r="C5079">
        <v>0.60784593569887102</v>
      </c>
      <c r="D5079">
        <v>0.78194680534137195</v>
      </c>
      <c r="E5079">
        <v>0.75690924533870196</v>
      </c>
    </row>
    <row r="5080" spans="1:5" x14ac:dyDescent="0.2">
      <c r="A5080">
        <v>0.25414666666666702</v>
      </c>
      <c r="B5080">
        <v>0.64731296464043997</v>
      </c>
      <c r="C5080">
        <v>0.60807771225342599</v>
      </c>
      <c r="D5080">
        <v>0.78212602165533196</v>
      </c>
      <c r="E5080">
        <v>0.75714814350959003</v>
      </c>
    </row>
    <row r="5081" spans="1:5" x14ac:dyDescent="0.2">
      <c r="A5081">
        <v>0.25441333333333299</v>
      </c>
      <c r="B5081">
        <v>0.64752853406803601</v>
      </c>
      <c r="C5081">
        <v>0.60830933394203701</v>
      </c>
      <c r="D5081">
        <v>0.78230499044909796</v>
      </c>
      <c r="E5081">
        <v>0.75738664486346596</v>
      </c>
    </row>
    <row r="5082" spans="1:5" x14ac:dyDescent="0.2">
      <c r="A5082">
        <v>0.25468000000000002</v>
      </c>
      <c r="B5082">
        <v>0.64774394929641099</v>
      </c>
      <c r="C5082">
        <v>0.60854080102817298</v>
      </c>
      <c r="D5082">
        <v>0.782483713158036</v>
      </c>
      <c r="E5082">
        <v>0.75762474778389499</v>
      </c>
    </row>
    <row r="5083" spans="1:5" x14ac:dyDescent="0.2">
      <c r="A5083">
        <v>0.25494666666666699</v>
      </c>
      <c r="B5083">
        <v>0.64795921059559003</v>
      </c>
      <c r="C5083">
        <v>0.60877211377530605</v>
      </c>
      <c r="D5083">
        <v>0.78266219121750702</v>
      </c>
      <c r="E5083">
        <v>0.75786245065444002</v>
      </c>
    </row>
    <row r="5084" spans="1:5" x14ac:dyDescent="0.2">
      <c r="A5084">
        <v>0.25521333333333301</v>
      </c>
      <c r="B5084">
        <v>0.64817431823560101</v>
      </c>
      <c r="C5084">
        <v>0.609003272446905</v>
      </c>
      <c r="D5084">
        <v>0.78284042606287396</v>
      </c>
      <c r="E5084">
        <v>0.75809975185866596</v>
      </c>
    </row>
    <row r="5085" spans="1:5" x14ac:dyDescent="0.2">
      <c r="A5085">
        <v>0.25547999999999998</v>
      </c>
      <c r="B5085">
        <v>0.64838927248646905</v>
      </c>
      <c r="C5085">
        <v>0.60923427730644097</v>
      </c>
      <c r="D5085">
        <v>0.78301841912949999</v>
      </c>
      <c r="E5085">
        <v>0.75833664978013504</v>
      </c>
    </row>
    <row r="5086" spans="1:5" x14ac:dyDescent="0.2">
      <c r="A5086">
        <v>0.25574666666666701</v>
      </c>
      <c r="B5086">
        <v>0.64860407361822103</v>
      </c>
      <c r="C5086">
        <v>0.609465128617384</v>
      </c>
      <c r="D5086">
        <v>0.78319617185274804</v>
      </c>
      <c r="E5086">
        <v>0.75857314280241295</v>
      </c>
    </row>
    <row r="5087" spans="1:5" x14ac:dyDescent="0.2">
      <c r="A5087">
        <v>0.25601333333333298</v>
      </c>
      <c r="B5087">
        <v>0.64881872190088097</v>
      </c>
      <c r="C5087">
        <v>0.60969582664320499</v>
      </c>
      <c r="D5087">
        <v>0.78337368566798005</v>
      </c>
      <c r="E5087">
        <v>0.75880922930906303</v>
      </c>
    </row>
    <row r="5088" spans="1:5" x14ac:dyDescent="0.2">
      <c r="A5088">
        <v>0.25628000000000001</v>
      </c>
      <c r="B5088">
        <v>0.64903321760447696</v>
      </c>
      <c r="C5088">
        <v>0.60992637164737395</v>
      </c>
      <c r="D5088">
        <v>0.78355096201056096</v>
      </c>
      <c r="E5088">
        <v>0.75904490768364996</v>
      </c>
    </row>
    <row r="5089" spans="1:5" x14ac:dyDescent="0.2">
      <c r="A5089">
        <v>0.25654666666666698</v>
      </c>
      <c r="B5089">
        <v>0.64924756099903502</v>
      </c>
      <c r="C5089">
        <v>0.61015676389336204</v>
      </c>
      <c r="D5089">
        <v>0.78372800231585205</v>
      </c>
      <c r="E5089">
        <v>0.75928017630973599</v>
      </c>
    </row>
    <row r="5090" spans="1:5" x14ac:dyDescent="0.2">
      <c r="A5090">
        <v>0.256813333333333</v>
      </c>
      <c r="B5090">
        <v>0.64946175235458103</v>
      </c>
      <c r="C5090">
        <v>0.61038700364463705</v>
      </c>
      <c r="D5090">
        <v>0.78390480801921603</v>
      </c>
      <c r="E5090">
        <v>0.75951503357088501</v>
      </c>
    </row>
    <row r="5091" spans="1:5" x14ac:dyDescent="0.2">
      <c r="A5091">
        <v>0.25707999999999998</v>
      </c>
      <c r="B5091">
        <v>0.64967579194114</v>
      </c>
      <c r="C5091">
        <v>0.610617091164673</v>
      </c>
      <c r="D5091">
        <v>0.78408138055601595</v>
      </c>
      <c r="E5091">
        <v>0.75974947785066305</v>
      </c>
    </row>
    <row r="5092" spans="1:5" x14ac:dyDescent="0.2">
      <c r="A5092">
        <v>0.257346666666667</v>
      </c>
      <c r="B5092">
        <v>0.64988968002873904</v>
      </c>
      <c r="C5092">
        <v>0.61084702671693702</v>
      </c>
      <c r="D5092">
        <v>0.78425772136161498</v>
      </c>
      <c r="E5092">
        <v>0.759983507532632</v>
      </c>
    </row>
    <row r="5093" spans="1:5" x14ac:dyDescent="0.2">
      <c r="A5093">
        <v>0.25761333333333303</v>
      </c>
      <c r="B5093">
        <v>0.65010341688740403</v>
      </c>
      <c r="C5093">
        <v>0.61107681056490104</v>
      </c>
      <c r="D5093">
        <v>0.78443383187137505</v>
      </c>
      <c r="E5093">
        <v>0.76021712100035599</v>
      </c>
    </row>
    <row r="5094" spans="1:5" x14ac:dyDescent="0.2">
      <c r="A5094">
        <v>0.25788</v>
      </c>
      <c r="B5094">
        <v>0.65031700278716198</v>
      </c>
      <c r="C5094">
        <v>0.61130644297203596</v>
      </c>
      <c r="D5094">
        <v>0.784609713520661</v>
      </c>
      <c r="E5094">
        <v>0.76045031663740004</v>
      </c>
    </row>
    <row r="5095" spans="1:5" x14ac:dyDescent="0.2">
      <c r="A5095">
        <v>0.25814666666666702</v>
      </c>
      <c r="B5095">
        <v>0.650530437998037</v>
      </c>
      <c r="C5095">
        <v>0.61153592420181002</v>
      </c>
      <c r="D5095">
        <v>0.78478536774483298</v>
      </c>
      <c r="E5095">
        <v>0.76068309282732705</v>
      </c>
    </row>
    <row r="5096" spans="1:5" x14ac:dyDescent="0.2">
      <c r="A5096">
        <v>0.258413333333333</v>
      </c>
      <c r="B5096">
        <v>0.65074372279005699</v>
      </c>
      <c r="C5096">
        <v>0.61176525451769603</v>
      </c>
      <c r="D5096">
        <v>0.78496079597925605</v>
      </c>
      <c r="E5096">
        <v>0.76091544795370203</v>
      </c>
    </row>
    <row r="5097" spans="1:5" x14ac:dyDescent="0.2">
      <c r="A5097">
        <v>0.25868000000000002</v>
      </c>
      <c r="B5097">
        <v>0.65095685743324805</v>
      </c>
      <c r="C5097">
        <v>0.61199443418316302</v>
      </c>
      <c r="D5097">
        <v>0.78513599965929204</v>
      </c>
      <c r="E5097">
        <v>0.761147380400087</v>
      </c>
    </row>
    <row r="5098" spans="1:5" x14ac:dyDescent="0.2">
      <c r="A5098">
        <v>0.25894666666666699</v>
      </c>
      <c r="B5098">
        <v>0.65116984219763496</v>
      </c>
      <c r="C5098">
        <v>0.61222346346168099</v>
      </c>
      <c r="D5098">
        <v>0.78531098022030399</v>
      </c>
      <c r="E5098">
        <v>0.76137888855004798</v>
      </c>
    </row>
    <row r="5099" spans="1:5" x14ac:dyDescent="0.2">
      <c r="A5099">
        <v>0.25921333333333302</v>
      </c>
      <c r="B5099">
        <v>0.65138267735324495</v>
      </c>
      <c r="C5099">
        <v>0.61245234261672199</v>
      </c>
      <c r="D5099">
        <v>0.78548573909765496</v>
      </c>
      <c r="E5099">
        <v>0.76160997078714798</v>
      </c>
    </row>
    <row r="5100" spans="1:5" x14ac:dyDescent="0.2">
      <c r="A5100">
        <v>0.25947999999999999</v>
      </c>
      <c r="B5100">
        <v>0.65159536317010303</v>
      </c>
      <c r="C5100">
        <v>0.61268107191175503</v>
      </c>
      <c r="D5100">
        <v>0.78566027772670799</v>
      </c>
      <c r="E5100">
        <v>0.76184062549495002</v>
      </c>
    </row>
    <row r="5101" spans="1:5" x14ac:dyDescent="0.2">
      <c r="A5101">
        <v>0.25974666666666701</v>
      </c>
      <c r="B5101">
        <v>0.65180789991823695</v>
      </c>
      <c r="C5101">
        <v>0.61290965161025002</v>
      </c>
      <c r="D5101">
        <v>0.78583459754282403</v>
      </c>
      <c r="E5101">
        <v>0.76207085105701899</v>
      </c>
    </row>
    <row r="5102" spans="1:5" x14ac:dyDescent="0.2">
      <c r="A5102">
        <v>0.26001333333333299</v>
      </c>
      <c r="B5102">
        <v>0.65202028786767097</v>
      </c>
      <c r="C5102">
        <v>0.61313808197567798</v>
      </c>
      <c r="D5102">
        <v>0.78600869998134204</v>
      </c>
      <c r="E5102">
        <v>0.76230064585691804</v>
      </c>
    </row>
    <row r="5103" spans="1:5" x14ac:dyDescent="0.2">
      <c r="A5103">
        <v>0.26028000000000001</v>
      </c>
      <c r="B5103">
        <v>0.65223252728332703</v>
      </c>
      <c r="C5103">
        <v>0.613366363266585</v>
      </c>
      <c r="D5103">
        <v>0.78618258623082904</v>
      </c>
      <c r="E5103">
        <v>0.76253000827821305</v>
      </c>
    </row>
    <row r="5104" spans="1:5" x14ac:dyDescent="0.2">
      <c r="A5104">
        <v>0.26054666666666698</v>
      </c>
      <c r="B5104">
        <v>0.65244461841255397</v>
      </c>
      <c r="C5104">
        <v>0.61359449572456304</v>
      </c>
      <c r="D5104">
        <v>0.78635625662993802</v>
      </c>
      <c r="E5104">
        <v>0.76275893670446504</v>
      </c>
    </row>
    <row r="5105" spans="1:5" x14ac:dyDescent="0.2">
      <c r="A5105">
        <v>0.26081333333333301</v>
      </c>
      <c r="B5105">
        <v>0.65265656149891405</v>
      </c>
      <c r="C5105">
        <v>0.61382247958755598</v>
      </c>
      <c r="D5105">
        <v>0.78652971133448102</v>
      </c>
      <c r="E5105">
        <v>0.76298742951924003</v>
      </c>
    </row>
    <row r="5106" spans="1:5" x14ac:dyDescent="0.2">
      <c r="A5106">
        <v>0.26107999999999998</v>
      </c>
      <c r="B5106">
        <v>0.65286835678597299</v>
      </c>
      <c r="C5106">
        <v>0.61405031509350705</v>
      </c>
      <c r="D5106">
        <v>0.78670295050026595</v>
      </c>
      <c r="E5106">
        <v>0.76321548510610104</v>
      </c>
    </row>
    <row r="5107" spans="1:5" x14ac:dyDescent="0.2">
      <c r="A5107">
        <v>0.261346666666667</v>
      </c>
      <c r="B5107">
        <v>0.65308000451729697</v>
      </c>
      <c r="C5107">
        <v>0.61427800248036102</v>
      </c>
      <c r="D5107">
        <v>0.78687597428310396</v>
      </c>
      <c r="E5107">
        <v>0.76344310184861297</v>
      </c>
    </row>
    <row r="5108" spans="1:5" x14ac:dyDescent="0.2">
      <c r="A5108">
        <v>0.26161333333333298</v>
      </c>
      <c r="B5108">
        <v>0.65329150493645105</v>
      </c>
      <c r="C5108">
        <v>0.614505541986061</v>
      </c>
      <c r="D5108">
        <v>0.78704878283880597</v>
      </c>
      <c r="E5108">
        <v>0.76367027813033805</v>
      </c>
    </row>
    <row r="5109" spans="1:5" x14ac:dyDescent="0.2">
      <c r="A5109">
        <v>0.26188</v>
      </c>
      <c r="B5109">
        <v>0.65350285828699906</v>
      </c>
      <c r="C5109">
        <v>0.61473293384854999</v>
      </c>
      <c r="D5109">
        <v>0.78722137632318001</v>
      </c>
      <c r="E5109">
        <v>0.76389701233484097</v>
      </c>
    </row>
    <row r="5110" spans="1:5" x14ac:dyDescent="0.2">
      <c r="A5110">
        <v>0.26214666666666703</v>
      </c>
      <c r="B5110">
        <v>0.65371406481250705</v>
      </c>
      <c r="C5110">
        <v>0.61496017830577299</v>
      </c>
      <c r="D5110">
        <v>0.787393754892038</v>
      </c>
      <c r="E5110">
        <v>0.76412330284568597</v>
      </c>
    </row>
    <row r="5111" spans="1:5" x14ac:dyDescent="0.2">
      <c r="A5111">
        <v>0.262413333333333</v>
      </c>
      <c r="B5111">
        <v>0.65392512475653997</v>
      </c>
      <c r="C5111">
        <v>0.61518727559567399</v>
      </c>
      <c r="D5111">
        <v>0.78756591870118997</v>
      </c>
      <c r="E5111">
        <v>0.76434914804643705</v>
      </c>
    </row>
    <row r="5112" spans="1:5" x14ac:dyDescent="0.2">
      <c r="A5112">
        <v>0.26268000000000002</v>
      </c>
      <c r="B5112">
        <v>0.65413603836266199</v>
      </c>
      <c r="C5112">
        <v>0.61541422595619599</v>
      </c>
      <c r="D5112">
        <v>0.78773786790644496</v>
      </c>
      <c r="E5112">
        <v>0.76457454632065802</v>
      </c>
    </row>
    <row r="5113" spans="1:5" x14ac:dyDescent="0.2">
      <c r="A5113">
        <v>0.26294666666666699</v>
      </c>
      <c r="B5113">
        <v>0.65434680587444005</v>
      </c>
      <c r="C5113">
        <v>0.615641029625283</v>
      </c>
      <c r="D5113">
        <v>0.78790960266361398</v>
      </c>
      <c r="E5113">
        <v>0.764799496051912</v>
      </c>
    </row>
    <row r="5114" spans="1:5" x14ac:dyDescent="0.2">
      <c r="A5114">
        <v>0.26321333333333302</v>
      </c>
      <c r="B5114">
        <v>0.654557427535437</v>
      </c>
      <c r="C5114">
        <v>0.615867686840879</v>
      </c>
      <c r="D5114">
        <v>0.78808112312850598</v>
      </c>
      <c r="E5114">
        <v>0.765023995623763</v>
      </c>
    </row>
    <row r="5115" spans="1:5" x14ac:dyDescent="0.2">
      <c r="A5115">
        <v>0.26347999999999999</v>
      </c>
      <c r="B5115">
        <v>0.65476790358921999</v>
      </c>
      <c r="C5115">
        <v>0.616094197840927</v>
      </c>
      <c r="D5115">
        <v>0.78825242945693297</v>
      </c>
      <c r="E5115">
        <v>0.76524804341977604</v>
      </c>
    </row>
    <row r="5116" spans="1:5" x14ac:dyDescent="0.2">
      <c r="A5116">
        <v>0.26374666666666702</v>
      </c>
      <c r="B5116">
        <v>0.65497823427935298</v>
      </c>
      <c r="C5116">
        <v>0.616320562863373</v>
      </c>
      <c r="D5116">
        <v>0.78842352180470399</v>
      </c>
      <c r="E5116">
        <v>0.76547163782351402</v>
      </c>
    </row>
    <row r="5117" spans="1:5" x14ac:dyDescent="0.2">
      <c r="A5117">
        <v>0.26401333333333299</v>
      </c>
      <c r="B5117">
        <v>0.65518841984940102</v>
      </c>
      <c r="C5117">
        <v>0.61654678214615799</v>
      </c>
      <c r="D5117">
        <v>0.78859440032762995</v>
      </c>
      <c r="E5117">
        <v>0.76569477721854196</v>
      </c>
    </row>
    <row r="5118" spans="1:5" x14ac:dyDescent="0.2">
      <c r="A5118">
        <v>0.26428000000000001</v>
      </c>
      <c r="B5118">
        <v>0.65539846054292905</v>
      </c>
      <c r="C5118">
        <v>0.61677285592722797</v>
      </c>
      <c r="D5118">
        <v>0.78876506518151901</v>
      </c>
      <c r="E5118">
        <v>0.76591745998842198</v>
      </c>
    </row>
    <row r="5119" spans="1:5" x14ac:dyDescent="0.2">
      <c r="A5119">
        <v>0.26454666666666699</v>
      </c>
      <c r="B5119">
        <v>0.65560835660350403</v>
      </c>
      <c r="C5119">
        <v>0.61699878444452505</v>
      </c>
      <c r="D5119">
        <v>0.78893551652218397</v>
      </c>
      <c r="E5119">
        <v>0.76613968451671899</v>
      </c>
    </row>
    <row r="5120" spans="1:5" x14ac:dyDescent="0.2">
      <c r="A5120">
        <v>0.26481333333333301</v>
      </c>
      <c r="B5120">
        <v>0.65581810827468801</v>
      </c>
      <c r="C5120">
        <v>0.61722456793599401</v>
      </c>
      <c r="D5120">
        <v>0.78910575450543297</v>
      </c>
      <c r="E5120">
        <v>0.766361449186998</v>
      </c>
    </row>
    <row r="5121" spans="1:5" x14ac:dyDescent="0.2">
      <c r="A5121">
        <v>0.26507999999999998</v>
      </c>
      <c r="B5121">
        <v>0.65602771580004904</v>
      </c>
      <c r="C5121">
        <v>0.61745020663957895</v>
      </c>
      <c r="D5121">
        <v>0.78927577928707604</v>
      </c>
      <c r="E5121">
        <v>0.76658275238282103</v>
      </c>
    </row>
    <row r="5122" spans="1:5" x14ac:dyDescent="0.2">
      <c r="A5122">
        <v>0.26534666666666701</v>
      </c>
      <c r="B5122">
        <v>0.65623717942314996</v>
      </c>
      <c r="C5122">
        <v>0.61767570079322298</v>
      </c>
      <c r="D5122">
        <v>0.789445591022925</v>
      </c>
      <c r="E5122">
        <v>0.76680359248775298</v>
      </c>
    </row>
    <row r="5123" spans="1:5" x14ac:dyDescent="0.2">
      <c r="A5123">
        <v>0.26561333333333298</v>
      </c>
      <c r="B5123">
        <v>0.65644649938755695</v>
      </c>
      <c r="C5123">
        <v>0.617901050634871</v>
      </c>
      <c r="D5123">
        <v>0.78961518986878898</v>
      </c>
      <c r="E5123">
        <v>0.76702396788535698</v>
      </c>
    </row>
    <row r="5124" spans="1:5" x14ac:dyDescent="0.2">
      <c r="A5124">
        <v>0.26588000000000001</v>
      </c>
      <c r="B5124">
        <v>0.65665567593683505</v>
      </c>
      <c r="C5124">
        <v>0.61812625640246499</v>
      </c>
      <c r="D5124">
        <v>0.78978457598047802</v>
      </c>
      <c r="E5124">
        <v>0.76724387695919805</v>
      </c>
    </row>
    <row r="5125" spans="1:5" x14ac:dyDescent="0.2">
      <c r="A5125">
        <v>0.26614666666666698</v>
      </c>
      <c r="B5125">
        <v>0.65686470931454899</v>
      </c>
      <c r="C5125">
        <v>0.61835131833394996</v>
      </c>
      <c r="D5125">
        <v>0.78995374951380304</v>
      </c>
      <c r="E5125">
        <v>0.76746331809283896</v>
      </c>
    </row>
    <row r="5126" spans="1:5" x14ac:dyDescent="0.2">
      <c r="A5126">
        <v>0.266413333333333</v>
      </c>
      <c r="B5126">
        <v>0.65707359976426405</v>
      </c>
      <c r="C5126">
        <v>0.61857623666727002</v>
      </c>
      <c r="D5126">
        <v>0.79012271062457295</v>
      </c>
      <c r="E5126">
        <v>0.76768228966984398</v>
      </c>
    </row>
    <row r="5127" spans="1:5" x14ac:dyDescent="0.2">
      <c r="A5127">
        <v>0.26667999999999997</v>
      </c>
      <c r="B5127">
        <v>0.65728234752954495</v>
      </c>
      <c r="C5127">
        <v>0.61880101164036705</v>
      </c>
      <c r="D5127">
        <v>0.79029145946859802</v>
      </c>
      <c r="E5127">
        <v>0.76790079007377798</v>
      </c>
    </row>
    <row r="5128" spans="1:5" x14ac:dyDescent="0.2">
      <c r="A5128">
        <v>0.266946666666667</v>
      </c>
      <c r="B5128">
        <v>0.65749095285395698</v>
      </c>
      <c r="C5128">
        <v>0.61902564349118805</v>
      </c>
      <c r="D5128">
        <v>0.79045999620169005</v>
      </c>
      <c r="E5128">
        <v>0.768118817688204</v>
      </c>
    </row>
    <row r="5129" spans="1:5" x14ac:dyDescent="0.2">
      <c r="A5129">
        <v>0.26721333333333303</v>
      </c>
      <c r="B5129">
        <v>0.65769941598106596</v>
      </c>
      <c r="C5129">
        <v>0.61925013245767402</v>
      </c>
      <c r="D5129">
        <v>0.79062832097965696</v>
      </c>
      <c r="E5129">
        <v>0.76833637089668505</v>
      </c>
    </row>
    <row r="5130" spans="1:5" x14ac:dyDescent="0.2">
      <c r="A5130">
        <v>0.26748</v>
      </c>
      <c r="B5130">
        <v>0.65790773715443696</v>
      </c>
      <c r="C5130">
        <v>0.61947447877776995</v>
      </c>
      <c r="D5130">
        <v>0.79079643395831001</v>
      </c>
      <c r="E5130">
        <v>0.76855344808278703</v>
      </c>
    </row>
    <row r="5131" spans="1:5" x14ac:dyDescent="0.2">
      <c r="A5131">
        <v>0.26774666666666702</v>
      </c>
      <c r="B5131">
        <v>0.65811591661763402</v>
      </c>
      <c r="C5131">
        <v>0.61969868268941897</v>
      </c>
      <c r="D5131">
        <v>0.79096433529346</v>
      </c>
      <c r="E5131">
        <v>0.76877004763007295</v>
      </c>
    </row>
    <row r="5132" spans="1:5" x14ac:dyDescent="0.2">
      <c r="A5132">
        <v>0.26801333333333299</v>
      </c>
      <c r="B5132">
        <v>0.658323954614222</v>
      </c>
      <c r="C5132">
        <v>0.61992274443056605</v>
      </c>
      <c r="D5132">
        <v>0.79113202514091596</v>
      </c>
      <c r="E5132">
        <v>0.76898616792210595</v>
      </c>
    </row>
    <row r="5133" spans="1:5" x14ac:dyDescent="0.2">
      <c r="A5133">
        <v>0.26828000000000002</v>
      </c>
      <c r="B5133">
        <v>0.65853185138776704</v>
      </c>
      <c r="C5133">
        <v>0.62014666423915399</v>
      </c>
      <c r="D5133">
        <v>0.79129950365648805</v>
      </c>
      <c r="E5133">
        <v>0.76920180734245103</v>
      </c>
    </row>
    <row r="5134" spans="1:5" x14ac:dyDescent="0.2">
      <c r="A5134">
        <v>0.26854666666666699</v>
      </c>
      <c r="B5134">
        <v>0.658739607181835</v>
      </c>
      <c r="C5134">
        <v>0.62037044235312699</v>
      </c>
      <c r="D5134">
        <v>0.79146677099598695</v>
      </c>
      <c r="E5134">
        <v>0.76941696427467099</v>
      </c>
    </row>
    <row r="5135" spans="1:5" x14ac:dyDescent="0.2">
      <c r="A5135">
        <v>0.26881333333333302</v>
      </c>
      <c r="B5135">
        <v>0.65894722223998903</v>
      </c>
      <c r="C5135">
        <v>0.62059407901042896</v>
      </c>
      <c r="D5135">
        <v>0.79163382731522203</v>
      </c>
      <c r="E5135">
        <v>0.76963163710233096</v>
      </c>
    </row>
    <row r="5136" spans="1:5" x14ac:dyDescent="0.2">
      <c r="A5136">
        <v>0.26907999999999999</v>
      </c>
      <c r="B5136">
        <v>0.65915469680579497</v>
      </c>
      <c r="C5136">
        <v>0.62081757444900298</v>
      </c>
      <c r="D5136">
        <v>0.79180067277000399</v>
      </c>
      <c r="E5136">
        <v>0.76984582420899395</v>
      </c>
    </row>
    <row r="5137" spans="1:5" x14ac:dyDescent="0.2">
      <c r="A5137">
        <v>0.26934666666666701</v>
      </c>
      <c r="B5137">
        <v>0.65936203112281799</v>
      </c>
      <c r="C5137">
        <v>0.62104092890679397</v>
      </c>
      <c r="D5137">
        <v>0.79196730751614297</v>
      </c>
      <c r="E5137">
        <v>0.77005952397822397</v>
      </c>
    </row>
    <row r="5138" spans="1:5" x14ac:dyDescent="0.2">
      <c r="A5138">
        <v>0.26961333333333298</v>
      </c>
      <c r="B5138">
        <v>0.65956922543462304</v>
      </c>
      <c r="C5138">
        <v>0.62126414262174501</v>
      </c>
      <c r="D5138">
        <v>0.79213373170944901</v>
      </c>
      <c r="E5138">
        <v>0.77027273479358604</v>
      </c>
    </row>
    <row r="5139" spans="1:5" x14ac:dyDescent="0.2">
      <c r="A5139">
        <v>0.26988000000000001</v>
      </c>
      <c r="B5139">
        <v>0.65977627998477595</v>
      </c>
      <c r="C5139">
        <v>0.6214872158318</v>
      </c>
      <c r="D5139">
        <v>0.79229994550573302</v>
      </c>
      <c r="E5139">
        <v>0.77048545503864196</v>
      </c>
    </row>
    <row r="5140" spans="1:5" x14ac:dyDescent="0.2">
      <c r="A5140">
        <v>0.27014666666666698</v>
      </c>
      <c r="B5140">
        <v>0.65998319501620095</v>
      </c>
      <c r="C5140">
        <v>0.62171014877429398</v>
      </c>
      <c r="D5140">
        <v>0.79246594906080403</v>
      </c>
      <c r="E5140">
        <v>0.77069768309695696</v>
      </c>
    </row>
    <row r="5141" spans="1:5" x14ac:dyDescent="0.2">
      <c r="A5141">
        <v>0.27041333333333301</v>
      </c>
      <c r="B5141">
        <v>0.66018997076006103</v>
      </c>
      <c r="C5141">
        <v>0.62193294167535695</v>
      </c>
      <c r="D5141">
        <v>0.79263174253047197</v>
      </c>
      <c r="E5141">
        <v>0.77090941735209595</v>
      </c>
    </row>
    <row r="5142" spans="1:5" x14ac:dyDescent="0.2">
      <c r="A5142">
        <v>0.27067999999999998</v>
      </c>
      <c r="B5142">
        <v>0.66039660743719497</v>
      </c>
      <c r="C5142">
        <v>0.62215559475128801</v>
      </c>
      <c r="D5142">
        <v>0.79279732607054798</v>
      </c>
      <c r="E5142">
        <v>0.77112065618762105</v>
      </c>
    </row>
    <row r="5143" spans="1:5" x14ac:dyDescent="0.2">
      <c r="A5143">
        <v>0.270946666666667</v>
      </c>
      <c r="B5143">
        <v>0.66060310526809096</v>
      </c>
      <c r="C5143">
        <v>0.62237810821805295</v>
      </c>
      <c r="D5143">
        <v>0.79296269983684098</v>
      </c>
      <c r="E5143">
        <v>0.77133139798709605</v>
      </c>
    </row>
    <row r="5144" spans="1:5" x14ac:dyDescent="0.2">
      <c r="A5144">
        <v>0.27121333333333297</v>
      </c>
      <c r="B5144">
        <v>0.66080946447323896</v>
      </c>
      <c r="C5144">
        <v>0.62260048229161702</v>
      </c>
      <c r="D5144">
        <v>0.793127863985163</v>
      </c>
      <c r="E5144">
        <v>0.77154164113408596</v>
      </c>
    </row>
    <row r="5145" spans="1:5" x14ac:dyDescent="0.2">
      <c r="A5145">
        <v>0.27148</v>
      </c>
      <c r="B5145">
        <v>0.66101568527312704</v>
      </c>
      <c r="C5145">
        <v>0.62282271718794402</v>
      </c>
      <c r="D5145">
        <v>0.79329281867132195</v>
      </c>
      <c r="E5145">
        <v>0.77175138401215504</v>
      </c>
    </row>
    <row r="5146" spans="1:5" x14ac:dyDescent="0.2">
      <c r="A5146">
        <v>0.27174666666666702</v>
      </c>
      <c r="B5146">
        <v>0.66122176788824405</v>
      </c>
      <c r="C5146">
        <v>0.62304481312299997</v>
      </c>
      <c r="D5146">
        <v>0.79345756405112999</v>
      </c>
      <c r="E5146">
        <v>0.77196062500486595</v>
      </c>
    </row>
    <row r="5147" spans="1:5" x14ac:dyDescent="0.2">
      <c r="A5147">
        <v>0.272013333333333</v>
      </c>
      <c r="B5147">
        <v>0.66142771253907795</v>
      </c>
      <c r="C5147">
        <v>0.62326677031275002</v>
      </c>
      <c r="D5147">
        <v>0.79362210028039604</v>
      </c>
      <c r="E5147">
        <v>0.77216936249578305</v>
      </c>
    </row>
    <row r="5148" spans="1:5" x14ac:dyDescent="0.2">
      <c r="A5148">
        <v>0.27228000000000002</v>
      </c>
      <c r="B5148">
        <v>0.66163351944611803</v>
      </c>
      <c r="C5148">
        <v>0.62348858897315895</v>
      </c>
      <c r="D5148">
        <v>0.79378642751493</v>
      </c>
      <c r="E5148">
        <v>0.77237759486847102</v>
      </c>
    </row>
    <row r="5149" spans="1:5" x14ac:dyDescent="0.2">
      <c r="A5149">
        <v>0.27254666666666699</v>
      </c>
      <c r="B5149">
        <v>0.66183918882985204</v>
      </c>
      <c r="C5149">
        <v>0.62371026932019202</v>
      </c>
      <c r="D5149">
        <v>0.79395054591054304</v>
      </c>
      <c r="E5149">
        <v>0.77258532050649198</v>
      </c>
    </row>
    <row r="5150" spans="1:5" x14ac:dyDescent="0.2">
      <c r="A5150">
        <v>0.27281333333333302</v>
      </c>
      <c r="B5150">
        <v>0.66204472091077005</v>
      </c>
      <c r="C5150">
        <v>0.62393181156981403</v>
      </c>
      <c r="D5150">
        <v>0.79411445562304395</v>
      </c>
      <c r="E5150">
        <v>0.77279253779341195</v>
      </c>
    </row>
    <row r="5151" spans="1:5" x14ac:dyDescent="0.2">
      <c r="A5151">
        <v>0.27307999999999999</v>
      </c>
      <c r="B5151">
        <v>0.66225011590936</v>
      </c>
      <c r="C5151">
        <v>0.62415321593799</v>
      </c>
      <c r="D5151">
        <v>0.79427815680824398</v>
      </c>
      <c r="E5151">
        <v>0.77299924511279305</v>
      </c>
    </row>
    <row r="5152" spans="1:5" x14ac:dyDescent="0.2">
      <c r="A5152">
        <v>0.27334666666666702</v>
      </c>
      <c r="B5152">
        <v>0.66245537404610999</v>
      </c>
      <c r="C5152">
        <v>0.62437448264068596</v>
      </c>
      <c r="D5152">
        <v>0.79444164962195396</v>
      </c>
      <c r="E5152">
        <v>0.77320544084819998</v>
      </c>
    </row>
    <row r="5153" spans="1:5" x14ac:dyDescent="0.2">
      <c r="A5153">
        <v>0.27361333333333299</v>
      </c>
      <c r="B5153">
        <v>0.66266049554150896</v>
      </c>
      <c r="C5153">
        <v>0.62459561189386603</v>
      </c>
      <c r="D5153">
        <v>0.79460493421998202</v>
      </c>
      <c r="E5153">
        <v>0.77341112338319695</v>
      </c>
    </row>
    <row r="5154" spans="1:5" x14ac:dyDescent="0.2">
      <c r="A5154">
        <v>0.27388000000000001</v>
      </c>
      <c r="B5154">
        <v>0.662865480616046</v>
      </c>
      <c r="C5154">
        <v>0.62481660391349503</v>
      </c>
      <c r="D5154">
        <v>0.79476801075813897</v>
      </c>
      <c r="E5154">
        <v>0.773616291101347</v>
      </c>
    </row>
    <row r="5155" spans="1:5" x14ac:dyDescent="0.2">
      <c r="A5155">
        <v>0.27414666666666698</v>
      </c>
      <c r="B5155">
        <v>0.66307032949021005</v>
      </c>
      <c r="C5155">
        <v>0.62503745891553897</v>
      </c>
      <c r="D5155">
        <v>0.79493087939223595</v>
      </c>
      <c r="E5155">
        <v>0.77382094238621502</v>
      </c>
    </row>
    <row r="5156" spans="1:5" x14ac:dyDescent="0.2">
      <c r="A5156">
        <v>0.27441333333333301</v>
      </c>
      <c r="B5156">
        <v>0.66327504238448798</v>
      </c>
      <c r="C5156">
        <v>0.62525817711596299</v>
      </c>
      <c r="D5156">
        <v>0.79509354027808199</v>
      </c>
      <c r="E5156">
        <v>0.77402507562136402</v>
      </c>
    </row>
    <row r="5157" spans="1:5" x14ac:dyDescent="0.2">
      <c r="A5157">
        <v>0.27467999999999998</v>
      </c>
      <c r="B5157">
        <v>0.66347961951937096</v>
      </c>
      <c r="C5157">
        <v>0.625478758730731</v>
      </c>
      <c r="D5157">
        <v>0.79525599357148802</v>
      </c>
      <c r="E5157">
        <v>0.77422868919035803</v>
      </c>
    </row>
    <row r="5158" spans="1:5" x14ac:dyDescent="0.2">
      <c r="A5158">
        <v>0.27494666666666701</v>
      </c>
      <c r="B5158">
        <v>0.66368406111534595</v>
      </c>
      <c r="C5158">
        <v>0.62569920397580903</v>
      </c>
      <c r="D5158">
        <v>0.79541823942826295</v>
      </c>
      <c r="E5158">
        <v>0.77443178147676195</v>
      </c>
    </row>
    <row r="5159" spans="1:5" x14ac:dyDescent="0.2">
      <c r="A5159">
        <v>0.27521333333333298</v>
      </c>
      <c r="B5159">
        <v>0.66388836739290202</v>
      </c>
      <c r="C5159">
        <v>0.62591951306716198</v>
      </c>
      <c r="D5159">
        <v>0.79558027800421904</v>
      </c>
      <c r="E5159">
        <v>0.77463435086413901</v>
      </c>
    </row>
    <row r="5160" spans="1:5" x14ac:dyDescent="0.2">
      <c r="A5160">
        <v>0.27548</v>
      </c>
      <c r="B5160">
        <v>0.66409253857252704</v>
      </c>
      <c r="C5160">
        <v>0.626139686220755</v>
      </c>
      <c r="D5160">
        <v>0.79574210945516399</v>
      </c>
      <c r="E5160">
        <v>0.77483639573605301</v>
      </c>
    </row>
    <row r="5161" spans="1:5" x14ac:dyDescent="0.2">
      <c r="A5161">
        <v>0.27574666666666697</v>
      </c>
      <c r="B5161">
        <v>0.66429657487471105</v>
      </c>
      <c r="C5161">
        <v>0.62635972365255299</v>
      </c>
      <c r="D5161">
        <v>0.79590373393690905</v>
      </c>
      <c r="E5161">
        <v>0.77503791447606696</v>
      </c>
    </row>
    <row r="5162" spans="1:5" x14ac:dyDescent="0.2">
      <c r="A5162">
        <v>0.276013333333333</v>
      </c>
      <c r="B5162">
        <v>0.66450047651994204</v>
      </c>
      <c r="C5162">
        <v>0.62657962557852098</v>
      </c>
      <c r="D5162">
        <v>0.79606515160526503</v>
      </c>
      <c r="E5162">
        <v>0.77523890546774699</v>
      </c>
    </row>
    <row r="5163" spans="1:5" x14ac:dyDescent="0.2">
      <c r="A5163">
        <v>0.27628000000000003</v>
      </c>
      <c r="B5163">
        <v>0.66470424372870895</v>
      </c>
      <c r="C5163">
        <v>0.626799392214625</v>
      </c>
      <c r="D5163">
        <v>0.79622636261604096</v>
      </c>
      <c r="E5163">
        <v>0.775439367094655</v>
      </c>
    </row>
    <row r="5164" spans="1:5" x14ac:dyDescent="0.2">
      <c r="A5164">
        <v>0.276546666666667</v>
      </c>
      <c r="B5164">
        <v>0.66490787672149998</v>
      </c>
      <c r="C5164">
        <v>0.62701902377682905</v>
      </c>
      <c r="D5164">
        <v>0.79638736712504798</v>
      </c>
      <c r="E5164">
        <v>0.775639297740356</v>
      </c>
    </row>
    <row r="5165" spans="1:5" x14ac:dyDescent="0.2">
      <c r="A5165">
        <v>0.27681333333333302</v>
      </c>
      <c r="B5165">
        <v>0.66511137571880397</v>
      </c>
      <c r="C5165">
        <v>0.62723852048109796</v>
      </c>
      <c r="D5165">
        <v>0.79654816528809502</v>
      </c>
      <c r="E5165">
        <v>0.77583869578841302</v>
      </c>
    </row>
    <row r="5166" spans="1:5" x14ac:dyDescent="0.2">
      <c r="A5166">
        <v>0.27707999999999999</v>
      </c>
      <c r="B5166">
        <v>0.66531474094110898</v>
      </c>
      <c r="C5166">
        <v>0.62745788254339796</v>
      </c>
      <c r="D5166">
        <v>0.79670875726099299</v>
      </c>
      <c r="E5166">
        <v>0.77603755962239096</v>
      </c>
    </row>
    <row r="5167" spans="1:5" x14ac:dyDescent="0.2">
      <c r="A5167">
        <v>0.27734666666666702</v>
      </c>
      <c r="B5167">
        <v>0.665517972608905</v>
      </c>
      <c r="C5167">
        <v>0.62767711017969297</v>
      </c>
      <c r="D5167">
        <v>0.79686914319955204</v>
      </c>
      <c r="E5167">
        <v>0.77623588762585305</v>
      </c>
    </row>
    <row r="5168" spans="1:5" x14ac:dyDescent="0.2">
      <c r="A5168">
        <v>0.27761333333333299</v>
      </c>
      <c r="B5168">
        <v>0.66572107094267996</v>
      </c>
      <c r="C5168">
        <v>0.62789620360595</v>
      </c>
      <c r="D5168">
        <v>0.79702932325958198</v>
      </c>
      <c r="E5168">
        <v>0.77643367818236297</v>
      </c>
    </row>
    <row r="5169" spans="1:5" x14ac:dyDescent="0.2">
      <c r="A5169">
        <v>0.27788000000000002</v>
      </c>
      <c r="B5169">
        <v>0.66592403616292195</v>
      </c>
      <c r="C5169">
        <v>0.62811516303813097</v>
      </c>
      <c r="D5169">
        <v>0.79718929759689305</v>
      </c>
      <c r="E5169">
        <v>0.77663092967548497</v>
      </c>
    </row>
    <row r="5170" spans="1:5" x14ac:dyDescent="0.2">
      <c r="A5170">
        <v>0.27814666666666699</v>
      </c>
      <c r="B5170">
        <v>0.66612686849012004</v>
      </c>
      <c r="C5170">
        <v>0.62833398869220403</v>
      </c>
      <c r="D5170">
        <v>0.79734906636729497</v>
      </c>
      <c r="E5170">
        <v>0.77682764048878306</v>
      </c>
    </row>
    <row r="5171" spans="1:5" x14ac:dyDescent="0.2">
      <c r="A5171">
        <v>0.27841333333333301</v>
      </c>
      <c r="B5171">
        <v>0.66632956814476396</v>
      </c>
      <c r="C5171">
        <v>0.62855268078413296</v>
      </c>
      <c r="D5171">
        <v>0.79750862972659897</v>
      </c>
      <c r="E5171">
        <v>0.77702380900582202</v>
      </c>
    </row>
    <row r="5172" spans="1:5" x14ac:dyDescent="0.2">
      <c r="A5172">
        <v>0.27867999999999998</v>
      </c>
      <c r="B5172">
        <v>0.66653213534734002</v>
      </c>
      <c r="C5172">
        <v>0.62877123952988301</v>
      </c>
      <c r="D5172">
        <v>0.79766798783061399</v>
      </c>
      <c r="E5172">
        <v>0.77721943361016399</v>
      </c>
    </row>
    <row r="5173" spans="1:5" x14ac:dyDescent="0.2">
      <c r="A5173">
        <v>0.27894666666666701</v>
      </c>
      <c r="B5173">
        <v>0.66673457031833905</v>
      </c>
      <c r="C5173">
        <v>0.62898966514541799</v>
      </c>
      <c r="D5173">
        <v>0.79782714083515105</v>
      </c>
      <c r="E5173">
        <v>0.77741451268537398</v>
      </c>
    </row>
    <row r="5174" spans="1:5" x14ac:dyDescent="0.2">
      <c r="A5174">
        <v>0.27921333333333298</v>
      </c>
      <c r="B5174">
        <v>0.66693687327824902</v>
      </c>
      <c r="C5174">
        <v>0.62920795784670502</v>
      </c>
      <c r="D5174">
        <v>0.79798608889601996</v>
      </c>
      <c r="E5174">
        <v>0.77760904461501501</v>
      </c>
    </row>
    <row r="5175" spans="1:5" x14ac:dyDescent="0.2">
      <c r="A5175">
        <v>0.27948000000000001</v>
      </c>
      <c r="B5175">
        <v>0.66713904444755801</v>
      </c>
      <c r="C5175">
        <v>0.62942611784970903</v>
      </c>
      <c r="D5175">
        <v>0.79814483216903098</v>
      </c>
      <c r="E5175">
        <v>0.77780302778265198</v>
      </c>
    </row>
    <row r="5176" spans="1:5" x14ac:dyDescent="0.2">
      <c r="A5176">
        <v>0.27974666666666698</v>
      </c>
      <c r="B5176">
        <v>0.66734108404675496</v>
      </c>
      <c r="C5176">
        <v>0.62964414537039304</v>
      </c>
      <c r="D5176">
        <v>0.79830337080999403</v>
      </c>
      <c r="E5176">
        <v>0.77799646057184901</v>
      </c>
    </row>
    <row r="5177" spans="1:5" x14ac:dyDescent="0.2">
      <c r="A5177">
        <v>0.280013333333333</v>
      </c>
      <c r="B5177">
        <v>0.66754299229632896</v>
      </c>
      <c r="C5177">
        <v>0.62986204062472395</v>
      </c>
      <c r="D5177">
        <v>0.79846170497471902</v>
      </c>
      <c r="E5177">
        <v>0.77818934136616902</v>
      </c>
    </row>
    <row r="5178" spans="1:5" x14ac:dyDescent="0.2">
      <c r="A5178">
        <v>0.28027999999999997</v>
      </c>
      <c r="B5178">
        <v>0.66774476941290095</v>
      </c>
      <c r="C5178">
        <v>0.63007980382489304</v>
      </c>
      <c r="D5178">
        <v>0.79861983481901699</v>
      </c>
      <c r="E5178">
        <v>0.77838166854917601</v>
      </c>
    </row>
    <row r="5179" spans="1:5" x14ac:dyDescent="0.2">
      <c r="A5179">
        <v>0.280546666666667</v>
      </c>
      <c r="B5179">
        <v>0.66794641559978396</v>
      </c>
      <c r="C5179">
        <v>0.63029743517009496</v>
      </c>
      <c r="D5179">
        <v>0.79877776049869698</v>
      </c>
      <c r="E5179">
        <v>0.778573440504434</v>
      </c>
    </row>
    <row r="5180" spans="1:5" x14ac:dyDescent="0.2">
      <c r="A5180">
        <v>0.28081333333333303</v>
      </c>
      <c r="B5180">
        <v>0.66814793105742298</v>
      </c>
      <c r="C5180">
        <v>0.63051493485673005</v>
      </c>
      <c r="D5180">
        <v>0.798935482169569</v>
      </c>
      <c r="E5180">
        <v>0.77876465561550701</v>
      </c>
    </row>
    <row r="5181" spans="1:5" x14ac:dyDescent="0.2">
      <c r="A5181">
        <v>0.28108</v>
      </c>
      <c r="B5181">
        <v>0.66834931598626501</v>
      </c>
      <c r="C5181">
        <v>0.63073230308120098</v>
      </c>
      <c r="D5181">
        <v>0.79909299998744499</v>
      </c>
      <c r="E5181">
        <v>0.77895531226595904</v>
      </c>
    </row>
    <row r="5182" spans="1:5" x14ac:dyDescent="0.2">
      <c r="A5182">
        <v>0.28134666666666702</v>
      </c>
      <c r="B5182">
        <v>0.66855057058675604</v>
      </c>
      <c r="C5182">
        <v>0.630949540039905</v>
      </c>
      <c r="D5182">
        <v>0.79925031410813296</v>
      </c>
      <c r="E5182">
        <v>0.77914540883935501</v>
      </c>
    </row>
    <row r="5183" spans="1:5" x14ac:dyDescent="0.2">
      <c r="A5183">
        <v>0.28161333333333299</v>
      </c>
      <c r="B5183">
        <v>0.66875169505934295</v>
      </c>
      <c r="C5183">
        <v>0.63116664592924498</v>
      </c>
      <c r="D5183">
        <v>0.79940742468744397</v>
      </c>
      <c r="E5183">
        <v>0.77933494371925605</v>
      </c>
    </row>
    <row r="5184" spans="1:5" x14ac:dyDescent="0.2">
      <c r="A5184">
        <v>0.28188000000000002</v>
      </c>
      <c r="B5184">
        <v>0.66895268960447296</v>
      </c>
      <c r="C5184">
        <v>0.63138362094561895</v>
      </c>
      <c r="D5184">
        <v>0.79956433188118903</v>
      </c>
      <c r="E5184">
        <v>0.77952391528922904</v>
      </c>
    </row>
    <row r="5185" spans="1:5" x14ac:dyDescent="0.2">
      <c r="A5185">
        <v>0.28214666666666699</v>
      </c>
      <c r="B5185">
        <v>0.66915355442259195</v>
      </c>
      <c r="C5185">
        <v>0.63160046528542901</v>
      </c>
      <c r="D5185">
        <v>0.79972103584517695</v>
      </c>
      <c r="E5185">
        <v>0.77971232193283602</v>
      </c>
    </row>
    <row r="5186" spans="1:5" x14ac:dyDescent="0.2">
      <c r="A5186">
        <v>0.28241333333333302</v>
      </c>
      <c r="B5186">
        <v>0.66935428971414601</v>
      </c>
      <c r="C5186">
        <v>0.63181717914507396</v>
      </c>
      <c r="D5186">
        <v>0.799877536735218</v>
      </c>
      <c r="E5186">
        <v>0.77990016203364199</v>
      </c>
    </row>
    <row r="5187" spans="1:5" x14ac:dyDescent="0.2">
      <c r="A5187">
        <v>0.28267999999999999</v>
      </c>
      <c r="B5187">
        <v>0.66955489567958304</v>
      </c>
      <c r="C5187">
        <v>0.63203376272095602</v>
      </c>
      <c r="D5187">
        <v>0.80003383470712297</v>
      </c>
      <c r="E5187">
        <v>0.78008743397520997</v>
      </c>
    </row>
    <row r="5188" spans="1:5" x14ac:dyDescent="0.2">
      <c r="A5188">
        <v>0.28294666666666701</v>
      </c>
      <c r="B5188">
        <v>0.66975537251934802</v>
      </c>
      <c r="C5188">
        <v>0.63225021620947297</v>
      </c>
      <c r="D5188">
        <v>0.80018992991670101</v>
      </c>
      <c r="E5188">
        <v>0.78027413614110397</v>
      </c>
    </row>
    <row r="5189" spans="1:5" x14ac:dyDescent="0.2">
      <c r="A5189">
        <v>0.28321333333333298</v>
      </c>
      <c r="B5189">
        <v>0.66995572043388896</v>
      </c>
      <c r="C5189">
        <v>0.63246653980702705</v>
      </c>
      <c r="D5189">
        <v>0.80034582251976305</v>
      </c>
      <c r="E5189">
        <v>0.78046026691488801</v>
      </c>
    </row>
    <row r="5190" spans="1:5" x14ac:dyDescent="0.2">
      <c r="A5190">
        <v>0.28348000000000001</v>
      </c>
      <c r="B5190">
        <v>0.67015593962365105</v>
      </c>
      <c r="C5190">
        <v>0.63268273371001804</v>
      </c>
      <c r="D5190">
        <v>0.800501512672119</v>
      </c>
      <c r="E5190">
        <v>0.780645824680127</v>
      </c>
    </row>
    <row r="5191" spans="1:5" x14ac:dyDescent="0.2">
      <c r="A5191">
        <v>0.28374666666666698</v>
      </c>
      <c r="B5191">
        <v>0.67035603028908097</v>
      </c>
      <c r="C5191">
        <v>0.63289879811484595</v>
      </c>
      <c r="D5191">
        <v>0.800657000529579</v>
      </c>
      <c r="E5191">
        <v>0.78083080782038305</v>
      </c>
    </row>
    <row r="5192" spans="1:5" x14ac:dyDescent="0.2">
      <c r="A5192">
        <v>0.28401333333333301</v>
      </c>
      <c r="B5192">
        <v>0.67055599263062704</v>
      </c>
      <c r="C5192">
        <v>0.63311473321791201</v>
      </c>
      <c r="D5192">
        <v>0.80081228624795397</v>
      </c>
      <c r="E5192">
        <v>0.78101521471922197</v>
      </c>
    </row>
    <row r="5193" spans="1:5" x14ac:dyDescent="0.2">
      <c r="A5193">
        <v>0.28427999999999998</v>
      </c>
      <c r="B5193">
        <v>0.67075582684873403</v>
      </c>
      <c r="C5193">
        <v>0.633330539215615</v>
      </c>
      <c r="D5193">
        <v>0.80096736998305296</v>
      </c>
      <c r="E5193">
        <v>0.78119904376020599</v>
      </c>
    </row>
    <row r="5194" spans="1:5" x14ac:dyDescent="0.2">
      <c r="A5194">
        <v>0.284546666666667</v>
      </c>
      <c r="B5194">
        <v>0.67095553314384804</v>
      </c>
      <c r="C5194">
        <v>0.63354621630435604</v>
      </c>
      <c r="D5194">
        <v>0.80112225189068598</v>
      </c>
      <c r="E5194">
        <v>0.78138229332690001</v>
      </c>
    </row>
    <row r="5195" spans="1:5" x14ac:dyDescent="0.2">
      <c r="A5195">
        <v>0.28481333333333297</v>
      </c>
      <c r="B5195">
        <v>0.67115511171641795</v>
      </c>
      <c r="C5195">
        <v>0.63376176468053502</v>
      </c>
      <c r="D5195">
        <v>0.80127693212666395</v>
      </c>
      <c r="E5195">
        <v>0.78156496180286705</v>
      </c>
    </row>
    <row r="5196" spans="1:5" x14ac:dyDescent="0.2">
      <c r="A5196">
        <v>0.28508</v>
      </c>
      <c r="B5196">
        <v>0.67135456276688799</v>
      </c>
      <c r="C5196">
        <v>0.63397718454055396</v>
      </c>
      <c r="D5196">
        <v>0.80143141084679603</v>
      </c>
      <c r="E5196">
        <v>0.78174704757167202</v>
      </c>
    </row>
    <row r="5197" spans="1:5" x14ac:dyDescent="0.2">
      <c r="A5197">
        <v>0.28534666666666703</v>
      </c>
      <c r="B5197">
        <v>0.67155388649570602</v>
      </c>
      <c r="C5197">
        <v>0.63419247608080997</v>
      </c>
      <c r="D5197">
        <v>0.80158568820689302</v>
      </c>
      <c r="E5197">
        <v>0.78192854901687803</v>
      </c>
    </row>
    <row r="5198" spans="1:5" x14ac:dyDescent="0.2">
      <c r="A5198">
        <v>0.285613333333333</v>
      </c>
      <c r="B5198">
        <v>0.67175308310331805</v>
      </c>
      <c r="C5198">
        <v>0.63440763949770596</v>
      </c>
      <c r="D5198">
        <v>0.80173976436276595</v>
      </c>
      <c r="E5198">
        <v>0.78210946452204999</v>
      </c>
    </row>
    <row r="5199" spans="1:5" x14ac:dyDescent="0.2">
      <c r="A5199">
        <v>0.28588000000000002</v>
      </c>
      <c r="B5199">
        <v>0.67195215279016995</v>
      </c>
      <c r="C5199">
        <v>0.63462267498764202</v>
      </c>
      <c r="D5199">
        <v>0.80189363947022296</v>
      </c>
      <c r="E5199">
        <v>0.78228979247075103</v>
      </c>
    </row>
    <row r="5200" spans="1:5" x14ac:dyDescent="0.2">
      <c r="A5200">
        <v>0.28614666666666699</v>
      </c>
      <c r="B5200">
        <v>0.67215109575670995</v>
      </c>
      <c r="C5200">
        <v>0.63483758274701696</v>
      </c>
      <c r="D5200">
        <v>0.80204731368507598</v>
      </c>
      <c r="E5200">
        <v>0.78246953124654495</v>
      </c>
    </row>
    <row r="5201" spans="1:5" x14ac:dyDescent="0.2">
      <c r="A5201">
        <v>0.28641333333333302</v>
      </c>
      <c r="B5201">
        <v>0.67234991220338303</v>
      </c>
      <c r="C5201">
        <v>0.635052362972232</v>
      </c>
      <c r="D5201">
        <v>0.80220078716313403</v>
      </c>
      <c r="E5201">
        <v>0.78264867923299597</v>
      </c>
    </row>
    <row r="5202" spans="1:5" x14ac:dyDescent="0.2">
      <c r="A5202">
        <v>0.28667999999999999</v>
      </c>
      <c r="B5202">
        <v>0.67254860233063696</v>
      </c>
      <c r="C5202">
        <v>0.63526701585968803</v>
      </c>
      <c r="D5202">
        <v>0.80235406006020804</v>
      </c>
      <c r="E5202">
        <v>0.782827234813668</v>
      </c>
    </row>
    <row r="5203" spans="1:5" x14ac:dyDescent="0.2">
      <c r="A5203">
        <v>0.28694666666666702</v>
      </c>
      <c r="B5203">
        <v>0.67274716633891796</v>
      </c>
      <c r="C5203">
        <v>0.63548154160578396</v>
      </c>
      <c r="D5203">
        <v>0.80250713253210704</v>
      </c>
      <c r="E5203">
        <v>0.78300519637212496</v>
      </c>
    </row>
    <row r="5204" spans="1:5" x14ac:dyDescent="0.2">
      <c r="A5204">
        <v>0.28721333333333299</v>
      </c>
      <c r="B5204">
        <v>0.67294560442867202</v>
      </c>
      <c r="C5204">
        <v>0.63569594040692101</v>
      </c>
      <c r="D5204">
        <v>0.80266000473464305</v>
      </c>
      <c r="E5204">
        <v>0.78318256229192995</v>
      </c>
    </row>
    <row r="5205" spans="1:5" x14ac:dyDescent="0.2">
      <c r="A5205">
        <v>0.28748000000000001</v>
      </c>
      <c r="B5205">
        <v>0.67314391680034502</v>
      </c>
      <c r="C5205">
        <v>0.63591021245949897</v>
      </c>
      <c r="D5205">
        <v>0.80281267682362401</v>
      </c>
      <c r="E5205">
        <v>0.783359330956648</v>
      </c>
    </row>
    <row r="5206" spans="1:5" x14ac:dyDescent="0.2">
      <c r="A5206">
        <v>0.28774666666666698</v>
      </c>
      <c r="B5206">
        <v>0.67334210365438596</v>
      </c>
      <c r="C5206">
        <v>0.63612435795991895</v>
      </c>
      <c r="D5206">
        <v>0.80296514895486104</v>
      </c>
      <c r="E5206">
        <v>0.78353550074984302</v>
      </c>
    </row>
    <row r="5207" spans="1:5" x14ac:dyDescent="0.2">
      <c r="A5207">
        <v>0.28801333333333301</v>
      </c>
      <c r="B5207">
        <v>0.67354016519123905</v>
      </c>
      <c r="C5207">
        <v>0.63633837710458097</v>
      </c>
      <c r="D5207">
        <v>0.80311742128416397</v>
      </c>
      <c r="E5207">
        <v>0.78371107005507801</v>
      </c>
    </row>
    <row r="5208" spans="1:5" x14ac:dyDescent="0.2">
      <c r="A5208">
        <v>0.28827999999999998</v>
      </c>
      <c r="B5208">
        <v>0.67373810161135195</v>
      </c>
      <c r="C5208">
        <v>0.63655227008988402</v>
      </c>
      <c r="D5208">
        <v>0.80326949396734404</v>
      </c>
      <c r="E5208">
        <v>0.78388603725591699</v>
      </c>
    </row>
    <row r="5209" spans="1:5" x14ac:dyDescent="0.2">
      <c r="A5209">
        <v>0.28854666666666701</v>
      </c>
      <c r="B5209">
        <v>0.67393591311517098</v>
      </c>
      <c r="C5209">
        <v>0.63676603711223001</v>
      </c>
      <c r="D5209">
        <v>0.80342136716020995</v>
      </c>
      <c r="E5209">
        <v>0.78406040073592498</v>
      </c>
    </row>
    <row r="5210" spans="1:5" x14ac:dyDescent="0.2">
      <c r="A5210">
        <v>0.28881333333333298</v>
      </c>
      <c r="B5210">
        <v>0.67413359990314203</v>
      </c>
      <c r="C5210">
        <v>0.63697967836801905</v>
      </c>
      <c r="D5210">
        <v>0.80357304101857296</v>
      </c>
      <c r="E5210">
        <v>0.78423415887866499</v>
      </c>
    </row>
    <row r="5211" spans="1:5" x14ac:dyDescent="0.2">
      <c r="A5211">
        <v>0.28908</v>
      </c>
      <c r="B5211">
        <v>0.67433116217571298</v>
      </c>
      <c r="C5211">
        <v>0.63719319405365005</v>
      </c>
      <c r="D5211">
        <v>0.80372451569824199</v>
      </c>
      <c r="E5211">
        <v>0.78440731006770104</v>
      </c>
    </row>
    <row r="5212" spans="1:5" x14ac:dyDescent="0.2">
      <c r="A5212">
        <v>0.28934666666666697</v>
      </c>
      <c r="B5212">
        <v>0.67452860013332905</v>
      </c>
      <c r="C5212">
        <v>0.637406584365525</v>
      </c>
      <c r="D5212">
        <v>0.80387579135502796</v>
      </c>
      <c r="E5212">
        <v>0.78457985268659702</v>
      </c>
    </row>
    <row r="5213" spans="1:5" x14ac:dyDescent="0.2">
      <c r="A5213">
        <v>0.289613333333333</v>
      </c>
      <c r="B5213">
        <v>0.674725913976437</v>
      </c>
      <c r="C5213">
        <v>0.63761984950004302</v>
      </c>
      <c r="D5213">
        <v>0.804026868144741</v>
      </c>
      <c r="E5213">
        <v>0.78475178511891597</v>
      </c>
    </row>
    <row r="5214" spans="1:5" x14ac:dyDescent="0.2">
      <c r="A5214">
        <v>0.28988000000000003</v>
      </c>
      <c r="B5214">
        <v>0.67492310390548504</v>
      </c>
      <c r="C5214">
        <v>0.63783298965360602</v>
      </c>
      <c r="D5214">
        <v>0.80417774622319205</v>
      </c>
      <c r="E5214">
        <v>0.78492310574822399</v>
      </c>
    </row>
    <row r="5215" spans="1:5" x14ac:dyDescent="0.2">
      <c r="A5215">
        <v>0.290146666666667</v>
      </c>
      <c r="B5215">
        <v>0.67512017012042302</v>
      </c>
      <c r="C5215">
        <v>0.63804600502214204</v>
      </c>
      <c r="D5215">
        <v>0.80432842574618901</v>
      </c>
      <c r="E5215">
        <v>0.78509381307782899</v>
      </c>
    </row>
    <row r="5216" spans="1:5" x14ac:dyDescent="0.2">
      <c r="A5216">
        <v>0.29041333333333302</v>
      </c>
      <c r="B5216">
        <v>0.67531711281212503</v>
      </c>
      <c r="C5216">
        <v>0.63825889579294104</v>
      </c>
      <c r="D5216">
        <v>0.80447890686954404</v>
      </c>
      <c r="E5216">
        <v>0.78526390781226596</v>
      </c>
    </row>
    <row r="5217" spans="1:5" x14ac:dyDescent="0.2">
      <c r="A5217">
        <v>0.29067999999999999</v>
      </c>
      <c r="B5217">
        <v>0.67551393216349298</v>
      </c>
      <c r="C5217">
        <v>0.63847166214570705</v>
      </c>
      <c r="D5217">
        <v>0.80462918974906705</v>
      </c>
      <c r="E5217">
        <v>0.78543339258793099</v>
      </c>
    </row>
    <row r="5218" spans="1:5" x14ac:dyDescent="0.2">
      <c r="A5218">
        <v>0.29094666666666702</v>
      </c>
      <c r="B5218">
        <v>0.67571062835715801</v>
      </c>
      <c r="C5218">
        <v>0.63868430425988698</v>
      </c>
      <c r="D5218">
        <v>0.80477927454056697</v>
      </c>
      <c r="E5218">
        <v>0.78560227010680805</v>
      </c>
    </row>
    <row r="5219" spans="1:5" x14ac:dyDescent="0.2">
      <c r="A5219">
        <v>0.29121333333333299</v>
      </c>
      <c r="B5219">
        <v>0.67590720157575201</v>
      </c>
      <c r="C5219">
        <v>0.63889682231492895</v>
      </c>
      <c r="D5219">
        <v>0.80492916139985404</v>
      </c>
      <c r="E5219">
        <v>0.78577054307087801</v>
      </c>
    </row>
    <row r="5220" spans="1:5" x14ac:dyDescent="0.2">
      <c r="A5220">
        <v>0.29148000000000002</v>
      </c>
      <c r="B5220">
        <v>0.67610365200190703</v>
      </c>
      <c r="C5220">
        <v>0.63910921649027896</v>
      </c>
      <c r="D5220">
        <v>0.80507885048273997</v>
      </c>
      <c r="E5220">
        <v>0.78593821418212395</v>
      </c>
    </row>
    <row r="5221" spans="1:5" x14ac:dyDescent="0.2">
      <c r="A5221">
        <v>0.29174666666666699</v>
      </c>
      <c r="B5221">
        <v>0.67629997981825596</v>
      </c>
      <c r="C5221">
        <v>0.63932148696538504</v>
      </c>
      <c r="D5221">
        <v>0.80522834194503401</v>
      </c>
      <c r="E5221">
        <v>0.78610528614252795</v>
      </c>
    </row>
    <row r="5222" spans="1:5" x14ac:dyDescent="0.2">
      <c r="A5222">
        <v>0.29201333333333301</v>
      </c>
      <c r="B5222">
        <v>0.67649618520742905</v>
      </c>
      <c r="C5222">
        <v>0.63953363391969298</v>
      </c>
      <c r="D5222">
        <v>0.80537763594254597</v>
      </c>
      <c r="E5222">
        <v>0.78627176165407398</v>
      </c>
    </row>
    <row r="5223" spans="1:5" x14ac:dyDescent="0.2">
      <c r="A5223">
        <v>0.29227999999999998</v>
      </c>
      <c r="B5223">
        <v>0.67669226835205898</v>
      </c>
      <c r="C5223">
        <v>0.639745657532651</v>
      </c>
      <c r="D5223">
        <v>0.80552673263108598</v>
      </c>
      <c r="E5223">
        <v>0.786437643418744</v>
      </c>
    </row>
    <row r="5224" spans="1:5" x14ac:dyDescent="0.2">
      <c r="A5224">
        <v>0.29254666666666701</v>
      </c>
      <c r="B5224">
        <v>0.676888229434778</v>
      </c>
      <c r="C5224">
        <v>0.63995755798370602</v>
      </c>
      <c r="D5224">
        <v>0.80567563216646498</v>
      </c>
      <c r="E5224">
        <v>0.78660293413852</v>
      </c>
    </row>
    <row r="5225" spans="1:5" x14ac:dyDescent="0.2">
      <c r="A5225">
        <v>0.29281333333333298</v>
      </c>
      <c r="B5225">
        <v>0.67708406863821702</v>
      </c>
      <c r="C5225">
        <v>0.64016933545230403</v>
      </c>
      <c r="D5225">
        <v>0.805824334704492</v>
      </c>
      <c r="E5225">
        <v>0.78676763651538495</v>
      </c>
    </row>
    <row r="5226" spans="1:5" x14ac:dyDescent="0.2">
      <c r="A5226">
        <v>0.29308000000000001</v>
      </c>
      <c r="B5226">
        <v>0.67727978614500794</v>
      </c>
      <c r="C5226">
        <v>0.64038099011789396</v>
      </c>
      <c r="D5226">
        <v>0.80597284040097805</v>
      </c>
      <c r="E5226">
        <v>0.78693175325132103</v>
      </c>
    </row>
    <row r="5227" spans="1:5" x14ac:dyDescent="0.2">
      <c r="A5227">
        <v>0.29334666666666698</v>
      </c>
      <c r="B5227">
        <v>0.67747538213778402</v>
      </c>
      <c r="C5227">
        <v>0.64059252215992202</v>
      </c>
      <c r="D5227">
        <v>0.80612114941173296</v>
      </c>
      <c r="E5227">
        <v>0.787095287048311</v>
      </c>
    </row>
    <row r="5228" spans="1:5" x14ac:dyDescent="0.2">
      <c r="A5228">
        <v>0.293613333333333</v>
      </c>
      <c r="B5228">
        <v>0.67767085679917605</v>
      </c>
      <c r="C5228">
        <v>0.64080393175783401</v>
      </c>
      <c r="D5228">
        <v>0.80626926189256598</v>
      </c>
      <c r="E5228">
        <v>0.78725824060833804</v>
      </c>
    </row>
    <row r="5229" spans="1:5" x14ac:dyDescent="0.2">
      <c r="A5229">
        <v>0.29387999999999997</v>
      </c>
      <c r="B5229">
        <v>0.67786621031181504</v>
      </c>
      <c r="C5229">
        <v>0.64101521909107895</v>
      </c>
      <c r="D5229">
        <v>0.80641717799928903</v>
      </c>
      <c r="E5229">
        <v>0.78742061663338403</v>
      </c>
    </row>
    <row r="5230" spans="1:5" x14ac:dyDescent="0.2">
      <c r="A5230">
        <v>0.294146666666667</v>
      </c>
      <c r="B5230">
        <v>0.67806144285833403</v>
      </c>
      <c r="C5230">
        <v>0.64122638433910295</v>
      </c>
      <c r="D5230">
        <v>0.80656489788771102</v>
      </c>
      <c r="E5230">
        <v>0.78758241782543204</v>
      </c>
    </row>
    <row r="5231" spans="1:5" x14ac:dyDescent="0.2">
      <c r="A5231">
        <v>0.29441333333333303</v>
      </c>
      <c r="B5231">
        <v>0.67825655462136503</v>
      </c>
      <c r="C5231">
        <v>0.64143742768135403</v>
      </c>
      <c r="D5231">
        <v>0.80671242171364299</v>
      </c>
      <c r="E5231">
        <v>0.78774364688646403</v>
      </c>
    </row>
    <row r="5232" spans="1:5" x14ac:dyDescent="0.2">
      <c r="A5232">
        <v>0.29468</v>
      </c>
      <c r="B5232">
        <v>0.67845154578353895</v>
      </c>
      <c r="C5232">
        <v>0.64164834929727799</v>
      </c>
      <c r="D5232">
        <v>0.80685974963289298</v>
      </c>
      <c r="E5232">
        <v>0.78790430651846299</v>
      </c>
    </row>
    <row r="5233" spans="1:5" x14ac:dyDescent="0.2">
      <c r="A5233">
        <v>0.29494666666666702</v>
      </c>
      <c r="B5233">
        <v>0.67864641652748803</v>
      </c>
      <c r="C5233">
        <v>0.64185914936632205</v>
      </c>
      <c r="D5233">
        <v>0.807006881801274</v>
      </c>
      <c r="E5233">
        <v>0.788064399423412</v>
      </c>
    </row>
    <row r="5234" spans="1:5" x14ac:dyDescent="0.2">
      <c r="A5234">
        <v>0.29521333333333299</v>
      </c>
      <c r="B5234">
        <v>0.67884116703584496</v>
      </c>
      <c r="C5234">
        <v>0.642069828067934</v>
      </c>
      <c r="D5234">
        <v>0.80715381837459399</v>
      </c>
      <c r="E5234">
        <v>0.78822392830329202</v>
      </c>
    </row>
    <row r="5235" spans="1:5" x14ac:dyDescent="0.2">
      <c r="A5235">
        <v>0.29548000000000002</v>
      </c>
      <c r="B5235">
        <v>0.67903579749123999</v>
      </c>
      <c r="C5235">
        <v>0.64228038558155998</v>
      </c>
      <c r="D5235">
        <v>0.80730055950866397</v>
      </c>
      <c r="E5235">
        <v>0.78838289586008703</v>
      </c>
    </row>
    <row r="5236" spans="1:5" x14ac:dyDescent="0.2">
      <c r="A5236">
        <v>0.29574666666666699</v>
      </c>
      <c r="B5236">
        <v>0.67923030807630602</v>
      </c>
      <c r="C5236">
        <v>0.64249082208664898</v>
      </c>
      <c r="D5236">
        <v>0.80744710535929398</v>
      </c>
      <c r="E5236">
        <v>0.788541304795779</v>
      </c>
    </row>
    <row r="5237" spans="1:5" x14ac:dyDescent="0.2">
      <c r="A5237">
        <v>0.29601333333333302</v>
      </c>
      <c r="B5237">
        <v>0.67942469897367497</v>
      </c>
      <c r="C5237">
        <v>0.64270113776264604</v>
      </c>
      <c r="D5237">
        <v>0.80759345608229505</v>
      </c>
      <c r="E5237">
        <v>0.788699157812351</v>
      </c>
    </row>
    <row r="5238" spans="1:5" x14ac:dyDescent="0.2">
      <c r="A5238">
        <v>0.29627999999999999</v>
      </c>
      <c r="B5238">
        <v>0.67961897036597796</v>
      </c>
      <c r="C5238">
        <v>0.64291133278899903</v>
      </c>
      <c r="D5238">
        <v>0.80773961183347498</v>
      </c>
      <c r="E5238">
        <v>0.78885645761178502</v>
      </c>
    </row>
    <row r="5239" spans="1:5" x14ac:dyDescent="0.2">
      <c r="A5239">
        <v>0.29654666666666701</v>
      </c>
      <c r="B5239">
        <v>0.67981312243584802</v>
      </c>
      <c r="C5239">
        <v>0.64312140734515399</v>
      </c>
      <c r="D5239">
        <v>0.80788557276864603</v>
      </c>
      <c r="E5239">
        <v>0.78901320689606402</v>
      </c>
    </row>
    <row r="5240" spans="1:5" x14ac:dyDescent="0.2">
      <c r="A5240">
        <v>0.29681333333333298</v>
      </c>
      <c r="B5240">
        <v>0.68000715536591605</v>
      </c>
      <c r="C5240">
        <v>0.64333136161056004</v>
      </c>
      <c r="D5240">
        <v>0.80803133904361801</v>
      </c>
      <c r="E5240">
        <v>0.78916940836716998</v>
      </c>
    </row>
    <row r="5241" spans="1:5" x14ac:dyDescent="0.2">
      <c r="A5241">
        <v>0.29708000000000001</v>
      </c>
      <c r="B5241">
        <v>0.68020106933881397</v>
      </c>
      <c r="C5241">
        <v>0.64354119576466295</v>
      </c>
      <c r="D5241">
        <v>0.80817691081419996</v>
      </c>
      <c r="E5241">
        <v>0.78932506472708597</v>
      </c>
    </row>
    <row r="5242" spans="1:5" x14ac:dyDescent="0.2">
      <c r="A5242">
        <v>0.29734666666666698</v>
      </c>
      <c r="B5242">
        <v>0.68039486453717402</v>
      </c>
      <c r="C5242">
        <v>0.64375090998691098</v>
      </c>
      <c r="D5242">
        <v>0.808322288236203</v>
      </c>
      <c r="E5242">
        <v>0.78948017867779496</v>
      </c>
    </row>
    <row r="5243" spans="1:5" x14ac:dyDescent="0.2">
      <c r="A5243">
        <v>0.29761333333333301</v>
      </c>
      <c r="B5243">
        <v>0.68058854114362799</v>
      </c>
      <c r="C5243">
        <v>0.64396050445674902</v>
      </c>
      <c r="D5243">
        <v>0.80846747146543696</v>
      </c>
      <c r="E5243">
        <v>0.78963475292127805</v>
      </c>
    </row>
    <row r="5244" spans="1:5" x14ac:dyDescent="0.2">
      <c r="A5244">
        <v>0.29787999999999998</v>
      </c>
      <c r="B5244">
        <v>0.68078209934080702</v>
      </c>
      <c r="C5244">
        <v>0.64416997935362597</v>
      </c>
      <c r="D5244">
        <v>0.80861246065771197</v>
      </c>
      <c r="E5244">
        <v>0.78978879015951997</v>
      </c>
    </row>
    <row r="5245" spans="1:5" x14ac:dyDescent="0.2">
      <c r="A5245">
        <v>0.298146666666667</v>
      </c>
      <c r="B5245">
        <v>0.68097553931134402</v>
      </c>
      <c r="C5245">
        <v>0.64437933485698795</v>
      </c>
      <c r="D5245">
        <v>0.80875725596883796</v>
      </c>
      <c r="E5245">
        <v>0.78994229309450104</v>
      </c>
    </row>
    <row r="5246" spans="1:5" x14ac:dyDescent="0.2">
      <c r="A5246">
        <v>0.29841333333333298</v>
      </c>
      <c r="B5246">
        <v>0.68116886123787002</v>
      </c>
      <c r="C5246">
        <v>0.64458857114628298</v>
      </c>
      <c r="D5246">
        <v>0.80890185755462496</v>
      </c>
      <c r="E5246">
        <v>0.79009526442820499</v>
      </c>
    </row>
    <row r="5247" spans="1:5" x14ac:dyDescent="0.2">
      <c r="A5247">
        <v>0.29868</v>
      </c>
      <c r="B5247">
        <v>0.68136206530301702</v>
      </c>
      <c r="C5247">
        <v>0.64479768840095797</v>
      </c>
      <c r="D5247">
        <v>0.80904626557088399</v>
      </c>
      <c r="E5247">
        <v>0.79024770686261503</v>
      </c>
    </row>
    <row r="5248" spans="1:5" x14ac:dyDescent="0.2">
      <c r="A5248">
        <v>0.29894666666666703</v>
      </c>
      <c r="B5248">
        <v>0.68155515168941705</v>
      </c>
      <c r="C5248">
        <v>0.64500668680045903</v>
      </c>
      <c r="D5248">
        <v>0.80919048017342499</v>
      </c>
      <c r="E5248">
        <v>0.79039962309971201</v>
      </c>
    </row>
    <row r="5249" spans="1:5" x14ac:dyDescent="0.2">
      <c r="A5249">
        <v>0.299213333333333</v>
      </c>
      <c r="B5249">
        <v>0.68174812057970202</v>
      </c>
      <c r="C5249">
        <v>0.64521556652423395</v>
      </c>
      <c r="D5249">
        <v>0.80933450151805697</v>
      </c>
      <c r="E5249">
        <v>0.79055101584148002</v>
      </c>
    </row>
    <row r="5250" spans="1:5" x14ac:dyDescent="0.2">
      <c r="A5250">
        <v>0.29948000000000002</v>
      </c>
      <c r="B5250">
        <v>0.68194097215650396</v>
      </c>
      <c r="C5250">
        <v>0.64542432775172898</v>
      </c>
      <c r="D5250">
        <v>0.80947832976059098</v>
      </c>
      <c r="E5250">
        <v>0.79070188778990103</v>
      </c>
    </row>
    <row r="5251" spans="1:5" x14ac:dyDescent="0.2">
      <c r="A5251">
        <v>0.29974666666666699</v>
      </c>
      <c r="B5251">
        <v>0.68213370660245498</v>
      </c>
      <c r="C5251">
        <v>0.645632970662393</v>
      </c>
      <c r="D5251">
        <v>0.80962196505683703</v>
      </c>
      <c r="E5251">
        <v>0.790852241646958</v>
      </c>
    </row>
    <row r="5252" spans="1:5" x14ac:dyDescent="0.2">
      <c r="A5252">
        <v>0.30001333333333302</v>
      </c>
      <c r="B5252">
        <v>0.68232632410018501</v>
      </c>
      <c r="C5252">
        <v>0.64584149543567104</v>
      </c>
      <c r="D5252">
        <v>0.80976540756260595</v>
      </c>
      <c r="E5252">
        <v>0.79100208011463202</v>
      </c>
    </row>
    <row r="5253" spans="1:5" x14ac:dyDescent="0.2">
      <c r="A5253">
        <v>0.30027999999999999</v>
      </c>
      <c r="B5253">
        <v>0.68251882482933102</v>
      </c>
      <c r="C5253">
        <v>0.646049902248092</v>
      </c>
      <c r="D5253">
        <v>0.80990865743370599</v>
      </c>
      <c r="E5253">
        <v>0.79115140589490796</v>
      </c>
    </row>
    <row r="5254" spans="1:5" x14ac:dyDescent="0.2">
      <c r="A5254">
        <v>0.30054666666666702</v>
      </c>
      <c r="B5254">
        <v>0.682711208959208</v>
      </c>
      <c r="C5254">
        <v>0.64625819126612805</v>
      </c>
      <c r="D5254">
        <v>0.81005171482594895</v>
      </c>
      <c r="E5254">
        <v>0.79130022168976599</v>
      </c>
    </row>
    <row r="5255" spans="1:5" x14ac:dyDescent="0.2">
      <c r="A5255">
        <v>0.30081333333333299</v>
      </c>
      <c r="B5255">
        <v>0.68290347665691098</v>
      </c>
      <c r="C5255">
        <v>0.64646636265409196</v>
      </c>
      <c r="D5255">
        <v>0.81019457989514498</v>
      </c>
      <c r="E5255">
        <v>0.79144853020119099</v>
      </c>
    </row>
    <row r="5256" spans="1:5" x14ac:dyDescent="0.2">
      <c r="A5256">
        <v>0.30108000000000001</v>
      </c>
      <c r="B5256">
        <v>0.68309562808953594</v>
      </c>
      <c r="C5256">
        <v>0.64667441657629399</v>
      </c>
      <c r="D5256">
        <v>0.810337252797103</v>
      </c>
      <c r="E5256">
        <v>0.79159633413116304</v>
      </c>
    </row>
    <row r="5257" spans="1:5" x14ac:dyDescent="0.2">
      <c r="A5257">
        <v>0.30134666666666698</v>
      </c>
      <c r="B5257">
        <v>0.68328766342417702</v>
      </c>
      <c r="C5257">
        <v>0.64688235319704601</v>
      </c>
      <c r="D5257">
        <v>0.81047973368763304</v>
      </c>
      <c r="E5257">
        <v>0.79174363618166699</v>
      </c>
    </row>
    <row r="5258" spans="1:5" x14ac:dyDescent="0.2">
      <c r="A5258">
        <v>0.30161333333333301</v>
      </c>
      <c r="B5258">
        <v>0.68347958282793098</v>
      </c>
      <c r="C5258">
        <v>0.64709017268065705</v>
      </c>
      <c r="D5258">
        <v>0.81062202272254702</v>
      </c>
      <c r="E5258">
        <v>0.79189043905468504</v>
      </c>
    </row>
    <row r="5259" spans="1:5" x14ac:dyDescent="0.2">
      <c r="A5259">
        <v>0.30187999999999998</v>
      </c>
      <c r="B5259">
        <v>0.68367138646789305</v>
      </c>
      <c r="C5259">
        <v>0.647297875191439</v>
      </c>
      <c r="D5259">
        <v>0.81076412005765397</v>
      </c>
      <c r="E5259">
        <v>0.79203674545219804</v>
      </c>
    </row>
    <row r="5260" spans="1:5" x14ac:dyDescent="0.2">
      <c r="A5260">
        <v>0.30214666666666701</v>
      </c>
      <c r="B5260">
        <v>0.68386307451115802</v>
      </c>
      <c r="C5260">
        <v>0.64750546089370298</v>
      </c>
      <c r="D5260">
        <v>0.81090602584876403</v>
      </c>
      <c r="E5260">
        <v>0.79218255807618998</v>
      </c>
    </row>
    <row r="5261" spans="1:5" x14ac:dyDescent="0.2">
      <c r="A5261">
        <v>0.30241333333333298</v>
      </c>
      <c r="B5261">
        <v>0.684054647124822</v>
      </c>
      <c r="C5261">
        <v>0.647712929951759</v>
      </c>
      <c r="D5261">
        <v>0.81104774025168702</v>
      </c>
      <c r="E5261">
        <v>0.79232787962864304</v>
      </c>
    </row>
    <row r="5262" spans="1:5" x14ac:dyDescent="0.2">
      <c r="A5262">
        <v>0.30268</v>
      </c>
      <c r="B5262">
        <v>0.684246104475979</v>
      </c>
      <c r="C5262">
        <v>0.64792028252991996</v>
      </c>
      <c r="D5262">
        <v>0.81118926342223396</v>
      </c>
      <c r="E5262">
        <v>0.79247271281154097</v>
      </c>
    </row>
    <row r="5263" spans="1:5" x14ac:dyDescent="0.2">
      <c r="A5263">
        <v>0.30294666666666697</v>
      </c>
      <c r="B5263">
        <v>0.68443744673172602</v>
      </c>
      <c r="C5263">
        <v>0.64812751879249497</v>
      </c>
      <c r="D5263">
        <v>0.811330595516215</v>
      </c>
      <c r="E5263">
        <v>0.79261706032686396</v>
      </c>
    </row>
    <row r="5264" spans="1:5" x14ac:dyDescent="0.2">
      <c r="A5264">
        <v>0.303213333333333</v>
      </c>
      <c r="B5264">
        <v>0.68462867405915695</v>
      </c>
      <c r="C5264">
        <v>0.64833463890379595</v>
      </c>
      <c r="D5264">
        <v>0.81147173668943895</v>
      </c>
      <c r="E5264">
        <v>0.792760924876596</v>
      </c>
    </row>
    <row r="5265" spans="1:5" x14ac:dyDescent="0.2">
      <c r="A5265">
        <v>0.30348000000000003</v>
      </c>
      <c r="B5265">
        <v>0.68481978662536902</v>
      </c>
      <c r="C5265">
        <v>0.648541643028134</v>
      </c>
      <c r="D5265">
        <v>0.81161268709771694</v>
      </c>
      <c r="E5265">
        <v>0.79290430916272003</v>
      </c>
    </row>
    <row r="5266" spans="1:5" x14ac:dyDescent="0.2">
      <c r="A5266">
        <v>0.303746666666667</v>
      </c>
      <c r="B5266">
        <v>0.68501078459745601</v>
      </c>
      <c r="C5266">
        <v>0.64874853132981902</v>
      </c>
      <c r="D5266">
        <v>0.81175344689685902</v>
      </c>
      <c r="E5266">
        <v>0.79304721588721805</v>
      </c>
    </row>
    <row r="5267" spans="1:5" x14ac:dyDescent="0.2">
      <c r="A5267">
        <v>0.30401333333333302</v>
      </c>
      <c r="B5267">
        <v>0.68520166814251304</v>
      </c>
      <c r="C5267">
        <v>0.64895530397316303</v>
      </c>
      <c r="D5267">
        <v>0.81189401624267499</v>
      </c>
      <c r="E5267">
        <v>0.79318964775207301</v>
      </c>
    </row>
    <row r="5268" spans="1:5" x14ac:dyDescent="0.2">
      <c r="A5268">
        <v>0.30427999999999999</v>
      </c>
      <c r="B5268">
        <v>0.685392437427638</v>
      </c>
      <c r="C5268">
        <v>0.64916196112247604</v>
      </c>
      <c r="D5268">
        <v>0.81203439529097499</v>
      </c>
      <c r="E5268">
        <v>0.79333160745926601</v>
      </c>
    </row>
    <row r="5269" spans="1:5" x14ac:dyDescent="0.2">
      <c r="A5269">
        <v>0.30454666666666702</v>
      </c>
      <c r="B5269">
        <v>0.68558309261992301</v>
      </c>
      <c r="C5269">
        <v>0.64936850294207005</v>
      </c>
      <c r="D5269">
        <v>0.81217458419756905</v>
      </c>
      <c r="E5269">
        <v>0.793473097710782</v>
      </c>
    </row>
    <row r="5270" spans="1:5" x14ac:dyDescent="0.2">
      <c r="A5270">
        <v>0.30481333333333299</v>
      </c>
      <c r="B5270">
        <v>0.68577363388646595</v>
      </c>
      <c r="C5270">
        <v>0.64957492959625496</v>
      </c>
      <c r="D5270">
        <v>0.81231458311826799</v>
      </c>
      <c r="E5270">
        <v>0.79361412120860098</v>
      </c>
    </row>
    <row r="5271" spans="1:5" x14ac:dyDescent="0.2">
      <c r="A5271">
        <v>0.30508000000000002</v>
      </c>
      <c r="B5271">
        <v>0.68596406139436095</v>
      </c>
      <c r="C5271">
        <v>0.649781241249342</v>
      </c>
      <c r="D5271">
        <v>0.81245439220888205</v>
      </c>
      <c r="E5271">
        <v>0.793754680654708</v>
      </c>
    </row>
    <row r="5272" spans="1:5" x14ac:dyDescent="0.2">
      <c r="A5272">
        <v>0.30534666666666699</v>
      </c>
      <c r="B5272">
        <v>0.686154375310704</v>
      </c>
      <c r="C5272">
        <v>0.64998743806564296</v>
      </c>
      <c r="D5272">
        <v>0.81259401162522105</v>
      </c>
      <c r="E5272">
        <v>0.79389477875108405</v>
      </c>
    </row>
    <row r="5273" spans="1:5" x14ac:dyDescent="0.2">
      <c r="A5273">
        <v>0.30561333333333301</v>
      </c>
      <c r="B5273">
        <v>0.68634457580259001</v>
      </c>
      <c r="C5273">
        <v>0.65019352020946697</v>
      </c>
      <c r="D5273">
        <v>0.81273344152309401</v>
      </c>
      <c r="E5273">
        <v>0.79403441819971199</v>
      </c>
    </row>
    <row r="5274" spans="1:5" x14ac:dyDescent="0.2">
      <c r="A5274">
        <v>0.30587999999999999</v>
      </c>
      <c r="B5274">
        <v>0.68653466303711497</v>
      </c>
      <c r="C5274">
        <v>0.65039948784512702</v>
      </c>
      <c r="D5274">
        <v>0.81287268205831298</v>
      </c>
      <c r="E5274">
        <v>0.794173601702575</v>
      </c>
    </row>
    <row r="5275" spans="1:5" x14ac:dyDescent="0.2">
      <c r="A5275">
        <v>0.30614666666666701</v>
      </c>
      <c r="B5275">
        <v>0.686724637181373</v>
      </c>
      <c r="C5275">
        <v>0.65060534113693302</v>
      </c>
      <c r="D5275">
        <v>0.81301173338668598</v>
      </c>
      <c r="E5275">
        <v>0.79431233196165396</v>
      </c>
    </row>
    <row r="5276" spans="1:5" x14ac:dyDescent="0.2">
      <c r="A5276">
        <v>0.30641333333333298</v>
      </c>
      <c r="B5276">
        <v>0.68691449840246099</v>
      </c>
      <c r="C5276">
        <v>0.65081108024919598</v>
      </c>
      <c r="D5276">
        <v>0.81315059566402503</v>
      </c>
      <c r="E5276">
        <v>0.79445061167893405</v>
      </c>
    </row>
    <row r="5277" spans="1:5" x14ac:dyDescent="0.2">
      <c r="A5277">
        <v>0.30668000000000001</v>
      </c>
      <c r="B5277">
        <v>0.68710424686747396</v>
      </c>
      <c r="C5277">
        <v>0.65101670534622702</v>
      </c>
      <c r="D5277">
        <v>0.81328926904613896</v>
      </c>
      <c r="E5277">
        <v>0.79458844355639502</v>
      </c>
    </row>
    <row r="5278" spans="1:5" x14ac:dyDescent="0.2">
      <c r="A5278">
        <v>0.30694666666666698</v>
      </c>
      <c r="B5278">
        <v>0.687293882743507</v>
      </c>
      <c r="C5278">
        <v>0.65122221659233703</v>
      </c>
      <c r="D5278">
        <v>0.81342775368883902</v>
      </c>
      <c r="E5278">
        <v>0.79472583029602195</v>
      </c>
    </row>
    <row r="5279" spans="1:5" x14ac:dyDescent="0.2">
      <c r="A5279">
        <v>0.30721333333333301</v>
      </c>
      <c r="B5279">
        <v>0.68748340619765502</v>
      </c>
      <c r="C5279">
        <v>0.65142761415183703</v>
      </c>
      <c r="D5279">
        <v>0.81356604974793501</v>
      </c>
      <c r="E5279">
        <v>0.79486277459979504</v>
      </c>
    </row>
    <row r="5280" spans="1:5" x14ac:dyDescent="0.2">
      <c r="A5280">
        <v>0.30747999999999998</v>
      </c>
      <c r="B5280">
        <v>0.68767281739701402</v>
      </c>
      <c r="C5280">
        <v>0.65163289818903802</v>
      </c>
      <c r="D5280">
        <v>0.81370415737923596</v>
      </c>
      <c r="E5280">
        <v>0.79499927916969904</v>
      </c>
    </row>
    <row r="5281" spans="1:5" x14ac:dyDescent="0.2">
      <c r="A5281">
        <v>0.307746666666667</v>
      </c>
      <c r="B5281">
        <v>0.68786211650867901</v>
      </c>
      <c r="C5281">
        <v>0.65183806886825002</v>
      </c>
      <c r="D5281">
        <v>0.81384207673855302</v>
      </c>
      <c r="E5281">
        <v>0.79513534670771602</v>
      </c>
    </row>
    <row r="5282" spans="1:5" x14ac:dyDescent="0.2">
      <c r="A5282">
        <v>0.30801333333333297</v>
      </c>
      <c r="B5282">
        <v>0.68805130369974599</v>
      </c>
      <c r="C5282">
        <v>0.65204312635378603</v>
      </c>
      <c r="D5282">
        <v>0.813979807981697</v>
      </c>
      <c r="E5282">
        <v>0.79527097991582696</v>
      </c>
    </row>
    <row r="5283" spans="1:5" x14ac:dyDescent="0.2">
      <c r="A5283">
        <v>0.30828</v>
      </c>
      <c r="B5283">
        <v>0.68824037913730995</v>
      </c>
      <c r="C5283">
        <v>0.65224807080995395</v>
      </c>
      <c r="D5283">
        <v>0.81411735126447604</v>
      </c>
      <c r="E5283">
        <v>0.79540618149601605</v>
      </c>
    </row>
    <row r="5284" spans="1:5" x14ac:dyDescent="0.2">
      <c r="A5284">
        <v>0.30854666666666702</v>
      </c>
      <c r="B5284">
        <v>0.68842934298846703</v>
      </c>
      <c r="C5284">
        <v>0.65245290240106801</v>
      </c>
      <c r="D5284">
        <v>0.81425470674270295</v>
      </c>
      <c r="E5284">
        <v>0.79554095415026505</v>
      </c>
    </row>
    <row r="5285" spans="1:5" x14ac:dyDescent="0.2">
      <c r="A5285">
        <v>0.308813333333333</v>
      </c>
      <c r="B5285">
        <v>0.688618195420311</v>
      </c>
      <c r="C5285">
        <v>0.65265762129143701</v>
      </c>
      <c r="D5285">
        <v>0.81439187457218498</v>
      </c>
      <c r="E5285">
        <v>0.79567530058055702</v>
      </c>
    </row>
    <row r="5286" spans="1:5" x14ac:dyDescent="0.2">
      <c r="A5286">
        <v>0.30908000000000002</v>
      </c>
      <c r="B5286">
        <v>0.68880693659993797</v>
      </c>
      <c r="C5286">
        <v>0.65286222764537305</v>
      </c>
      <c r="D5286">
        <v>0.81452885490873395</v>
      </c>
      <c r="E5286">
        <v>0.79580922348887395</v>
      </c>
    </row>
    <row r="5287" spans="1:5" x14ac:dyDescent="0.2">
      <c r="A5287">
        <v>0.30934666666666699</v>
      </c>
      <c r="B5287">
        <v>0.68899556669444395</v>
      </c>
      <c r="C5287">
        <v>0.65306672162718604</v>
      </c>
      <c r="D5287">
        <v>0.81466564790815998</v>
      </c>
      <c r="E5287">
        <v>0.79594272557719903</v>
      </c>
    </row>
    <row r="5288" spans="1:5" x14ac:dyDescent="0.2">
      <c r="A5288">
        <v>0.30961333333333302</v>
      </c>
      <c r="B5288">
        <v>0.68918408587092395</v>
      </c>
      <c r="C5288">
        <v>0.65327110340118699</v>
      </c>
      <c r="D5288">
        <v>0.81480225372627302</v>
      </c>
      <c r="E5288">
        <v>0.796075809547515</v>
      </c>
    </row>
    <row r="5289" spans="1:5" x14ac:dyDescent="0.2">
      <c r="A5289">
        <v>0.30987999999999999</v>
      </c>
      <c r="B5289">
        <v>0.68937249429647396</v>
      </c>
      <c r="C5289">
        <v>0.65347537313168802</v>
      </c>
      <c r="D5289">
        <v>0.81493867251888197</v>
      </c>
      <c r="E5289">
        <v>0.79620847810180395</v>
      </c>
    </row>
    <row r="5290" spans="1:5" x14ac:dyDescent="0.2">
      <c r="A5290">
        <v>0.31014666666666701</v>
      </c>
      <c r="B5290">
        <v>0.68956079213780197</v>
      </c>
      <c r="C5290">
        <v>0.65367953098262699</v>
      </c>
      <c r="D5290">
        <v>0.81507490445611397</v>
      </c>
      <c r="E5290">
        <v>0.79634073394204796</v>
      </c>
    </row>
    <row r="5291" spans="1:5" x14ac:dyDescent="0.2">
      <c r="A5291">
        <v>0.31041333333333299</v>
      </c>
      <c r="B5291">
        <v>0.68974897955453096</v>
      </c>
      <c r="C5291">
        <v>0.65388357711110801</v>
      </c>
      <c r="D5291">
        <v>0.81521094997124399</v>
      </c>
      <c r="E5291">
        <v>0.796472579770231</v>
      </c>
    </row>
    <row r="5292" spans="1:5" x14ac:dyDescent="0.2">
      <c r="A5292">
        <v>0.31068000000000001</v>
      </c>
      <c r="B5292">
        <v>0.689937056700061</v>
      </c>
      <c r="C5292">
        <v>0.65408751166823498</v>
      </c>
      <c r="D5292">
        <v>0.81534680972849305</v>
      </c>
      <c r="E5292">
        <v>0.79660401828833405</v>
      </c>
    </row>
    <row r="5293" spans="1:5" x14ac:dyDescent="0.2">
      <c r="A5293">
        <v>0.31094666666666698</v>
      </c>
      <c r="B5293">
        <v>0.690125023727581</v>
      </c>
      <c r="C5293">
        <v>0.65429133480490798</v>
      </c>
      <c r="D5293">
        <v>0.81548248439992499</v>
      </c>
      <c r="E5293">
        <v>0.79673505219833995</v>
      </c>
    </row>
    <row r="5294" spans="1:5" x14ac:dyDescent="0.2">
      <c r="A5294">
        <v>0.31121333333333301</v>
      </c>
      <c r="B5294">
        <v>0.69031288079028097</v>
      </c>
      <c r="C5294">
        <v>0.65449504667202596</v>
      </c>
      <c r="D5294">
        <v>0.815617974657603</v>
      </c>
      <c r="E5294">
        <v>0.79686568420223203</v>
      </c>
    </row>
    <row r="5295" spans="1:5" x14ac:dyDescent="0.2">
      <c r="A5295">
        <v>0.31147999999999998</v>
      </c>
      <c r="B5295">
        <v>0.69050062804135004</v>
      </c>
      <c r="C5295">
        <v>0.654698647420491</v>
      </c>
      <c r="D5295">
        <v>0.81575328117359203</v>
      </c>
      <c r="E5295">
        <v>0.79699591700199302</v>
      </c>
    </row>
    <row r="5296" spans="1:5" x14ac:dyDescent="0.2">
      <c r="A5296">
        <v>0.311746666666667</v>
      </c>
      <c r="B5296">
        <v>0.69068826563397601</v>
      </c>
      <c r="C5296">
        <v>0.65490213720120205</v>
      </c>
      <c r="D5296">
        <v>0.81588840461995304</v>
      </c>
      <c r="E5296">
        <v>0.797125753299605</v>
      </c>
    </row>
    <row r="5297" spans="1:5" x14ac:dyDescent="0.2">
      <c r="A5297">
        <v>0.31201333333333298</v>
      </c>
      <c r="B5297">
        <v>0.69087579372135099</v>
      </c>
      <c r="C5297">
        <v>0.65510551616506096</v>
      </c>
      <c r="D5297">
        <v>0.81602334566875101</v>
      </c>
      <c r="E5297">
        <v>0.79725519579704995</v>
      </c>
    </row>
    <row r="5298" spans="1:5" x14ac:dyDescent="0.2">
      <c r="A5298">
        <v>0.31228</v>
      </c>
      <c r="B5298">
        <v>0.69106321245666102</v>
      </c>
      <c r="C5298">
        <v>0.65530878446296603</v>
      </c>
      <c r="D5298">
        <v>0.81615810499204799</v>
      </c>
      <c r="E5298">
        <v>0.79738424719631096</v>
      </c>
    </row>
    <row r="5299" spans="1:5" x14ac:dyDescent="0.2">
      <c r="A5299">
        <v>0.31254666666666697</v>
      </c>
      <c r="B5299">
        <v>0.691250521993098</v>
      </c>
      <c r="C5299">
        <v>0.65551194224581899</v>
      </c>
      <c r="D5299">
        <v>0.81629268326190896</v>
      </c>
      <c r="E5299">
        <v>0.79751291019937098</v>
      </c>
    </row>
    <row r="5300" spans="1:5" x14ac:dyDescent="0.2">
      <c r="A5300">
        <v>0.312813333333333</v>
      </c>
      <c r="B5300">
        <v>0.69143772248385005</v>
      </c>
      <c r="C5300">
        <v>0.65571498966451902</v>
      </c>
      <c r="D5300">
        <v>0.81642708115039497</v>
      </c>
      <c r="E5300">
        <v>0.797641187508212</v>
      </c>
    </row>
    <row r="5301" spans="1:5" x14ac:dyDescent="0.2">
      <c r="A5301">
        <v>0.31308000000000002</v>
      </c>
      <c r="B5301">
        <v>0.69162481408210696</v>
      </c>
      <c r="C5301">
        <v>0.65591792686996697</v>
      </c>
      <c r="D5301">
        <v>0.816561299329571</v>
      </c>
      <c r="E5301">
        <v>0.79776908182481698</v>
      </c>
    </row>
    <row r="5302" spans="1:5" x14ac:dyDescent="0.2">
      <c r="A5302">
        <v>0.313346666666667</v>
      </c>
      <c r="B5302">
        <v>0.69181179694105699</v>
      </c>
      <c r="C5302">
        <v>0.65612075401306302</v>
      </c>
      <c r="D5302">
        <v>0.8166953384715</v>
      </c>
      <c r="E5302">
        <v>0.79789659585116901</v>
      </c>
    </row>
    <row r="5303" spans="1:5" x14ac:dyDescent="0.2">
      <c r="A5303">
        <v>0.31361333333333302</v>
      </c>
      <c r="B5303">
        <v>0.69199867121389003</v>
      </c>
      <c r="C5303">
        <v>0.65632347124470802</v>
      </c>
      <c r="D5303">
        <v>0.81682919924824604</v>
      </c>
      <c r="E5303">
        <v>0.79802373228924905</v>
      </c>
    </row>
    <row r="5304" spans="1:5" x14ac:dyDescent="0.2">
      <c r="A5304">
        <v>0.31387999999999999</v>
      </c>
      <c r="B5304">
        <v>0.69218543705379598</v>
      </c>
      <c r="C5304">
        <v>0.65652607871580104</v>
      </c>
      <c r="D5304">
        <v>0.81696288233186998</v>
      </c>
      <c r="E5304">
        <v>0.79815049384104098</v>
      </c>
    </row>
    <row r="5305" spans="1:5" x14ac:dyDescent="0.2">
      <c r="A5305">
        <v>0.31414666666666702</v>
      </c>
      <c r="B5305">
        <v>0.69237209461396299</v>
      </c>
      <c r="C5305">
        <v>0.65672857657724204</v>
      </c>
      <c r="D5305">
        <v>0.81709638839443799</v>
      </c>
      <c r="E5305">
        <v>0.79827688320852697</v>
      </c>
    </row>
    <row r="5306" spans="1:5" x14ac:dyDescent="0.2">
      <c r="A5306">
        <v>0.31441333333333299</v>
      </c>
      <c r="B5306">
        <v>0.69255864404758105</v>
      </c>
      <c r="C5306">
        <v>0.65693096497993297</v>
      </c>
      <c r="D5306">
        <v>0.81722971810801104</v>
      </c>
      <c r="E5306">
        <v>0.798402903093689</v>
      </c>
    </row>
    <row r="5307" spans="1:5" x14ac:dyDescent="0.2">
      <c r="A5307">
        <v>0.31468000000000002</v>
      </c>
      <c r="B5307">
        <v>0.69274508550783898</v>
      </c>
      <c r="C5307">
        <v>0.65713324407477303</v>
      </c>
      <c r="D5307">
        <v>0.81736287214465397</v>
      </c>
      <c r="E5307">
        <v>0.79852855619851104</v>
      </c>
    </row>
    <row r="5308" spans="1:5" x14ac:dyDescent="0.2">
      <c r="A5308">
        <v>0.31494666666666699</v>
      </c>
      <c r="B5308">
        <v>0.692931419147926</v>
      </c>
      <c r="C5308">
        <v>0.65733541401266204</v>
      </c>
      <c r="D5308">
        <v>0.81749585117642998</v>
      </c>
      <c r="E5308">
        <v>0.79865384522497396</v>
      </c>
    </row>
    <row r="5309" spans="1:5" x14ac:dyDescent="0.2">
      <c r="A5309">
        <v>0.31521333333333301</v>
      </c>
      <c r="B5309">
        <v>0.69311764512103202</v>
      </c>
      <c r="C5309">
        <v>0.65753747494450199</v>
      </c>
      <c r="D5309">
        <v>0.81762865587540101</v>
      </c>
      <c r="E5309">
        <v>0.79877877287506205</v>
      </c>
    </row>
    <row r="5310" spans="1:5" x14ac:dyDescent="0.2">
      <c r="A5310">
        <v>0.31547999999999998</v>
      </c>
      <c r="B5310">
        <v>0.69330376358034596</v>
      </c>
      <c r="C5310">
        <v>0.65773942702119104</v>
      </c>
      <c r="D5310">
        <v>0.81776128691363204</v>
      </c>
      <c r="E5310">
        <v>0.79890334185075595</v>
      </c>
    </row>
    <row r="5311" spans="1:5" x14ac:dyDescent="0.2">
      <c r="A5311">
        <v>0.31574666666666701</v>
      </c>
      <c r="B5311">
        <v>0.69348977467905704</v>
      </c>
      <c r="C5311">
        <v>0.65794127039363004</v>
      </c>
      <c r="D5311">
        <v>0.81789374496318601</v>
      </c>
      <c r="E5311">
        <v>0.79902755485403998</v>
      </c>
    </row>
    <row r="5312" spans="1:5" x14ac:dyDescent="0.2">
      <c r="A5312">
        <v>0.31601333333333298</v>
      </c>
      <c r="B5312">
        <v>0.69367567857035495</v>
      </c>
      <c r="C5312">
        <v>0.65814300521271996</v>
      </c>
      <c r="D5312">
        <v>0.81802603069612501</v>
      </c>
      <c r="E5312">
        <v>0.79915141458689598</v>
      </c>
    </row>
    <row r="5313" spans="1:5" x14ac:dyDescent="0.2">
      <c r="A5313">
        <v>0.31628000000000001</v>
      </c>
      <c r="B5313">
        <v>0.69386147540742804</v>
      </c>
      <c r="C5313">
        <v>0.65834463162936097</v>
      </c>
      <c r="D5313">
        <v>0.81815814478451399</v>
      </c>
      <c r="E5313">
        <v>0.79927492375130704</v>
      </c>
    </row>
    <row r="5314" spans="1:5" x14ac:dyDescent="0.2">
      <c r="A5314">
        <v>0.31654666666666698</v>
      </c>
      <c r="B5314">
        <v>0.694047165343467</v>
      </c>
      <c r="C5314">
        <v>0.65854614979445203</v>
      </c>
      <c r="D5314">
        <v>0.81829008790041502</v>
      </c>
      <c r="E5314">
        <v>0.79939808504925502</v>
      </c>
    </row>
    <row r="5315" spans="1:5" x14ac:dyDescent="0.2">
      <c r="A5315">
        <v>0.316813333333333</v>
      </c>
      <c r="B5315">
        <v>0.69423274853165995</v>
      </c>
      <c r="C5315">
        <v>0.65874755985889499</v>
      </c>
      <c r="D5315">
        <v>0.81842186071589196</v>
      </c>
      <c r="E5315">
        <v>0.79952090118272201</v>
      </c>
    </row>
    <row r="5316" spans="1:5" x14ac:dyDescent="0.2">
      <c r="A5316">
        <v>0.31707999999999997</v>
      </c>
      <c r="B5316">
        <v>0.69441822512519602</v>
      </c>
      <c r="C5316">
        <v>0.65894886197358904</v>
      </c>
      <c r="D5316">
        <v>0.81855346390300798</v>
      </c>
      <c r="E5316">
        <v>0.79964337485369197</v>
      </c>
    </row>
    <row r="5317" spans="1:5" x14ac:dyDescent="0.2">
      <c r="A5317">
        <v>0.317346666666667</v>
      </c>
      <c r="B5317">
        <v>0.69460359527726501</v>
      </c>
      <c r="C5317">
        <v>0.65915005628943502</v>
      </c>
      <c r="D5317">
        <v>0.81868489813382594</v>
      </c>
      <c r="E5317">
        <v>0.79976550876414598</v>
      </c>
    </row>
    <row r="5318" spans="1:5" x14ac:dyDescent="0.2">
      <c r="A5318">
        <v>0.31761333333333303</v>
      </c>
      <c r="B5318">
        <v>0.69478885914105604</v>
      </c>
      <c r="C5318">
        <v>0.65935114295733299</v>
      </c>
      <c r="D5318">
        <v>0.81881616408041002</v>
      </c>
      <c r="E5318">
        <v>0.79988730561606802</v>
      </c>
    </row>
    <row r="5319" spans="1:5" x14ac:dyDescent="0.2">
      <c r="A5319">
        <v>0.31788</v>
      </c>
      <c r="B5319">
        <v>0.69497401686975901</v>
      </c>
      <c r="C5319">
        <v>0.65955212212818304</v>
      </c>
      <c r="D5319">
        <v>0.81894726241482396</v>
      </c>
      <c r="E5319">
        <v>0.80000876811143995</v>
      </c>
    </row>
    <row r="5320" spans="1:5" x14ac:dyDescent="0.2">
      <c r="A5320">
        <v>0.31814666666666702</v>
      </c>
      <c r="B5320">
        <v>0.69515906861656196</v>
      </c>
      <c r="C5320">
        <v>0.659752993952885</v>
      </c>
      <c r="D5320">
        <v>0.81907819380912905</v>
      </c>
      <c r="E5320">
        <v>0.80012989895224396</v>
      </c>
    </row>
    <row r="5321" spans="1:5" x14ac:dyDescent="0.2">
      <c r="A5321">
        <v>0.31841333333333299</v>
      </c>
      <c r="B5321">
        <v>0.695344014534656</v>
      </c>
      <c r="C5321">
        <v>0.65995375858233996</v>
      </c>
      <c r="D5321">
        <v>0.81920895893539103</v>
      </c>
      <c r="E5321">
        <v>0.80025070084046401</v>
      </c>
    </row>
    <row r="5322" spans="1:5" x14ac:dyDescent="0.2">
      <c r="A5322">
        <v>0.31868000000000002</v>
      </c>
      <c r="B5322">
        <v>0.69552885477722803</v>
      </c>
      <c r="C5322">
        <v>0.66015441616744797</v>
      </c>
      <c r="D5322">
        <v>0.81933955846567097</v>
      </c>
      <c r="E5322">
        <v>0.80037117647808098</v>
      </c>
    </row>
    <row r="5323" spans="1:5" x14ac:dyDescent="0.2">
      <c r="A5323">
        <v>0.31894666666666699</v>
      </c>
      <c r="B5323">
        <v>0.69571358949746898</v>
      </c>
      <c r="C5323">
        <v>0.66035496685910899</v>
      </c>
      <c r="D5323">
        <v>0.81946999307203305</v>
      </c>
      <c r="E5323">
        <v>0.80049132856707805</v>
      </c>
    </row>
    <row r="5324" spans="1:5" x14ac:dyDescent="0.2">
      <c r="A5324">
        <v>0.31921333333333302</v>
      </c>
      <c r="B5324">
        <v>0.69589821884856795</v>
      </c>
      <c r="C5324">
        <v>0.660555410808223</v>
      </c>
      <c r="D5324">
        <v>0.81960026342654102</v>
      </c>
      <c r="E5324">
        <v>0.80061115980943798</v>
      </c>
    </row>
    <row r="5325" spans="1:5" x14ac:dyDescent="0.2">
      <c r="A5325">
        <v>0.31947999999999999</v>
      </c>
      <c r="B5325">
        <v>0.69608274298371298</v>
      </c>
      <c r="C5325">
        <v>0.66075574816569105</v>
      </c>
      <c r="D5325">
        <v>0.81973037020125805</v>
      </c>
      <c r="E5325">
        <v>0.80073067290714395</v>
      </c>
    </row>
    <row r="5326" spans="1:5" x14ac:dyDescent="0.2">
      <c r="A5326">
        <v>0.31974666666666701</v>
      </c>
      <c r="B5326">
        <v>0.69626716205609496</v>
      </c>
      <c r="C5326">
        <v>0.66095597908241299</v>
      </c>
      <c r="D5326">
        <v>0.819860314068247</v>
      </c>
      <c r="E5326">
        <v>0.80084987056217705</v>
      </c>
    </row>
    <row r="5327" spans="1:5" x14ac:dyDescent="0.2">
      <c r="A5327">
        <v>0.32001333333333298</v>
      </c>
      <c r="B5327">
        <v>0.69645147621890302</v>
      </c>
      <c r="C5327">
        <v>0.66115610370928901</v>
      </c>
      <c r="D5327">
        <v>0.81999009569957204</v>
      </c>
      <c r="E5327">
        <v>0.80096875547652102</v>
      </c>
    </row>
    <row r="5328" spans="1:5" x14ac:dyDescent="0.2">
      <c r="A5328">
        <v>0.32028000000000001</v>
      </c>
      <c r="B5328">
        <v>0.69663568562296396</v>
      </c>
      <c r="C5328">
        <v>0.66135612219492601</v>
      </c>
      <c r="D5328">
        <v>0.82011971576729503</v>
      </c>
      <c r="E5328">
        <v>0.80108733035215796</v>
      </c>
    </row>
    <row r="5329" spans="1:5" x14ac:dyDescent="0.2">
      <c r="A5329">
        <v>0.32054666666666698</v>
      </c>
      <c r="B5329">
        <v>0.69681979041097897</v>
      </c>
      <c r="C5329">
        <v>0.66155603468003299</v>
      </c>
      <c r="D5329">
        <v>0.82024917494348004</v>
      </c>
      <c r="E5329">
        <v>0.80120559789107004</v>
      </c>
    </row>
    <row r="5330" spans="1:5" x14ac:dyDescent="0.2">
      <c r="A5330">
        <v>0.32081333333333301</v>
      </c>
      <c r="B5330">
        <v>0.69700379072389995</v>
      </c>
      <c r="C5330">
        <v>0.66175584130362197</v>
      </c>
      <c r="D5330">
        <v>0.82037847390019103</v>
      </c>
      <c r="E5330">
        <v>0.80132356079524103</v>
      </c>
    </row>
    <row r="5331" spans="1:5" x14ac:dyDescent="0.2">
      <c r="A5331">
        <v>0.32107999999999998</v>
      </c>
      <c r="B5331">
        <v>0.69718768670267695</v>
      </c>
      <c r="C5331">
        <v>0.66195554220470298</v>
      </c>
      <c r="D5331">
        <v>0.82050761330949096</v>
      </c>
      <c r="E5331">
        <v>0.801441221766652</v>
      </c>
    </row>
    <row r="5332" spans="1:5" x14ac:dyDescent="0.2">
      <c r="A5332">
        <v>0.321346666666667</v>
      </c>
      <c r="B5332">
        <v>0.69737147848826098</v>
      </c>
      <c r="C5332">
        <v>0.66215513752228705</v>
      </c>
      <c r="D5332">
        <v>0.82063659384344201</v>
      </c>
      <c r="E5332">
        <v>0.80155858350728704</v>
      </c>
    </row>
    <row r="5333" spans="1:5" x14ac:dyDescent="0.2">
      <c r="A5333">
        <v>0.32161333333333297</v>
      </c>
      <c r="B5333">
        <v>0.69755516622160296</v>
      </c>
      <c r="C5333">
        <v>0.66235462739538398</v>
      </c>
      <c r="D5333">
        <v>0.82076541617410903</v>
      </c>
      <c r="E5333">
        <v>0.801675648719127</v>
      </c>
    </row>
    <row r="5334" spans="1:5" x14ac:dyDescent="0.2">
      <c r="A5334">
        <v>0.32188</v>
      </c>
      <c r="B5334">
        <v>0.69773875004365404</v>
      </c>
      <c r="C5334">
        <v>0.66255401196300601</v>
      </c>
      <c r="D5334">
        <v>0.82089408097355399</v>
      </c>
      <c r="E5334">
        <v>0.80179242010415597</v>
      </c>
    </row>
    <row r="5335" spans="1:5" x14ac:dyDescent="0.2">
      <c r="A5335">
        <v>0.32214666666666703</v>
      </c>
      <c r="B5335">
        <v>0.69792223009536702</v>
      </c>
      <c r="C5335">
        <v>0.66275329136416306</v>
      </c>
      <c r="D5335">
        <v>0.82102258891384094</v>
      </c>
      <c r="E5335">
        <v>0.80190890036435603</v>
      </c>
    </row>
    <row r="5336" spans="1:5" x14ac:dyDescent="0.2">
      <c r="A5336">
        <v>0.322413333333333</v>
      </c>
      <c r="B5336">
        <v>0.69810560651769005</v>
      </c>
      <c r="C5336">
        <v>0.66295246573786504</v>
      </c>
      <c r="D5336">
        <v>0.82115094066703398</v>
      </c>
      <c r="E5336">
        <v>0.80202509220170903</v>
      </c>
    </row>
    <row r="5337" spans="1:5" x14ac:dyDescent="0.2">
      <c r="A5337">
        <v>0.32268000000000002</v>
      </c>
      <c r="B5337">
        <v>0.69828887945157703</v>
      </c>
      <c r="C5337">
        <v>0.66315153522312398</v>
      </c>
      <c r="D5337">
        <v>0.82127913690519505</v>
      </c>
      <c r="E5337">
        <v>0.80214099831819896</v>
      </c>
    </row>
    <row r="5338" spans="1:5" x14ac:dyDescent="0.2">
      <c r="A5338">
        <v>0.32294666666666699</v>
      </c>
      <c r="B5338">
        <v>0.69847204903797699</v>
      </c>
      <c r="C5338">
        <v>0.66335049995895101</v>
      </c>
      <c r="D5338">
        <v>0.82140717830038701</v>
      </c>
      <c r="E5338">
        <v>0.802256621415807</v>
      </c>
    </row>
    <row r="5339" spans="1:5" x14ac:dyDescent="0.2">
      <c r="A5339">
        <v>0.32321333333333302</v>
      </c>
      <c r="B5339">
        <v>0.69865511541784198</v>
      </c>
      <c r="C5339">
        <v>0.66354936008435605</v>
      </c>
      <c r="D5339">
        <v>0.82153506552467503</v>
      </c>
      <c r="E5339">
        <v>0.80237196419651702</v>
      </c>
    </row>
    <row r="5340" spans="1:5" x14ac:dyDescent="0.2">
      <c r="A5340">
        <v>0.32347999999999999</v>
      </c>
      <c r="B5340">
        <v>0.698838078732122</v>
      </c>
      <c r="C5340">
        <v>0.66374811573834902</v>
      </c>
      <c r="D5340">
        <v>0.82166279925012198</v>
      </c>
      <c r="E5340">
        <v>0.80248702936230998</v>
      </c>
    </row>
    <row r="5341" spans="1:5" x14ac:dyDescent="0.2">
      <c r="A5341">
        <v>0.32374666666666702</v>
      </c>
      <c r="B5341">
        <v>0.69902093912176999</v>
      </c>
      <c r="C5341">
        <v>0.66394676705994304</v>
      </c>
      <c r="D5341">
        <v>0.82179038014879002</v>
      </c>
      <c r="E5341">
        <v>0.80260181961516996</v>
      </c>
    </row>
    <row r="5342" spans="1:5" x14ac:dyDescent="0.2">
      <c r="A5342">
        <v>0.32401333333333299</v>
      </c>
      <c r="B5342">
        <v>0.69920369672773597</v>
      </c>
      <c r="C5342">
        <v>0.66414531418814604</v>
      </c>
      <c r="D5342">
        <v>0.82191780889274302</v>
      </c>
      <c r="E5342">
        <v>0.80271633765707795</v>
      </c>
    </row>
    <row r="5343" spans="1:5" x14ac:dyDescent="0.2">
      <c r="A5343">
        <v>0.32428000000000001</v>
      </c>
      <c r="B5343">
        <v>0.69938635169097096</v>
      </c>
      <c r="C5343">
        <v>0.66434375726197104</v>
      </c>
      <c r="D5343">
        <v>0.82204508615404404</v>
      </c>
      <c r="E5343">
        <v>0.80283058619001801</v>
      </c>
    </row>
    <row r="5344" spans="1:5" x14ac:dyDescent="0.2">
      <c r="A5344">
        <v>0.32454666666666698</v>
      </c>
      <c r="B5344">
        <v>0.69956890415242601</v>
      </c>
      <c r="C5344">
        <v>0.66454209642042705</v>
      </c>
      <c r="D5344">
        <v>0.82217221260475704</v>
      </c>
      <c r="E5344">
        <v>0.80294456791597202</v>
      </c>
    </row>
    <row r="5345" spans="1:5" x14ac:dyDescent="0.2">
      <c r="A5345">
        <v>0.32481333333333301</v>
      </c>
      <c r="B5345">
        <v>0.69975135425305202</v>
      </c>
      <c r="C5345">
        <v>0.66474033180252701</v>
      </c>
      <c r="D5345">
        <v>0.82229918891694498</v>
      </c>
      <c r="E5345">
        <v>0.80305828553692304</v>
      </c>
    </row>
    <row r="5346" spans="1:5" x14ac:dyDescent="0.2">
      <c r="A5346">
        <v>0.32507999999999998</v>
      </c>
      <c r="B5346">
        <v>0.69993370213380102</v>
      </c>
      <c r="C5346">
        <v>0.66493846354727904</v>
      </c>
      <c r="D5346">
        <v>0.82242601576267205</v>
      </c>
      <c r="E5346">
        <v>0.80317174175485295</v>
      </c>
    </row>
    <row r="5347" spans="1:5" x14ac:dyDescent="0.2">
      <c r="A5347">
        <v>0.32534666666666701</v>
      </c>
      <c r="B5347">
        <v>0.70011594793562304</v>
      </c>
      <c r="C5347">
        <v>0.66513649179369605</v>
      </c>
      <c r="D5347">
        <v>0.82255269381399898</v>
      </c>
      <c r="E5347">
        <v>0.80328493927174505</v>
      </c>
    </row>
    <row r="5348" spans="1:5" x14ac:dyDescent="0.2">
      <c r="A5348">
        <v>0.32561333333333298</v>
      </c>
      <c r="B5348">
        <v>0.70029809179947</v>
      </c>
      <c r="C5348">
        <v>0.66533441668078697</v>
      </c>
      <c r="D5348">
        <v>0.82267922374299196</v>
      </c>
      <c r="E5348">
        <v>0.80339788078958096</v>
      </c>
    </row>
    <row r="5349" spans="1:5" x14ac:dyDescent="0.2">
      <c r="A5349">
        <v>0.32588</v>
      </c>
      <c r="B5349">
        <v>0.70048013386629204</v>
      </c>
      <c r="C5349">
        <v>0.66553223834756403</v>
      </c>
      <c r="D5349">
        <v>0.82280560622171295</v>
      </c>
      <c r="E5349">
        <v>0.80351056901034401</v>
      </c>
    </row>
    <row r="5350" spans="1:5" x14ac:dyDescent="0.2">
      <c r="A5350">
        <v>0.32614666666666697</v>
      </c>
      <c r="B5350">
        <v>0.70066207427704097</v>
      </c>
      <c r="C5350">
        <v>0.66572995693303705</v>
      </c>
      <c r="D5350">
        <v>0.82293184192222502</v>
      </c>
      <c r="E5350">
        <v>0.80362300663601605</v>
      </c>
    </row>
    <row r="5351" spans="1:5" x14ac:dyDescent="0.2">
      <c r="A5351">
        <v>0.326413333333333</v>
      </c>
      <c r="B5351">
        <v>0.70084391317266803</v>
      </c>
      <c r="C5351">
        <v>0.66592757257621804</v>
      </c>
      <c r="D5351">
        <v>0.82305793151659201</v>
      </c>
      <c r="E5351">
        <v>0.80373519636858104</v>
      </c>
    </row>
    <row r="5352" spans="1:5" x14ac:dyDescent="0.2">
      <c r="A5352">
        <v>0.32668000000000003</v>
      </c>
      <c r="B5352">
        <v>0.70102565069412304</v>
      </c>
      <c r="C5352">
        <v>0.66612508541611604</v>
      </c>
      <c r="D5352">
        <v>0.82318387567687701</v>
      </c>
      <c r="E5352">
        <v>0.80384714091001996</v>
      </c>
    </row>
    <row r="5353" spans="1:5" x14ac:dyDescent="0.2">
      <c r="A5353">
        <v>0.326946666666667</v>
      </c>
      <c r="B5353">
        <v>0.70120728698235901</v>
      </c>
      <c r="C5353">
        <v>0.66632249559174295</v>
      </c>
      <c r="D5353">
        <v>0.82330967507514397</v>
      </c>
      <c r="E5353">
        <v>0.80395884296231601</v>
      </c>
    </row>
    <row r="5354" spans="1:5" x14ac:dyDescent="0.2">
      <c r="A5354">
        <v>0.32721333333333302</v>
      </c>
      <c r="B5354">
        <v>0.70138882217832499</v>
      </c>
      <c r="C5354">
        <v>0.66651980324210902</v>
      </c>
      <c r="D5354">
        <v>0.82343533038345496</v>
      </c>
      <c r="E5354">
        <v>0.80407030522745204</v>
      </c>
    </row>
    <row r="5355" spans="1:5" x14ac:dyDescent="0.2">
      <c r="A5355">
        <v>0.32747999999999999</v>
      </c>
      <c r="B5355">
        <v>0.70157025642297299</v>
      </c>
      <c r="C5355">
        <v>0.66671700850622495</v>
      </c>
      <c r="D5355">
        <v>0.82356084227387405</v>
      </c>
      <c r="E5355">
        <v>0.80418153040741003</v>
      </c>
    </row>
    <row r="5356" spans="1:5" x14ac:dyDescent="0.2">
      <c r="A5356">
        <v>0.32774666666666702</v>
      </c>
      <c r="B5356">
        <v>0.70175158985725505</v>
      </c>
      <c r="C5356">
        <v>0.66691411152310198</v>
      </c>
      <c r="D5356">
        <v>0.82368621141846499</v>
      </c>
      <c r="E5356">
        <v>0.80429252120417305</v>
      </c>
    </row>
    <row r="5357" spans="1:5" x14ac:dyDescent="0.2">
      <c r="A5357">
        <v>0.32801333333333299</v>
      </c>
      <c r="B5357">
        <v>0.70193282262212098</v>
      </c>
      <c r="C5357">
        <v>0.66711111243175103</v>
      </c>
      <c r="D5357">
        <v>0.82381143848928995</v>
      </c>
      <c r="E5357">
        <v>0.80440328031972297</v>
      </c>
    </row>
    <row r="5358" spans="1:5" x14ac:dyDescent="0.2">
      <c r="A5358">
        <v>0.32828000000000002</v>
      </c>
      <c r="B5358">
        <v>0.70211395485852202</v>
      </c>
      <c r="C5358">
        <v>0.66730801137118201</v>
      </c>
      <c r="D5358">
        <v>0.82393652415841301</v>
      </c>
      <c r="E5358">
        <v>0.80451381045604398</v>
      </c>
    </row>
    <row r="5359" spans="1:5" x14ac:dyDescent="0.2">
      <c r="A5359">
        <v>0.32854666666666699</v>
      </c>
      <c r="B5359">
        <v>0.70229498670740997</v>
      </c>
      <c r="C5359">
        <v>0.66750480848040605</v>
      </c>
      <c r="D5359">
        <v>0.82406146909789701</v>
      </c>
      <c r="E5359">
        <v>0.80462411431511605</v>
      </c>
    </row>
    <row r="5360" spans="1:5" x14ac:dyDescent="0.2">
      <c r="A5360">
        <v>0.32881333333333301</v>
      </c>
      <c r="B5360">
        <v>0.70247591830973499</v>
      </c>
      <c r="C5360">
        <v>0.66770150389843397</v>
      </c>
      <c r="D5360">
        <v>0.82418627397980604</v>
      </c>
      <c r="E5360">
        <v>0.80473419459892404</v>
      </c>
    </row>
    <row r="5361" spans="1:5" x14ac:dyDescent="0.2">
      <c r="A5361">
        <v>0.32907999999999998</v>
      </c>
      <c r="B5361">
        <v>0.70265674980644899</v>
      </c>
      <c r="C5361">
        <v>0.667898097764276</v>
      </c>
      <c r="D5361">
        <v>0.82431093947620304</v>
      </c>
      <c r="E5361">
        <v>0.80484405400945003</v>
      </c>
    </row>
    <row r="5362" spans="1:5" x14ac:dyDescent="0.2">
      <c r="A5362">
        <v>0.32934666666666701</v>
      </c>
      <c r="B5362">
        <v>0.70283748133850199</v>
      </c>
      <c r="C5362">
        <v>0.66809459021694395</v>
      </c>
      <c r="D5362">
        <v>0.82443546625914998</v>
      </c>
      <c r="E5362">
        <v>0.80495369524867599</v>
      </c>
    </row>
    <row r="5363" spans="1:5" x14ac:dyDescent="0.2">
      <c r="A5363">
        <v>0.32961333333333298</v>
      </c>
      <c r="B5363">
        <v>0.70301811304684603</v>
      </c>
      <c r="C5363">
        <v>0.66829098139544796</v>
      </c>
      <c r="D5363">
        <v>0.82455985500071205</v>
      </c>
      <c r="E5363">
        <v>0.80506312101858402</v>
      </c>
    </row>
    <row r="5364" spans="1:5" x14ac:dyDescent="0.2">
      <c r="A5364">
        <v>0.32988000000000001</v>
      </c>
      <c r="B5364">
        <v>0.70319864507243202</v>
      </c>
      <c r="C5364">
        <v>0.66848727143879805</v>
      </c>
      <c r="D5364">
        <v>0.82468410637295197</v>
      </c>
      <c r="E5364">
        <v>0.80517233402115895</v>
      </c>
    </row>
    <row r="5365" spans="1:5" x14ac:dyDescent="0.2">
      <c r="A5365">
        <v>0.33014666666666698</v>
      </c>
      <c r="B5365">
        <v>0.70337907755590301</v>
      </c>
      <c r="C5365">
        <v>0.66868346048570904</v>
      </c>
      <c r="D5365">
        <v>0.82480822104793305</v>
      </c>
      <c r="E5365">
        <v>0.80528133695838</v>
      </c>
    </row>
    <row r="5366" spans="1:5" x14ac:dyDescent="0.2">
      <c r="A5366">
        <v>0.330413333333333</v>
      </c>
      <c r="B5366">
        <v>0.70355941063224603</v>
      </c>
      <c r="C5366">
        <v>0.668879548669435</v>
      </c>
      <c r="D5366">
        <v>0.82493219969771803</v>
      </c>
      <c r="E5366">
        <v>0.80539013253223302</v>
      </c>
    </row>
    <row r="5367" spans="1:5" x14ac:dyDescent="0.2">
      <c r="A5367">
        <v>0.33067999999999997</v>
      </c>
      <c r="B5367">
        <v>0.70373964443148396</v>
      </c>
      <c r="C5367">
        <v>0.66907553611843695</v>
      </c>
      <c r="D5367">
        <v>0.82505604299437096</v>
      </c>
      <c r="E5367">
        <v>0.80549872344469797</v>
      </c>
    </row>
    <row r="5368" spans="1:5" x14ac:dyDescent="0.2">
      <c r="A5368">
        <v>0.330946666666667</v>
      </c>
      <c r="B5368">
        <v>0.70391977908347203</v>
      </c>
      <c r="C5368">
        <v>0.66927142296101505</v>
      </c>
      <c r="D5368">
        <v>0.82517975160995505</v>
      </c>
      <c r="E5368">
        <v>0.80560711239775895</v>
      </c>
    </row>
    <row r="5369" spans="1:5" x14ac:dyDescent="0.2">
      <c r="A5369">
        <v>0.33121333333333303</v>
      </c>
      <c r="B5369">
        <v>0.70409981471806404</v>
      </c>
      <c r="C5369">
        <v>0.66946720932546799</v>
      </c>
      <c r="D5369">
        <v>0.82530332621653302</v>
      </c>
      <c r="E5369">
        <v>0.80571530209339803</v>
      </c>
    </row>
    <row r="5370" spans="1:5" x14ac:dyDescent="0.2">
      <c r="A5370">
        <v>0.33148</v>
      </c>
      <c r="B5370">
        <v>0.70427975146511401</v>
      </c>
      <c r="C5370">
        <v>0.66966289534009604</v>
      </c>
      <c r="D5370">
        <v>0.82542676748616906</v>
      </c>
      <c r="E5370">
        <v>0.80582329523359797</v>
      </c>
    </row>
    <row r="5371" spans="1:5" x14ac:dyDescent="0.2">
      <c r="A5371">
        <v>0.33174666666666702</v>
      </c>
      <c r="B5371">
        <v>0.70445958945447795</v>
      </c>
      <c r="C5371">
        <v>0.66985848113319901</v>
      </c>
      <c r="D5371">
        <v>0.82555007609092501</v>
      </c>
      <c r="E5371">
        <v>0.80593109452034195</v>
      </c>
    </row>
    <row r="5372" spans="1:5" x14ac:dyDescent="0.2">
      <c r="A5372">
        <v>0.33201333333333299</v>
      </c>
      <c r="B5372">
        <v>0.70463932881600799</v>
      </c>
      <c r="C5372">
        <v>0.67005396683307505</v>
      </c>
      <c r="D5372">
        <v>0.82567325270286596</v>
      </c>
      <c r="E5372">
        <v>0.80603870265561095</v>
      </c>
    </row>
    <row r="5373" spans="1:5" x14ac:dyDescent="0.2">
      <c r="A5373">
        <v>0.33228000000000002</v>
      </c>
      <c r="B5373">
        <v>0.70481896967956004</v>
      </c>
      <c r="C5373">
        <v>0.67024935256802398</v>
      </c>
      <c r="D5373">
        <v>0.82579629799405396</v>
      </c>
      <c r="E5373">
        <v>0.80614612234138805</v>
      </c>
    </row>
    <row r="5374" spans="1:5" x14ac:dyDescent="0.2">
      <c r="A5374">
        <v>0.33254666666666699</v>
      </c>
      <c r="B5374">
        <v>0.70499851217498799</v>
      </c>
      <c r="C5374">
        <v>0.67044463846634605</v>
      </c>
      <c r="D5374">
        <v>0.82591921263655199</v>
      </c>
      <c r="E5374">
        <v>0.806253356279657</v>
      </c>
    </row>
    <row r="5375" spans="1:5" x14ac:dyDescent="0.2">
      <c r="A5375">
        <v>0.33281333333333302</v>
      </c>
      <c r="B5375">
        <v>0.70517795643214698</v>
      </c>
      <c r="C5375">
        <v>0.67063982465633998</v>
      </c>
      <c r="D5375">
        <v>0.826041997302425</v>
      </c>
      <c r="E5375">
        <v>0.80636040717239899</v>
      </c>
    </row>
    <row r="5376" spans="1:5" x14ac:dyDescent="0.2">
      <c r="A5376">
        <v>0.33307999999999999</v>
      </c>
      <c r="B5376">
        <v>0.70535730258089002</v>
      </c>
      <c r="C5376">
        <v>0.67083491126630501</v>
      </c>
      <c r="D5376">
        <v>0.82616465266373595</v>
      </c>
      <c r="E5376">
        <v>0.80646727772159699</v>
      </c>
    </row>
    <row r="5377" spans="1:5" x14ac:dyDescent="0.2">
      <c r="A5377">
        <v>0.33334666666666701</v>
      </c>
      <c r="B5377">
        <v>0.70553655075107302</v>
      </c>
      <c r="C5377">
        <v>0.67102989842454097</v>
      </c>
      <c r="D5377">
        <v>0.82628717939254703</v>
      </c>
      <c r="E5377">
        <v>0.80657397062923397</v>
      </c>
    </row>
    <row r="5378" spans="1:5" x14ac:dyDescent="0.2">
      <c r="A5378">
        <v>0.33361333333333298</v>
      </c>
      <c r="B5378">
        <v>0.70571570107254999</v>
      </c>
      <c r="C5378">
        <v>0.67122478625934701</v>
      </c>
      <c r="D5378">
        <v>0.82640957816092198</v>
      </c>
      <c r="E5378">
        <v>0.80668048859729202</v>
      </c>
    </row>
    <row r="5379" spans="1:5" x14ac:dyDescent="0.2">
      <c r="A5379">
        <v>0.33388000000000001</v>
      </c>
      <c r="B5379">
        <v>0.70589475367517396</v>
      </c>
      <c r="C5379">
        <v>0.67141957489902204</v>
      </c>
      <c r="D5379">
        <v>0.82653184964092397</v>
      </c>
      <c r="E5379">
        <v>0.806786834327754</v>
      </c>
    </row>
    <row r="5380" spans="1:5" x14ac:dyDescent="0.2">
      <c r="A5380">
        <v>0.33414666666666698</v>
      </c>
      <c r="B5380">
        <v>0.70607370868880104</v>
      </c>
      <c r="C5380">
        <v>0.67161426447186801</v>
      </c>
      <c r="D5380">
        <v>0.82665399450461696</v>
      </c>
      <c r="E5380">
        <v>0.80689301052260298</v>
      </c>
    </row>
    <row r="5381" spans="1:5" x14ac:dyDescent="0.2">
      <c r="A5381">
        <v>0.33441333333333301</v>
      </c>
      <c r="B5381">
        <v>0.70625256624328503</v>
      </c>
      <c r="C5381">
        <v>0.67180885510618105</v>
      </c>
      <c r="D5381">
        <v>0.82677601342406304</v>
      </c>
      <c r="E5381">
        <v>0.80699901988381995</v>
      </c>
    </row>
    <row r="5382" spans="1:5" x14ac:dyDescent="0.2">
      <c r="A5382">
        <v>0.33467999999999998</v>
      </c>
      <c r="B5382">
        <v>0.70643132646848095</v>
      </c>
      <c r="C5382">
        <v>0.67200334693026298</v>
      </c>
      <c r="D5382">
        <v>0.82689790707132704</v>
      </c>
      <c r="E5382">
        <v>0.80710486511338897</v>
      </c>
    </row>
    <row r="5383" spans="1:5" x14ac:dyDescent="0.2">
      <c r="A5383">
        <v>0.334946666666667</v>
      </c>
      <c r="B5383">
        <v>0.70660998949424203</v>
      </c>
      <c r="C5383">
        <v>0.67219774007241195</v>
      </c>
      <c r="D5383">
        <v>0.82701967611847205</v>
      </c>
      <c r="E5383">
        <v>0.80721054891329203</v>
      </c>
    </row>
    <row r="5384" spans="1:5" x14ac:dyDescent="0.2">
      <c r="A5384">
        <v>0.33521333333333297</v>
      </c>
      <c r="B5384">
        <v>0.70678855545042296</v>
      </c>
      <c r="C5384">
        <v>0.67239203466092701</v>
      </c>
      <c r="D5384">
        <v>0.82714132123756001</v>
      </c>
      <c r="E5384">
        <v>0.80731607398551097</v>
      </c>
    </row>
    <row r="5385" spans="1:5" x14ac:dyDescent="0.2">
      <c r="A5385">
        <v>0.33548</v>
      </c>
      <c r="B5385">
        <v>0.70696702446687898</v>
      </c>
      <c r="C5385">
        <v>0.67258623082410895</v>
      </c>
      <c r="D5385">
        <v>0.82726284310065501</v>
      </c>
      <c r="E5385">
        <v>0.80742144303203001</v>
      </c>
    </row>
    <row r="5386" spans="1:5" x14ac:dyDescent="0.2">
      <c r="A5386">
        <v>0.33574666666666703</v>
      </c>
      <c r="B5386">
        <v>0.70714539667346299</v>
      </c>
      <c r="C5386">
        <v>0.67278032869025695</v>
      </c>
      <c r="D5386">
        <v>0.827384242379821</v>
      </c>
      <c r="E5386">
        <v>0.80752665875482998</v>
      </c>
    </row>
    <row r="5387" spans="1:5" x14ac:dyDescent="0.2">
      <c r="A5387">
        <v>0.336013333333333</v>
      </c>
      <c r="B5387">
        <v>0.70732367220003201</v>
      </c>
      <c r="C5387">
        <v>0.67297432838767002</v>
      </c>
      <c r="D5387">
        <v>0.82750551974712105</v>
      </c>
      <c r="E5387">
        <v>0.80763172385589499</v>
      </c>
    </row>
    <row r="5388" spans="1:5" x14ac:dyDescent="0.2">
      <c r="A5388">
        <v>0.33628000000000002</v>
      </c>
      <c r="B5388">
        <v>0.70750185117643805</v>
      </c>
      <c r="C5388">
        <v>0.67316823004464799</v>
      </c>
      <c r="D5388">
        <v>0.82762667587461702</v>
      </c>
      <c r="E5388">
        <v>0.80773664103720699</v>
      </c>
    </row>
    <row r="5389" spans="1:5" x14ac:dyDescent="0.2">
      <c r="A5389">
        <v>0.33654666666666699</v>
      </c>
      <c r="B5389">
        <v>0.70767993373253602</v>
      </c>
      <c r="C5389">
        <v>0.673362033789489</v>
      </c>
      <c r="D5389">
        <v>0.82774771143437398</v>
      </c>
      <c r="E5389">
        <v>0.80784141300074797</v>
      </c>
    </row>
    <row r="5390" spans="1:5" x14ac:dyDescent="0.2">
      <c r="A5390">
        <v>0.33681333333333302</v>
      </c>
      <c r="B5390">
        <v>0.70785791999818004</v>
      </c>
      <c r="C5390">
        <v>0.67355573975049399</v>
      </c>
      <c r="D5390">
        <v>0.82786862709845499</v>
      </c>
      <c r="E5390">
        <v>0.80794604244850199</v>
      </c>
    </row>
    <row r="5391" spans="1:5" x14ac:dyDescent="0.2">
      <c r="A5391">
        <v>0.33707999999999999</v>
      </c>
      <c r="B5391">
        <v>0.70803581010322603</v>
      </c>
      <c r="C5391">
        <v>0.67374934805596198</v>
      </c>
      <c r="D5391">
        <v>0.82798942353892202</v>
      </c>
      <c r="E5391">
        <v>0.80805053208244904</v>
      </c>
    </row>
    <row r="5392" spans="1:5" x14ac:dyDescent="0.2">
      <c r="A5392">
        <v>0.33734666666666702</v>
      </c>
      <c r="B5392">
        <v>0.70821360417752699</v>
      </c>
      <c r="C5392">
        <v>0.67394285883419203</v>
      </c>
      <c r="D5392">
        <v>0.82811010142784003</v>
      </c>
      <c r="E5392">
        <v>0.80815488460457396</v>
      </c>
    </row>
    <row r="5393" spans="1:5" x14ac:dyDescent="0.2">
      <c r="A5393">
        <v>0.33761333333333299</v>
      </c>
      <c r="B5393">
        <v>0.70839130235093795</v>
      </c>
      <c r="C5393">
        <v>0.67413627221348404</v>
      </c>
      <c r="D5393">
        <v>0.82823066143727098</v>
      </c>
      <c r="E5393">
        <v>0.80825910271685897</v>
      </c>
    </row>
    <row r="5394" spans="1:5" x14ac:dyDescent="0.2">
      <c r="A5394">
        <v>0.33788000000000001</v>
      </c>
      <c r="B5394">
        <v>0.70856890475331302</v>
      </c>
      <c r="C5394">
        <v>0.67432958832213696</v>
      </c>
      <c r="D5394">
        <v>0.82835110423927905</v>
      </c>
      <c r="E5394">
        <v>0.80836318912128602</v>
      </c>
    </row>
    <row r="5395" spans="1:5" x14ac:dyDescent="0.2">
      <c r="A5395">
        <v>0.33814666666666698</v>
      </c>
      <c r="B5395">
        <v>0.70874641151450701</v>
      </c>
      <c r="C5395">
        <v>0.67452280728845104</v>
      </c>
      <c r="D5395">
        <v>0.82847143050592797</v>
      </c>
      <c r="E5395">
        <v>0.80846714651983798</v>
      </c>
    </row>
    <row r="5396" spans="1:5" x14ac:dyDescent="0.2">
      <c r="A5396">
        <v>0.33841333333333301</v>
      </c>
      <c r="B5396">
        <v>0.70892382276437405</v>
      </c>
      <c r="C5396">
        <v>0.67471592924072499</v>
      </c>
      <c r="D5396">
        <v>0.82859164090927895</v>
      </c>
      <c r="E5396">
        <v>0.80857097761449703</v>
      </c>
    </row>
    <row r="5397" spans="1:5" x14ac:dyDescent="0.2">
      <c r="A5397">
        <v>0.33867999999999998</v>
      </c>
      <c r="B5397">
        <v>0.70910113863276902</v>
      </c>
      <c r="C5397">
        <v>0.67490895430725795</v>
      </c>
      <c r="D5397">
        <v>0.82871173612139803</v>
      </c>
      <c r="E5397">
        <v>0.80867468510724605</v>
      </c>
    </row>
    <row r="5398" spans="1:5" x14ac:dyDescent="0.2">
      <c r="A5398">
        <v>0.33894666666666701</v>
      </c>
      <c r="B5398">
        <v>0.70927835924954497</v>
      </c>
      <c r="C5398">
        <v>0.67510188261634996</v>
      </c>
      <c r="D5398">
        <v>0.82883171681434697</v>
      </c>
      <c r="E5398">
        <v>0.808778271700068</v>
      </c>
    </row>
    <row r="5399" spans="1:5" x14ac:dyDescent="0.2">
      <c r="A5399">
        <v>0.33921333333333298</v>
      </c>
      <c r="B5399">
        <v>0.709455484744558</v>
      </c>
      <c r="C5399">
        <v>0.67529471429629995</v>
      </c>
      <c r="D5399">
        <v>0.82895158366018895</v>
      </c>
      <c r="E5399">
        <v>0.80888174009494496</v>
      </c>
    </row>
    <row r="5400" spans="1:5" x14ac:dyDescent="0.2">
      <c r="A5400">
        <v>0.33948</v>
      </c>
      <c r="B5400">
        <v>0.70963251524766102</v>
      </c>
      <c r="C5400">
        <v>0.67548744947540895</v>
      </c>
      <c r="D5400">
        <v>0.82907133733098703</v>
      </c>
      <c r="E5400">
        <v>0.80898509299385901</v>
      </c>
    </row>
    <row r="5401" spans="1:5" x14ac:dyDescent="0.2">
      <c r="A5401">
        <v>0.33974666666666697</v>
      </c>
      <c r="B5401">
        <v>0.70980945088870895</v>
      </c>
      <c r="C5401">
        <v>0.67568008828197401</v>
      </c>
      <c r="D5401">
        <v>0.82919097849880596</v>
      </c>
      <c r="E5401">
        <v>0.80908833309879402</v>
      </c>
    </row>
    <row r="5402" spans="1:5" x14ac:dyDescent="0.2">
      <c r="A5402">
        <v>0.340013333333333</v>
      </c>
      <c r="B5402">
        <v>0.70998629179755701</v>
      </c>
      <c r="C5402">
        <v>0.67587263084429605</v>
      </c>
      <c r="D5402">
        <v>0.82931050783570803</v>
      </c>
      <c r="E5402">
        <v>0.80919146311173196</v>
      </c>
    </row>
    <row r="5403" spans="1:5" x14ac:dyDescent="0.2">
      <c r="A5403">
        <v>0.34028000000000003</v>
      </c>
      <c r="B5403">
        <v>0.71016303810216397</v>
      </c>
      <c r="C5403">
        <v>0.67606507728883203</v>
      </c>
      <c r="D5403">
        <v>0.82942992601375598</v>
      </c>
      <c r="E5403">
        <v>0.80929448573465501</v>
      </c>
    </row>
    <row r="5404" spans="1:5" x14ac:dyDescent="0.2">
      <c r="A5404">
        <v>0.340546666666667</v>
      </c>
      <c r="B5404">
        <v>0.71033968992396701</v>
      </c>
      <c r="C5404">
        <v>0.67625742773569597</v>
      </c>
      <c r="D5404">
        <v>0.82954923370501499</v>
      </c>
      <c r="E5404">
        <v>0.80939740366954605</v>
      </c>
    </row>
    <row r="5405" spans="1:5" x14ac:dyDescent="0.2">
      <c r="A5405">
        <v>0.34081333333333302</v>
      </c>
      <c r="B5405">
        <v>0.71051624738299901</v>
      </c>
      <c r="C5405">
        <v>0.676449682303638</v>
      </c>
      <c r="D5405">
        <v>0.82966843158154602</v>
      </c>
      <c r="E5405">
        <v>0.80950021961838703</v>
      </c>
    </row>
    <row r="5406" spans="1:5" x14ac:dyDescent="0.2">
      <c r="A5406">
        <v>0.34107999999999999</v>
      </c>
      <c r="B5406">
        <v>0.71069271059929295</v>
      </c>
      <c r="C5406">
        <v>0.67664184111140802</v>
      </c>
      <c r="D5406">
        <v>0.82978752031541403</v>
      </c>
      <c r="E5406">
        <v>0.80960293628316105</v>
      </c>
    </row>
    <row r="5407" spans="1:5" x14ac:dyDescent="0.2">
      <c r="A5407">
        <v>0.34134666666666702</v>
      </c>
      <c r="B5407">
        <v>0.71086907969288204</v>
      </c>
      <c r="C5407">
        <v>0.67683390427775503</v>
      </c>
      <c r="D5407">
        <v>0.82990650057868198</v>
      </c>
      <c r="E5407">
        <v>0.80970555636585095</v>
      </c>
    </row>
    <row r="5408" spans="1:5" x14ac:dyDescent="0.2">
      <c r="A5408">
        <v>0.34161333333333299</v>
      </c>
      <c r="B5408">
        <v>0.71104535478380004</v>
      </c>
      <c r="C5408">
        <v>0.67702587192143004</v>
      </c>
      <c r="D5408">
        <v>0.83002537304341295</v>
      </c>
      <c r="E5408">
        <v>0.80980808256843995</v>
      </c>
    </row>
    <row r="5409" spans="1:5" x14ac:dyDescent="0.2">
      <c r="A5409">
        <v>0.34188000000000002</v>
      </c>
      <c r="B5409">
        <v>0.71122153599207805</v>
      </c>
      <c r="C5409">
        <v>0.67721774416118197</v>
      </c>
      <c r="D5409">
        <v>0.830144138381671</v>
      </c>
      <c r="E5409">
        <v>0.809910517592909</v>
      </c>
    </row>
    <row r="5410" spans="1:5" x14ac:dyDescent="0.2">
      <c r="A5410">
        <v>0.34214666666666699</v>
      </c>
      <c r="B5410">
        <v>0.71139762343775104</v>
      </c>
      <c r="C5410">
        <v>0.67740952111576103</v>
      </c>
      <c r="D5410">
        <v>0.83026279726551799</v>
      </c>
      <c r="E5410">
        <v>0.81001286414124096</v>
      </c>
    </row>
    <row r="5411" spans="1:5" x14ac:dyDescent="0.2">
      <c r="A5411">
        <v>0.34241333333333301</v>
      </c>
      <c r="B5411">
        <v>0.711573617240852</v>
      </c>
      <c r="C5411">
        <v>0.67760120290391601</v>
      </c>
      <c r="D5411">
        <v>0.83038135036701799</v>
      </c>
      <c r="E5411">
        <v>0.81011512491541904</v>
      </c>
    </row>
    <row r="5412" spans="1:5" x14ac:dyDescent="0.2">
      <c r="A5412">
        <v>0.34267999999999998</v>
      </c>
      <c r="B5412">
        <v>0.71174951752141202</v>
      </c>
      <c r="C5412">
        <v>0.67779278964439704</v>
      </c>
      <c r="D5412">
        <v>0.83049979835823495</v>
      </c>
      <c r="E5412">
        <v>0.81021730261742597</v>
      </c>
    </row>
    <row r="5413" spans="1:5" x14ac:dyDescent="0.2">
      <c r="A5413">
        <v>0.34294666666666701</v>
      </c>
      <c r="B5413">
        <v>0.71192532439946599</v>
      </c>
      <c r="C5413">
        <v>0.67798428145595502</v>
      </c>
      <c r="D5413">
        <v>0.83061814191123096</v>
      </c>
      <c r="E5413">
        <v>0.81031939994924296</v>
      </c>
    </row>
    <row r="5414" spans="1:5" x14ac:dyDescent="0.2">
      <c r="A5414">
        <v>0.34321333333333298</v>
      </c>
      <c r="B5414">
        <v>0.71210103799504698</v>
      </c>
      <c r="C5414">
        <v>0.67817567845733795</v>
      </c>
      <c r="D5414">
        <v>0.83073638169806996</v>
      </c>
      <c r="E5414">
        <v>0.81042141961285397</v>
      </c>
    </row>
    <row r="5415" spans="1:5" x14ac:dyDescent="0.2">
      <c r="A5415">
        <v>0.34348000000000001</v>
      </c>
      <c r="B5415">
        <v>0.71227665842818699</v>
      </c>
      <c r="C5415">
        <v>0.67836698076729696</v>
      </c>
      <c r="D5415">
        <v>0.83085451839081503</v>
      </c>
      <c r="E5415">
        <v>0.81052336431024197</v>
      </c>
    </row>
    <row r="5416" spans="1:5" x14ac:dyDescent="0.2">
      <c r="A5416">
        <v>0.34374666666666698</v>
      </c>
      <c r="B5416">
        <v>0.71245218581892</v>
      </c>
      <c r="C5416">
        <v>0.67855818850458105</v>
      </c>
      <c r="D5416">
        <v>0.83097255266153003</v>
      </c>
      <c r="E5416">
        <v>0.81062523674338804</v>
      </c>
    </row>
    <row r="5417" spans="1:5" x14ac:dyDescent="0.2">
      <c r="A5417">
        <v>0.344013333333333</v>
      </c>
      <c r="B5417">
        <v>0.712627620287278</v>
      </c>
      <c r="C5417">
        <v>0.67874930178794102</v>
      </c>
      <c r="D5417">
        <v>0.83109048518227802</v>
      </c>
      <c r="E5417">
        <v>0.81072703961427495</v>
      </c>
    </row>
    <row r="5418" spans="1:5" x14ac:dyDescent="0.2">
      <c r="A5418">
        <v>0.34427999999999997</v>
      </c>
      <c r="B5418">
        <v>0.71280296195329595</v>
      </c>
      <c r="C5418">
        <v>0.67894032073612498</v>
      </c>
      <c r="D5418">
        <v>0.83120831662512196</v>
      </c>
      <c r="E5418">
        <v>0.81082877562488598</v>
      </c>
    </row>
    <row r="5419" spans="1:5" x14ac:dyDescent="0.2">
      <c r="A5419">
        <v>0.344546666666667</v>
      </c>
      <c r="B5419">
        <v>0.71297821093700497</v>
      </c>
      <c r="C5419">
        <v>0.67913124546788295</v>
      </c>
      <c r="D5419">
        <v>0.83132604766212503</v>
      </c>
      <c r="E5419">
        <v>0.810930447477203</v>
      </c>
    </row>
    <row r="5420" spans="1:5" x14ac:dyDescent="0.2">
      <c r="A5420">
        <v>0.34481333333333303</v>
      </c>
      <c r="B5420">
        <v>0.71315336735843904</v>
      </c>
      <c r="C5420">
        <v>0.67932207610196604</v>
      </c>
      <c r="D5420">
        <v>0.83144367896535198</v>
      </c>
      <c r="E5420">
        <v>0.81103205787320998</v>
      </c>
    </row>
    <row r="5421" spans="1:5" x14ac:dyDescent="0.2">
      <c r="A5421">
        <v>0.34508</v>
      </c>
      <c r="B5421">
        <v>0.71332843133763102</v>
      </c>
      <c r="C5421">
        <v>0.67951281275712305</v>
      </c>
      <c r="D5421">
        <v>0.83156121120686399</v>
      </c>
      <c r="E5421">
        <v>0.811133609514888</v>
      </c>
    </row>
    <row r="5422" spans="1:5" x14ac:dyDescent="0.2">
      <c r="A5422">
        <v>0.34534666666666702</v>
      </c>
      <c r="B5422">
        <v>0.71350340299461401</v>
      </c>
      <c r="C5422">
        <v>0.67970345555210299</v>
      </c>
      <c r="D5422">
        <v>0.83167864505872502</v>
      </c>
      <c r="E5422">
        <v>0.81123510510422003</v>
      </c>
    </row>
    <row r="5423" spans="1:5" x14ac:dyDescent="0.2">
      <c r="A5423">
        <v>0.34561333333333299</v>
      </c>
      <c r="B5423">
        <v>0.713678282449421</v>
      </c>
      <c r="C5423">
        <v>0.67989400460565796</v>
      </c>
      <c r="D5423">
        <v>0.83179598119300002</v>
      </c>
      <c r="E5423">
        <v>0.81133654734318905</v>
      </c>
    </row>
    <row r="5424" spans="1:5" x14ac:dyDescent="0.2">
      <c r="A5424">
        <v>0.34588000000000002</v>
      </c>
      <c r="B5424">
        <v>0.71385306982208496</v>
      </c>
      <c r="C5424">
        <v>0.680084460036535</v>
      </c>
      <c r="D5424">
        <v>0.83191322028174997</v>
      </c>
      <c r="E5424">
        <v>0.81143793893377603</v>
      </c>
    </row>
    <row r="5425" spans="1:5" x14ac:dyDescent="0.2">
      <c r="A5425">
        <v>0.34614666666666699</v>
      </c>
      <c r="B5425">
        <v>0.71402776523264</v>
      </c>
      <c r="C5425">
        <v>0.68027482196348499</v>
      </c>
      <c r="D5425">
        <v>0.83203036299704003</v>
      </c>
      <c r="E5425">
        <v>0.81153928257796604</v>
      </c>
    </row>
    <row r="5426" spans="1:5" x14ac:dyDescent="0.2">
      <c r="A5426">
        <v>0.34641333333333302</v>
      </c>
      <c r="B5426">
        <v>0.71420236880111698</v>
      </c>
      <c r="C5426">
        <v>0.68046509050525805</v>
      </c>
      <c r="D5426">
        <v>0.83214741001093195</v>
      </c>
      <c r="E5426">
        <v>0.81164058097773994</v>
      </c>
    </row>
    <row r="5427" spans="1:5" x14ac:dyDescent="0.2">
      <c r="A5427">
        <v>0.34667999999999999</v>
      </c>
      <c r="B5427">
        <v>0.714376880647551</v>
      </c>
      <c r="C5427">
        <v>0.68065526578060398</v>
      </c>
      <c r="D5427">
        <v>0.83226436199549003</v>
      </c>
      <c r="E5427">
        <v>0.81174183683508105</v>
      </c>
    </row>
    <row r="5428" spans="1:5" x14ac:dyDescent="0.2">
      <c r="A5428">
        <v>0.34694666666666701</v>
      </c>
      <c r="B5428">
        <v>0.71455130089197505</v>
      </c>
      <c r="C5428">
        <v>0.680845347908272</v>
      </c>
      <c r="D5428">
        <v>0.832381219622777</v>
      </c>
      <c r="E5428">
        <v>0.811843052851972</v>
      </c>
    </row>
    <row r="5429" spans="1:5" x14ac:dyDescent="0.2">
      <c r="A5429">
        <v>0.34721333333333299</v>
      </c>
      <c r="B5429">
        <v>0.71472562965442099</v>
      </c>
      <c r="C5429">
        <v>0.68103533700701202</v>
      </c>
      <c r="D5429">
        <v>0.83249798356485705</v>
      </c>
      <c r="E5429">
        <v>0.81194423173039398</v>
      </c>
    </row>
    <row r="5430" spans="1:5" x14ac:dyDescent="0.2">
      <c r="A5430">
        <v>0.34748000000000001</v>
      </c>
      <c r="B5430">
        <v>0.71489986705492203</v>
      </c>
      <c r="C5430">
        <v>0.68122523319557304</v>
      </c>
      <c r="D5430">
        <v>0.83261465449379202</v>
      </c>
      <c r="E5430">
        <v>0.81204537617233097</v>
      </c>
    </row>
    <row r="5431" spans="1:5" x14ac:dyDescent="0.2">
      <c r="A5431">
        <v>0.34774666666666698</v>
      </c>
      <c r="B5431">
        <v>0.71507401321351205</v>
      </c>
      <c r="C5431">
        <v>0.68141503659270597</v>
      </c>
      <c r="D5431">
        <v>0.83273123308164698</v>
      </c>
      <c r="E5431">
        <v>0.81214648887976504</v>
      </c>
    </row>
    <row r="5432" spans="1:5" x14ac:dyDescent="0.2">
      <c r="A5432">
        <v>0.34801333333333301</v>
      </c>
      <c r="B5432">
        <v>0.71524806825022302</v>
      </c>
      <c r="C5432">
        <v>0.68160474731716103</v>
      </c>
      <c r="D5432">
        <v>0.83284772000048402</v>
      </c>
      <c r="E5432">
        <v>0.81224757255467905</v>
      </c>
    </row>
    <row r="5433" spans="1:5" x14ac:dyDescent="0.2">
      <c r="A5433">
        <v>0.34827999999999998</v>
      </c>
      <c r="B5433">
        <v>0.71542203228508905</v>
      </c>
      <c r="C5433">
        <v>0.68179436548768602</v>
      </c>
      <c r="D5433">
        <v>0.83296411592236697</v>
      </c>
      <c r="E5433">
        <v>0.81234862989905599</v>
      </c>
    </row>
    <row r="5434" spans="1:5" x14ac:dyDescent="0.2">
      <c r="A5434">
        <v>0.348546666666667</v>
      </c>
      <c r="B5434">
        <v>0.715595905438143</v>
      </c>
      <c r="C5434">
        <v>0.68198389122303205</v>
      </c>
      <c r="D5434">
        <v>0.83308042151935902</v>
      </c>
      <c r="E5434">
        <v>0.81244966361487703</v>
      </c>
    </row>
    <row r="5435" spans="1:5" x14ac:dyDescent="0.2">
      <c r="A5435">
        <v>0.34881333333333298</v>
      </c>
      <c r="B5435">
        <v>0.71576968782941797</v>
      </c>
      <c r="C5435">
        <v>0.68217332464194802</v>
      </c>
      <c r="D5435">
        <v>0.83319663746352302</v>
      </c>
      <c r="E5435">
        <v>0.81255067640412504</v>
      </c>
    </row>
    <row r="5436" spans="1:5" x14ac:dyDescent="0.2">
      <c r="A5436">
        <v>0.34908</v>
      </c>
      <c r="B5436">
        <v>0.71594337957894705</v>
      </c>
      <c r="C5436">
        <v>0.68236266586318495</v>
      </c>
      <c r="D5436">
        <v>0.83331276442692204</v>
      </c>
      <c r="E5436">
        <v>0.81265167096878399</v>
      </c>
    </row>
    <row r="5437" spans="1:5" x14ac:dyDescent="0.2">
      <c r="A5437">
        <v>0.34934666666666703</v>
      </c>
      <c r="B5437">
        <v>0.716116980806762</v>
      </c>
      <c r="C5437">
        <v>0.68255191500549195</v>
      </c>
      <c r="D5437">
        <v>0.83342880308162104</v>
      </c>
      <c r="E5437">
        <v>0.81275265001083496</v>
      </c>
    </row>
    <row r="5438" spans="1:5" x14ac:dyDescent="0.2">
      <c r="A5438">
        <v>0.349613333333333</v>
      </c>
      <c r="B5438">
        <v>0.71629049163289804</v>
      </c>
      <c r="C5438">
        <v>0.68274107218761804</v>
      </c>
      <c r="D5438">
        <v>0.83354475409968198</v>
      </c>
      <c r="E5438">
        <v>0.81285361623226104</v>
      </c>
    </row>
    <row r="5439" spans="1:5" x14ac:dyDescent="0.2">
      <c r="A5439">
        <v>0.34988000000000002</v>
      </c>
      <c r="B5439">
        <v>0.71646391217738603</v>
      </c>
      <c r="C5439">
        <v>0.682930137528314</v>
      </c>
      <c r="D5439">
        <v>0.83366061815316905</v>
      </c>
      <c r="E5439">
        <v>0.81295457233504498</v>
      </c>
    </row>
    <row r="5440" spans="1:5" x14ac:dyDescent="0.2">
      <c r="A5440">
        <v>0.35014666666666699</v>
      </c>
      <c r="B5440">
        <v>0.71663724256001704</v>
      </c>
      <c r="C5440">
        <v>0.68311911114608903</v>
      </c>
      <c r="D5440">
        <v>0.83377639591414399</v>
      </c>
      <c r="E5440">
        <v>0.81305552094576605</v>
      </c>
    </row>
    <row r="5441" spans="1:5" x14ac:dyDescent="0.2">
      <c r="A5441">
        <v>0.35041333333333302</v>
      </c>
      <c r="B5441">
        <v>0.71681048289610405</v>
      </c>
      <c r="C5441">
        <v>0.68330799315503798</v>
      </c>
      <c r="D5441">
        <v>0.83389208805467196</v>
      </c>
      <c r="E5441">
        <v>0.81315646330491997</v>
      </c>
    </row>
    <row r="5442" spans="1:5" x14ac:dyDescent="0.2">
      <c r="A5442">
        <v>0.35067999999999999</v>
      </c>
      <c r="B5442">
        <v>0.71698363329702997</v>
      </c>
      <c r="C5442">
        <v>0.68349678366537903</v>
      </c>
      <c r="D5442">
        <v>0.83400769524681495</v>
      </c>
      <c r="E5442">
        <v>0.81325739943652797</v>
      </c>
    </row>
    <row r="5443" spans="1:5" x14ac:dyDescent="0.2">
      <c r="A5443">
        <v>0.35094666666666702</v>
      </c>
      <c r="B5443">
        <v>0.71715669387404601</v>
      </c>
      <c r="C5443">
        <v>0.68368548278720298</v>
      </c>
      <c r="D5443">
        <v>0.83412321816263602</v>
      </c>
      <c r="E5443">
        <v>0.81335832932331598</v>
      </c>
    </row>
    <row r="5444" spans="1:5" x14ac:dyDescent="0.2">
      <c r="A5444">
        <v>0.35121333333333299</v>
      </c>
      <c r="B5444">
        <v>0.71732966473840398</v>
      </c>
      <c r="C5444">
        <v>0.68387409063059601</v>
      </c>
      <c r="D5444">
        <v>0.83423865747420001</v>
      </c>
      <c r="E5444">
        <v>0.81345925294800703</v>
      </c>
    </row>
    <row r="5445" spans="1:5" x14ac:dyDescent="0.2">
      <c r="A5445">
        <v>0.35148000000000001</v>
      </c>
      <c r="B5445">
        <v>0.71750254600135199</v>
      </c>
      <c r="C5445">
        <v>0.68406260730564805</v>
      </c>
      <c r="D5445">
        <v>0.834354013853569</v>
      </c>
      <c r="E5445">
        <v>0.81356017029332595</v>
      </c>
    </row>
    <row r="5446" spans="1:5" x14ac:dyDescent="0.2">
      <c r="A5446">
        <v>0.35174666666666699</v>
      </c>
      <c r="B5446">
        <v>0.71767533777414405</v>
      </c>
      <c r="C5446">
        <v>0.68425103292244605</v>
      </c>
      <c r="D5446">
        <v>0.83446928797280695</v>
      </c>
      <c r="E5446">
        <v>0.81366108134199799</v>
      </c>
    </row>
    <row r="5447" spans="1:5" x14ac:dyDescent="0.2">
      <c r="A5447">
        <v>0.35201333333333301</v>
      </c>
      <c r="B5447">
        <v>0.71784804016802795</v>
      </c>
      <c r="C5447">
        <v>0.68443936759107804</v>
      </c>
      <c r="D5447">
        <v>0.83458448050397704</v>
      </c>
      <c r="E5447">
        <v>0.81376198607674499</v>
      </c>
    </row>
    <row r="5448" spans="1:5" x14ac:dyDescent="0.2">
      <c r="A5448">
        <v>0.35227999999999998</v>
      </c>
      <c r="B5448">
        <v>0.71802065329425502</v>
      </c>
      <c r="C5448">
        <v>0.68462761142163397</v>
      </c>
      <c r="D5448">
        <v>0.83469959211914202</v>
      </c>
      <c r="E5448">
        <v>0.81386288448029398</v>
      </c>
    </row>
    <row r="5449" spans="1:5" x14ac:dyDescent="0.2">
      <c r="A5449">
        <v>0.35254666666666701</v>
      </c>
      <c r="B5449">
        <v>0.71819317726407705</v>
      </c>
      <c r="C5449">
        <v>0.68481576452420001</v>
      </c>
      <c r="D5449">
        <v>0.83481462349036595</v>
      </c>
      <c r="E5449">
        <v>0.813963776535368</v>
      </c>
    </row>
    <row r="5450" spans="1:5" x14ac:dyDescent="0.2">
      <c r="A5450">
        <v>0.35281333333333298</v>
      </c>
      <c r="B5450">
        <v>0.71836561218874395</v>
      </c>
      <c r="C5450">
        <v>0.68500382700886597</v>
      </c>
      <c r="D5450">
        <v>0.83492957528971101</v>
      </c>
      <c r="E5450">
        <v>0.81406466222469098</v>
      </c>
    </row>
    <row r="5451" spans="1:5" x14ac:dyDescent="0.2">
      <c r="A5451">
        <v>0.35308</v>
      </c>
      <c r="B5451">
        <v>0.71853795817950705</v>
      </c>
      <c r="C5451">
        <v>0.68519179898571902</v>
      </c>
      <c r="D5451">
        <v>0.83504444818924195</v>
      </c>
      <c r="E5451">
        <v>0.81416554153098697</v>
      </c>
    </row>
    <row r="5452" spans="1:5" x14ac:dyDescent="0.2">
      <c r="A5452">
        <v>0.35334666666666698</v>
      </c>
      <c r="B5452">
        <v>0.71871021534761603</v>
      </c>
      <c r="C5452">
        <v>0.68537968056484899</v>
      </c>
      <c r="D5452">
        <v>0.83515924286102206</v>
      </c>
      <c r="E5452">
        <v>0.814266414436982</v>
      </c>
    </row>
    <row r="5453" spans="1:5" x14ac:dyDescent="0.2">
      <c r="A5453">
        <v>0.353613333333333</v>
      </c>
      <c r="B5453">
        <v>0.71888238380432201</v>
      </c>
      <c r="C5453">
        <v>0.68556747185634204</v>
      </c>
      <c r="D5453">
        <v>0.83527395997711296</v>
      </c>
      <c r="E5453">
        <v>0.81436728092539801</v>
      </c>
    </row>
    <row r="5454" spans="1:5" x14ac:dyDescent="0.2">
      <c r="A5454">
        <v>0.35387999999999997</v>
      </c>
      <c r="B5454">
        <v>0.719054463660876</v>
      </c>
      <c r="C5454">
        <v>0.68575517297028799</v>
      </c>
      <c r="D5454">
        <v>0.83538860020957895</v>
      </c>
      <c r="E5454">
        <v>0.81446814097896103</v>
      </c>
    </row>
    <row r="5455" spans="1:5" x14ac:dyDescent="0.2">
      <c r="A5455">
        <v>0.354146666666667</v>
      </c>
      <c r="B5455">
        <v>0.719226455028528</v>
      </c>
      <c r="C5455">
        <v>0.685942784016774</v>
      </c>
      <c r="D5455">
        <v>0.83550316423048299</v>
      </c>
      <c r="E5455">
        <v>0.814568994580395</v>
      </c>
    </row>
    <row r="5456" spans="1:5" x14ac:dyDescent="0.2">
      <c r="A5456">
        <v>0.35441333333333302</v>
      </c>
      <c r="B5456">
        <v>0.71939835801852903</v>
      </c>
      <c r="C5456">
        <v>0.68613030510588902</v>
      </c>
      <c r="D5456">
        <v>0.83561765271189004</v>
      </c>
      <c r="E5456">
        <v>0.81466984171242396</v>
      </c>
    </row>
    <row r="5457" spans="1:5" x14ac:dyDescent="0.2">
      <c r="A5457">
        <v>0.35468</v>
      </c>
      <c r="B5457">
        <v>0.71957017274212998</v>
      </c>
      <c r="C5457">
        <v>0.68631773634772097</v>
      </c>
      <c r="D5457">
        <v>0.83573206632586094</v>
      </c>
      <c r="E5457">
        <v>0.81477068235777195</v>
      </c>
    </row>
    <row r="5458" spans="1:5" x14ac:dyDescent="0.2">
      <c r="A5458">
        <v>0.35494666666666702</v>
      </c>
      <c r="B5458">
        <v>0.71974189931058097</v>
      </c>
      <c r="C5458">
        <v>0.68650507785235904</v>
      </c>
      <c r="D5458">
        <v>0.83584640574446101</v>
      </c>
      <c r="E5458">
        <v>0.81487151649916401</v>
      </c>
    </row>
    <row r="5459" spans="1:5" x14ac:dyDescent="0.2">
      <c r="A5459">
        <v>0.35521333333333299</v>
      </c>
      <c r="B5459">
        <v>0.71991353783513401</v>
      </c>
      <c r="C5459">
        <v>0.68669232972989003</v>
      </c>
      <c r="D5459">
        <v>0.83596067163975196</v>
      </c>
      <c r="E5459">
        <v>0.81497234411932395</v>
      </c>
    </row>
    <row r="5460" spans="1:5" x14ac:dyDescent="0.2">
      <c r="A5460">
        <v>0.35548000000000002</v>
      </c>
      <c r="B5460">
        <v>0.720085088427038</v>
      </c>
      <c r="C5460">
        <v>0.686879492090403</v>
      </c>
      <c r="D5460">
        <v>0.83607486468379799</v>
      </c>
      <c r="E5460">
        <v>0.81507316520097495</v>
      </c>
    </row>
    <row r="5461" spans="1:5" x14ac:dyDescent="0.2">
      <c r="A5461">
        <v>0.35574666666666699</v>
      </c>
      <c r="B5461">
        <v>0.72025655119754495</v>
      </c>
      <c r="C5461">
        <v>0.687066565043986</v>
      </c>
      <c r="D5461">
        <v>0.83618898554866306</v>
      </c>
      <c r="E5461">
        <v>0.81517397972684402</v>
      </c>
    </row>
    <row r="5462" spans="1:5" x14ac:dyDescent="0.2">
      <c r="A5462">
        <v>0.35601333333333302</v>
      </c>
      <c r="B5462">
        <v>0.72042792625790497</v>
      </c>
      <c r="C5462">
        <v>0.68725354870072697</v>
      </c>
      <c r="D5462">
        <v>0.836303034906409</v>
      </c>
      <c r="E5462">
        <v>0.815274787679653</v>
      </c>
    </row>
    <row r="5463" spans="1:5" x14ac:dyDescent="0.2">
      <c r="A5463">
        <v>0.35627999999999999</v>
      </c>
      <c r="B5463">
        <v>0.72059921371936897</v>
      </c>
      <c r="C5463">
        <v>0.68744044317071495</v>
      </c>
      <c r="D5463">
        <v>0.83641701342910002</v>
      </c>
      <c r="E5463">
        <v>0.81537558904212704</v>
      </c>
    </row>
    <row r="5464" spans="1:5" x14ac:dyDescent="0.2">
      <c r="A5464">
        <v>0.35654666666666701</v>
      </c>
      <c r="B5464">
        <v>0.72077041369318695</v>
      </c>
      <c r="C5464">
        <v>0.68762724856403801</v>
      </c>
      <c r="D5464">
        <v>0.83653092178879895</v>
      </c>
      <c r="E5464">
        <v>0.81547638379698995</v>
      </c>
    </row>
    <row r="5465" spans="1:5" x14ac:dyDescent="0.2">
      <c r="A5465">
        <v>0.35681333333333298</v>
      </c>
      <c r="B5465">
        <v>0.72094152629061004</v>
      </c>
      <c r="C5465">
        <v>0.68781396499078395</v>
      </c>
      <c r="D5465">
        <v>0.83664476065756899</v>
      </c>
      <c r="E5465">
        <v>0.81557717192696699</v>
      </c>
    </row>
    <row r="5466" spans="1:5" x14ac:dyDescent="0.2">
      <c r="A5466">
        <v>0.35708000000000001</v>
      </c>
      <c r="B5466">
        <v>0.72111255162289001</v>
      </c>
      <c r="C5466">
        <v>0.68800059256104096</v>
      </c>
      <c r="D5466">
        <v>0.83675853070747497</v>
      </c>
      <c r="E5466">
        <v>0.815677953414782</v>
      </c>
    </row>
    <row r="5467" spans="1:5" x14ac:dyDescent="0.2">
      <c r="A5467">
        <v>0.35734666666666698</v>
      </c>
      <c r="B5467">
        <v>0.72128348980127599</v>
      </c>
      <c r="C5467">
        <v>0.68818713138489795</v>
      </c>
      <c r="D5467">
        <v>0.83687223261057797</v>
      </c>
      <c r="E5467">
        <v>0.815778728243159</v>
      </c>
    </row>
    <row r="5468" spans="1:5" x14ac:dyDescent="0.2">
      <c r="A5468">
        <v>0.35761333333333301</v>
      </c>
      <c r="B5468">
        <v>0.72145434093701899</v>
      </c>
      <c r="C5468">
        <v>0.68837358157244199</v>
      </c>
      <c r="D5468">
        <v>0.83698586703894295</v>
      </c>
      <c r="E5468">
        <v>0.81587949639482205</v>
      </c>
    </row>
    <row r="5469" spans="1:5" x14ac:dyDescent="0.2">
      <c r="A5469">
        <v>0.35787999999999998</v>
      </c>
      <c r="B5469">
        <v>0.72162510514137002</v>
      </c>
      <c r="C5469">
        <v>0.68855994323376202</v>
      </c>
      <c r="D5469">
        <v>0.83709943466463199</v>
      </c>
      <c r="E5469">
        <v>0.81598025785249595</v>
      </c>
    </row>
    <row r="5470" spans="1:5" x14ac:dyDescent="0.2">
      <c r="A5470">
        <v>0.358146666666667</v>
      </c>
      <c r="B5470">
        <v>0.72179578252557997</v>
      </c>
      <c r="C5470">
        <v>0.68874621647894696</v>
      </c>
      <c r="D5470">
        <v>0.83721293615970904</v>
      </c>
      <c r="E5470">
        <v>0.81608101259890498</v>
      </c>
    </row>
    <row r="5471" spans="1:5" x14ac:dyDescent="0.2">
      <c r="A5471">
        <v>0.35841333333333297</v>
      </c>
      <c r="B5471">
        <v>0.72196637320089896</v>
      </c>
      <c r="C5471">
        <v>0.68893240141808498</v>
      </c>
      <c r="D5471">
        <v>0.83732637219623796</v>
      </c>
      <c r="E5471">
        <v>0.81618176061677306</v>
      </c>
    </row>
    <row r="5472" spans="1:5" x14ac:dyDescent="0.2">
      <c r="A5472">
        <v>0.35868</v>
      </c>
      <c r="B5472">
        <v>0.722136877278578</v>
      </c>
      <c r="C5472">
        <v>0.68911849816126303</v>
      </c>
      <c r="D5472">
        <v>0.83743974344628103</v>
      </c>
      <c r="E5472">
        <v>0.81628250188882601</v>
      </c>
    </row>
    <row r="5473" spans="1:5" x14ac:dyDescent="0.2">
      <c r="A5473">
        <v>0.35894666666666702</v>
      </c>
      <c r="B5473">
        <v>0.722307294869868</v>
      </c>
      <c r="C5473">
        <v>0.68930450681857003</v>
      </c>
      <c r="D5473">
        <v>0.83755305058190199</v>
      </c>
      <c r="E5473">
        <v>0.81638323639778498</v>
      </c>
    </row>
    <row r="5474" spans="1:5" x14ac:dyDescent="0.2">
      <c r="A5474">
        <v>0.359213333333333</v>
      </c>
      <c r="B5474">
        <v>0.72247762608601895</v>
      </c>
      <c r="C5474">
        <v>0.68949042750009404</v>
      </c>
      <c r="D5474">
        <v>0.83766629427516504</v>
      </c>
      <c r="E5474">
        <v>0.81648396412637703</v>
      </c>
    </row>
    <row r="5475" spans="1:5" x14ac:dyDescent="0.2">
      <c r="A5475">
        <v>0.35948000000000002</v>
      </c>
      <c r="B5475">
        <v>0.72264787103828199</v>
      </c>
      <c r="C5475">
        <v>0.68967626031592399</v>
      </c>
      <c r="D5475">
        <v>0.83777947519813101</v>
      </c>
      <c r="E5475">
        <v>0.81658468505732595</v>
      </c>
    </row>
    <row r="5476" spans="1:5" x14ac:dyDescent="0.2">
      <c r="A5476">
        <v>0.35974666666666699</v>
      </c>
      <c r="B5476">
        <v>0.72281802983790699</v>
      </c>
      <c r="C5476">
        <v>0.68986200537614795</v>
      </c>
      <c r="D5476">
        <v>0.83789259402286598</v>
      </c>
      <c r="E5476">
        <v>0.81668539917335503</v>
      </c>
    </row>
    <row r="5477" spans="1:5" x14ac:dyDescent="0.2">
      <c r="A5477">
        <v>0.36001333333333302</v>
      </c>
      <c r="B5477">
        <v>0.72298810259614599</v>
      </c>
      <c r="C5477">
        <v>0.69004766279085294</v>
      </c>
      <c r="D5477">
        <v>0.83800565142141803</v>
      </c>
      <c r="E5477">
        <v>0.81678610645718897</v>
      </c>
    </row>
    <row r="5478" spans="1:5" x14ac:dyDescent="0.2">
      <c r="A5478">
        <v>0.36027999999999999</v>
      </c>
      <c r="B5478">
        <v>0.723158089422693</v>
      </c>
      <c r="C5478">
        <v>0.690233232668647</v>
      </c>
      <c r="D5478">
        <v>0.83811864794234503</v>
      </c>
      <c r="E5478">
        <v>0.81688680689155302</v>
      </c>
    </row>
    <row r="5479" spans="1:5" x14ac:dyDescent="0.2">
      <c r="A5479">
        <v>0.36054666666666702</v>
      </c>
      <c r="B5479">
        <v>0.72332799042188101</v>
      </c>
      <c r="C5479">
        <v>0.69041871511302699</v>
      </c>
      <c r="D5479">
        <v>0.83823158370886697</v>
      </c>
      <c r="E5479">
        <v>0.81698750045917001</v>
      </c>
    </row>
    <row r="5480" spans="1:5" x14ac:dyDescent="0.2">
      <c r="A5480">
        <v>0.36081333333333299</v>
      </c>
      <c r="B5480">
        <v>0.72349780569689204</v>
      </c>
      <c r="C5480">
        <v>0.69060411022639601</v>
      </c>
      <c r="D5480">
        <v>0.83834445875270103</v>
      </c>
      <c r="E5480">
        <v>0.81708818714276499</v>
      </c>
    </row>
    <row r="5481" spans="1:5" x14ac:dyDescent="0.2">
      <c r="A5481">
        <v>0.36108000000000001</v>
      </c>
      <c r="B5481">
        <v>0.723667535350906</v>
      </c>
      <c r="C5481">
        <v>0.69078941811115402</v>
      </c>
      <c r="D5481">
        <v>0.83845727310556595</v>
      </c>
      <c r="E5481">
        <v>0.81718886692506199</v>
      </c>
    </row>
    <row r="5482" spans="1:5" x14ac:dyDescent="0.2">
      <c r="A5482">
        <v>0.36134666666666698</v>
      </c>
      <c r="B5482">
        <v>0.72383717948710602</v>
      </c>
      <c r="C5482">
        <v>0.69097463886970401</v>
      </c>
      <c r="D5482">
        <v>0.83857002679917902</v>
      </c>
      <c r="E5482">
        <v>0.81728953978878505</v>
      </c>
    </row>
    <row r="5483" spans="1:5" x14ac:dyDescent="0.2">
      <c r="A5483">
        <v>0.36161333333333301</v>
      </c>
      <c r="B5483">
        <v>0.72400673820867201</v>
      </c>
      <c r="C5483">
        <v>0.69115977260444506</v>
      </c>
      <c r="D5483">
        <v>0.838682719865258</v>
      </c>
      <c r="E5483">
        <v>0.81739020571665899</v>
      </c>
    </row>
    <row r="5484" spans="1:5" x14ac:dyDescent="0.2">
      <c r="A5484">
        <v>0.36187999999999998</v>
      </c>
      <c r="B5484">
        <v>0.72417621161878498</v>
      </c>
      <c r="C5484">
        <v>0.69134481941778003</v>
      </c>
      <c r="D5484">
        <v>0.83879535233552105</v>
      </c>
      <c r="E5484">
        <v>0.81749086469140797</v>
      </c>
    </row>
    <row r="5485" spans="1:5" x14ac:dyDescent="0.2">
      <c r="A5485">
        <v>0.36214666666666701</v>
      </c>
      <c r="B5485">
        <v>0.72434559982062596</v>
      </c>
      <c r="C5485">
        <v>0.69152977941211002</v>
      </c>
      <c r="D5485">
        <v>0.83890792424168603</v>
      </c>
      <c r="E5485">
        <v>0.81759151669575703</v>
      </c>
    </row>
    <row r="5486" spans="1:5" x14ac:dyDescent="0.2">
      <c r="A5486">
        <v>0.36241333333333298</v>
      </c>
      <c r="B5486">
        <v>0.72451490291737697</v>
      </c>
      <c r="C5486">
        <v>0.69171465268983601</v>
      </c>
      <c r="D5486">
        <v>0.83902043561547002</v>
      </c>
      <c r="E5486">
        <v>0.81769216171242898</v>
      </c>
    </row>
    <row r="5487" spans="1:5" x14ac:dyDescent="0.2">
      <c r="A5487">
        <v>0.36268</v>
      </c>
      <c r="B5487">
        <v>0.72468412101221802</v>
      </c>
      <c r="C5487">
        <v>0.69189943935335996</v>
      </c>
      <c r="D5487">
        <v>0.83913288648859097</v>
      </c>
      <c r="E5487">
        <v>0.81779279972414898</v>
      </c>
    </row>
    <row r="5488" spans="1:5" x14ac:dyDescent="0.2">
      <c r="A5488">
        <v>0.36294666666666697</v>
      </c>
      <c r="B5488">
        <v>0.72485325420833102</v>
      </c>
      <c r="C5488">
        <v>0.69208413950508196</v>
      </c>
      <c r="D5488">
        <v>0.83924527689276696</v>
      </c>
      <c r="E5488">
        <v>0.81789343071364096</v>
      </c>
    </row>
    <row r="5489" spans="1:5" x14ac:dyDescent="0.2">
      <c r="A5489">
        <v>0.363213333333333</v>
      </c>
      <c r="B5489">
        <v>0.725022302608897</v>
      </c>
      <c r="C5489">
        <v>0.692268753247403</v>
      </c>
      <c r="D5489">
        <v>0.83935760685971506</v>
      </c>
      <c r="E5489">
        <v>0.81799405466362896</v>
      </c>
    </row>
    <row r="5490" spans="1:5" x14ac:dyDescent="0.2">
      <c r="A5490">
        <v>0.36348000000000003</v>
      </c>
      <c r="B5490">
        <v>0.72519126631709696</v>
      </c>
      <c r="C5490">
        <v>0.69245328068272605</v>
      </c>
      <c r="D5490">
        <v>0.839469876421155</v>
      </c>
      <c r="E5490">
        <v>0.81809467155683802</v>
      </c>
    </row>
    <row r="5491" spans="1:5" x14ac:dyDescent="0.2">
      <c r="A5491">
        <v>0.363746666666667</v>
      </c>
      <c r="B5491">
        <v>0.72536014543611105</v>
      </c>
      <c r="C5491">
        <v>0.69263772191345196</v>
      </c>
      <c r="D5491">
        <v>0.83958208560880199</v>
      </c>
      <c r="E5491">
        <v>0.81819528137599296</v>
      </c>
    </row>
    <row r="5492" spans="1:5" x14ac:dyDescent="0.2">
      <c r="A5492">
        <v>0.36401333333333302</v>
      </c>
      <c r="B5492">
        <v>0.72552894006912105</v>
      </c>
      <c r="C5492">
        <v>0.69282207704197996</v>
      </c>
      <c r="D5492">
        <v>0.83969423445437497</v>
      </c>
      <c r="E5492">
        <v>0.81829588410381604</v>
      </c>
    </row>
    <row r="5493" spans="1:5" x14ac:dyDescent="0.2">
      <c r="A5493">
        <v>0.36427999999999999</v>
      </c>
      <c r="B5493">
        <v>0.725697650319309</v>
      </c>
      <c r="C5493">
        <v>0.69300634617071399</v>
      </c>
      <c r="D5493">
        <v>0.83980632298959301</v>
      </c>
      <c r="E5493">
        <v>0.81839647972303298</v>
      </c>
    </row>
    <row r="5494" spans="1:5" x14ac:dyDescent="0.2">
      <c r="A5494">
        <v>0.36454666666666702</v>
      </c>
      <c r="B5494">
        <v>0.72586627628985501</v>
      </c>
      <c r="C5494">
        <v>0.69319052940205395</v>
      </c>
      <c r="D5494">
        <v>0.83991835124617098</v>
      </c>
      <c r="E5494">
        <v>0.81849706821636803</v>
      </c>
    </row>
    <row r="5495" spans="1:5" x14ac:dyDescent="0.2">
      <c r="A5495">
        <v>0.36481333333333299</v>
      </c>
      <c r="B5495">
        <v>0.72603481808393999</v>
      </c>
      <c r="C5495">
        <v>0.69337462683840101</v>
      </c>
      <c r="D5495">
        <v>0.84003031925583005</v>
      </c>
      <c r="E5495">
        <v>0.81859764956654502</v>
      </c>
    </row>
    <row r="5496" spans="1:5" x14ac:dyDescent="0.2">
      <c r="A5496">
        <v>0.36508000000000002</v>
      </c>
      <c r="B5496">
        <v>0.72620327580474497</v>
      </c>
      <c r="C5496">
        <v>0.69355863858215705</v>
      </c>
      <c r="D5496">
        <v>0.84014222705028496</v>
      </c>
      <c r="E5496">
        <v>0.81869822375628798</v>
      </c>
    </row>
    <row r="5497" spans="1:5" x14ac:dyDescent="0.2">
      <c r="A5497">
        <v>0.36534666666666699</v>
      </c>
      <c r="B5497">
        <v>0.72637164955545197</v>
      </c>
      <c r="C5497">
        <v>0.69374256473572304</v>
      </c>
      <c r="D5497">
        <v>0.84025407466125501</v>
      </c>
      <c r="E5497">
        <v>0.81879879076832196</v>
      </c>
    </row>
    <row r="5498" spans="1:5" x14ac:dyDescent="0.2">
      <c r="A5498">
        <v>0.36561333333333301</v>
      </c>
      <c r="B5498">
        <v>0.726539939439242</v>
      </c>
      <c r="C5498">
        <v>0.69392640540150097</v>
      </c>
      <c r="D5498">
        <v>0.84036586212045805</v>
      </c>
      <c r="E5498">
        <v>0.818899350585371</v>
      </c>
    </row>
    <row r="5499" spans="1:5" x14ac:dyDescent="0.2">
      <c r="A5499">
        <v>0.36587999999999998</v>
      </c>
      <c r="B5499">
        <v>0.72670814555929597</v>
      </c>
      <c r="C5499">
        <v>0.69411016068189002</v>
      </c>
      <c r="D5499">
        <v>0.84047758945961104</v>
      </c>
      <c r="E5499">
        <v>0.81899990319015903</v>
      </c>
    </row>
    <row r="5500" spans="1:5" x14ac:dyDescent="0.2">
      <c r="A5500">
        <v>0.36614666666666701</v>
      </c>
      <c r="B5500">
        <v>0.72687626801879401</v>
      </c>
      <c r="C5500">
        <v>0.69429383067929396</v>
      </c>
      <c r="D5500">
        <v>0.84058925671043305</v>
      </c>
      <c r="E5500">
        <v>0.81910044856541098</v>
      </c>
    </row>
    <row r="5501" spans="1:5" x14ac:dyDescent="0.2">
      <c r="A5501">
        <v>0.36641333333333298</v>
      </c>
      <c r="B5501">
        <v>0.72704430692091904</v>
      </c>
      <c r="C5501">
        <v>0.69447741549611197</v>
      </c>
      <c r="D5501">
        <v>0.84070086390464105</v>
      </c>
      <c r="E5501">
        <v>0.819200986693851</v>
      </c>
    </row>
    <row r="5502" spans="1:5" x14ac:dyDescent="0.2">
      <c r="A5502">
        <v>0.36668000000000001</v>
      </c>
      <c r="B5502">
        <v>0.72721226236884995</v>
      </c>
      <c r="C5502">
        <v>0.69466091523474705</v>
      </c>
      <c r="D5502">
        <v>0.84081241107395199</v>
      </c>
      <c r="E5502">
        <v>0.81930151755820302</v>
      </c>
    </row>
    <row r="5503" spans="1:5" x14ac:dyDescent="0.2">
      <c r="A5503">
        <v>0.36694666666666698</v>
      </c>
      <c r="B5503">
        <v>0.72738013446576999</v>
      </c>
      <c r="C5503">
        <v>0.69484432999759904</v>
      </c>
      <c r="D5503">
        <v>0.84092389825008595</v>
      </c>
      <c r="E5503">
        <v>0.81940204114119097</v>
      </c>
    </row>
    <row r="5504" spans="1:5" x14ac:dyDescent="0.2">
      <c r="A5504">
        <v>0.367213333333333</v>
      </c>
      <c r="B5504">
        <v>0.72754792331485896</v>
      </c>
      <c r="C5504">
        <v>0.69502765988707005</v>
      </c>
      <c r="D5504">
        <v>0.84103532546475801</v>
      </c>
      <c r="E5504">
        <v>0.81950255742554001</v>
      </c>
    </row>
    <row r="5505" spans="1:5" x14ac:dyDescent="0.2">
      <c r="A5505">
        <v>0.36747999999999997</v>
      </c>
      <c r="B5505">
        <v>0.72771562901929798</v>
      </c>
      <c r="C5505">
        <v>0.69521090500556204</v>
      </c>
      <c r="D5505">
        <v>0.84114669274968801</v>
      </c>
      <c r="E5505">
        <v>0.81960306639397396</v>
      </c>
    </row>
    <row r="5506" spans="1:5" x14ac:dyDescent="0.2">
      <c r="A5506">
        <v>0.367746666666667</v>
      </c>
      <c r="B5506">
        <v>0.72788325168226897</v>
      </c>
      <c r="C5506">
        <v>0.695394065455474</v>
      </c>
      <c r="D5506">
        <v>0.84125800013659202</v>
      </c>
      <c r="E5506">
        <v>0.81970356802921696</v>
      </c>
    </row>
    <row r="5507" spans="1:5" x14ac:dyDescent="0.2">
      <c r="A5507">
        <v>0.36801333333333303</v>
      </c>
      <c r="B5507">
        <v>0.72805079140695195</v>
      </c>
      <c r="C5507">
        <v>0.695577141339209</v>
      </c>
      <c r="D5507">
        <v>0.84136924765718901</v>
      </c>
      <c r="E5507">
        <v>0.81980406231399405</v>
      </c>
    </row>
    <row r="5508" spans="1:5" x14ac:dyDescent="0.2">
      <c r="A5508">
        <v>0.36828</v>
      </c>
      <c r="B5508">
        <v>0.72821824829652904</v>
      </c>
      <c r="C5508">
        <v>0.69576013275916804</v>
      </c>
      <c r="D5508">
        <v>0.84148043534319705</v>
      </c>
      <c r="E5508">
        <v>0.81990454923102796</v>
      </c>
    </row>
    <row r="5509" spans="1:5" x14ac:dyDescent="0.2">
      <c r="A5509">
        <v>0.36854666666666702</v>
      </c>
      <c r="B5509">
        <v>0.72838562245418104</v>
      </c>
      <c r="C5509">
        <v>0.69594303981775296</v>
      </c>
      <c r="D5509">
        <v>0.84159156322633299</v>
      </c>
      <c r="E5509">
        <v>0.82000502876304504</v>
      </c>
    </row>
    <row r="5510" spans="1:5" x14ac:dyDescent="0.2">
      <c r="A5510">
        <v>0.36881333333333299</v>
      </c>
      <c r="B5510">
        <v>0.72855291398308897</v>
      </c>
      <c r="C5510">
        <v>0.69612586261736298</v>
      </c>
      <c r="D5510">
        <v>0.84170263133831502</v>
      </c>
      <c r="E5510">
        <v>0.82010550089276801</v>
      </c>
    </row>
    <row r="5511" spans="1:5" x14ac:dyDescent="0.2">
      <c r="A5511">
        <v>0.36908000000000002</v>
      </c>
      <c r="B5511">
        <v>0.72872012298643396</v>
      </c>
      <c r="C5511">
        <v>0.69630860126040195</v>
      </c>
      <c r="D5511">
        <v>0.84181363971086098</v>
      </c>
      <c r="E5511">
        <v>0.82020596560292203</v>
      </c>
    </row>
    <row r="5512" spans="1:5" x14ac:dyDescent="0.2">
      <c r="A5512">
        <v>0.36934666666666699</v>
      </c>
      <c r="B5512">
        <v>0.72888724956739603</v>
      </c>
      <c r="C5512">
        <v>0.69649125584926896</v>
      </c>
      <c r="D5512">
        <v>0.84192458837568895</v>
      </c>
      <c r="E5512">
        <v>0.82030642287623101</v>
      </c>
    </row>
    <row r="5513" spans="1:5" x14ac:dyDescent="0.2">
      <c r="A5513">
        <v>0.36961333333333302</v>
      </c>
      <c r="B5513">
        <v>0.72905429382915898</v>
      </c>
      <c r="C5513">
        <v>0.696673826486366</v>
      </c>
      <c r="D5513">
        <v>0.84203547736451601</v>
      </c>
      <c r="E5513">
        <v>0.82040687269541901</v>
      </c>
    </row>
    <row r="5514" spans="1:5" x14ac:dyDescent="0.2">
      <c r="A5514">
        <v>0.36987999999999999</v>
      </c>
      <c r="B5514">
        <v>0.72922125587490105</v>
      </c>
      <c r="C5514">
        <v>0.69685631327409503</v>
      </c>
      <c r="D5514">
        <v>0.84214630670905999</v>
      </c>
      <c r="E5514">
        <v>0.82050731504320995</v>
      </c>
    </row>
    <row r="5515" spans="1:5" x14ac:dyDescent="0.2">
      <c r="A5515">
        <v>0.37014666666666701</v>
      </c>
      <c r="B5515">
        <v>0.72938813580760598</v>
      </c>
      <c r="C5515">
        <v>0.69703871631465897</v>
      </c>
      <c r="D5515">
        <v>0.84225707644103798</v>
      </c>
      <c r="E5515">
        <v>0.82060774990232999</v>
      </c>
    </row>
    <row r="5516" spans="1:5" x14ac:dyDescent="0.2">
      <c r="A5516">
        <v>0.37041333333333298</v>
      </c>
      <c r="B5516">
        <v>0.72955493372659397</v>
      </c>
      <c r="C5516">
        <v>0.69722103570662997</v>
      </c>
      <c r="D5516">
        <v>0.84236778659217004</v>
      </c>
      <c r="E5516">
        <v>0.82070817725550105</v>
      </c>
    </row>
    <row r="5517" spans="1:5" x14ac:dyDescent="0.2">
      <c r="A5517">
        <v>0.37068000000000001</v>
      </c>
      <c r="B5517">
        <v>0.72972164972797604</v>
      </c>
      <c r="C5517">
        <v>0.69740327154539095</v>
      </c>
      <c r="D5517">
        <v>0.84247843719417204</v>
      </c>
      <c r="E5517">
        <v>0.82080859708544895</v>
      </c>
    </row>
    <row r="5518" spans="1:5" x14ac:dyDescent="0.2">
      <c r="A5518">
        <v>0.37094666666666698</v>
      </c>
      <c r="B5518">
        <v>0.72988828390774996</v>
      </c>
      <c r="C5518">
        <v>0.69758542392621803</v>
      </c>
      <c r="D5518">
        <v>0.84258902827876303</v>
      </c>
      <c r="E5518">
        <v>0.82090900937489697</v>
      </c>
    </row>
    <row r="5519" spans="1:5" x14ac:dyDescent="0.2">
      <c r="A5519">
        <v>0.37121333333333301</v>
      </c>
      <c r="B5519">
        <v>0.73005483636191804</v>
      </c>
      <c r="C5519">
        <v>0.697767492944387</v>
      </c>
      <c r="D5519">
        <v>0.84269955987765899</v>
      </c>
      <c r="E5519">
        <v>0.82100941410657102</v>
      </c>
    </row>
    <row r="5520" spans="1:5" x14ac:dyDescent="0.2">
      <c r="A5520">
        <v>0.37147999999999998</v>
      </c>
      <c r="B5520">
        <v>0.73022130718647804</v>
      </c>
      <c r="C5520">
        <v>0.69794947869517299</v>
      </c>
      <c r="D5520">
        <v>0.84281003202257898</v>
      </c>
      <c r="E5520">
        <v>0.82110981126319404</v>
      </c>
    </row>
    <row r="5521" spans="1:5" x14ac:dyDescent="0.2">
      <c r="A5521">
        <v>0.371746666666667</v>
      </c>
      <c r="B5521">
        <v>0.73038769647743196</v>
      </c>
      <c r="C5521">
        <v>0.69813138127385099</v>
      </c>
      <c r="D5521">
        <v>0.84292044474524097</v>
      </c>
      <c r="E5521">
        <v>0.82121020082748997</v>
      </c>
    </row>
    <row r="5522" spans="1:5" x14ac:dyDescent="0.2">
      <c r="A5522">
        <v>0.37201333333333297</v>
      </c>
      <c r="B5522">
        <v>0.730554004330778</v>
      </c>
      <c r="C5522">
        <v>0.69831320077569903</v>
      </c>
      <c r="D5522">
        <v>0.84303079807736203</v>
      </c>
      <c r="E5522">
        <v>0.82131058278218405</v>
      </c>
    </row>
    <row r="5523" spans="1:5" x14ac:dyDescent="0.2">
      <c r="A5523">
        <v>0.37228</v>
      </c>
      <c r="B5523">
        <v>0.73072023084251803</v>
      </c>
      <c r="C5523">
        <v>0.69849493729598999</v>
      </c>
      <c r="D5523">
        <v>0.84314109205066101</v>
      </c>
      <c r="E5523">
        <v>0.82141095711000001</v>
      </c>
    </row>
    <row r="5524" spans="1:5" x14ac:dyDescent="0.2">
      <c r="A5524">
        <v>0.37254666666666703</v>
      </c>
      <c r="B5524">
        <v>0.73088637610865004</v>
      </c>
      <c r="C5524">
        <v>0.69867659093000001</v>
      </c>
      <c r="D5524">
        <v>0.84325132669685399</v>
      </c>
      <c r="E5524">
        <v>0.82151132379366298</v>
      </c>
    </row>
    <row r="5525" spans="1:5" x14ac:dyDescent="0.2">
      <c r="A5525">
        <v>0.372813333333333</v>
      </c>
      <c r="B5525">
        <v>0.73105244022517601</v>
      </c>
      <c r="C5525">
        <v>0.69885816177300597</v>
      </c>
      <c r="D5525">
        <v>0.84336150204766003</v>
      </c>
      <c r="E5525">
        <v>0.82161168281589603</v>
      </c>
    </row>
    <row r="5526" spans="1:5" x14ac:dyDescent="0.2">
      <c r="A5526">
        <v>0.37308000000000002</v>
      </c>
      <c r="B5526">
        <v>0.73121842328809405</v>
      </c>
      <c r="C5526">
        <v>0.699039649920282</v>
      </c>
      <c r="D5526">
        <v>0.84347161813479699</v>
      </c>
      <c r="E5526">
        <v>0.82171203415942395</v>
      </c>
    </row>
    <row r="5527" spans="1:5" x14ac:dyDescent="0.2">
      <c r="A5527">
        <v>0.37334666666666699</v>
      </c>
      <c r="B5527">
        <v>0.73138432539340603</v>
      </c>
      <c r="C5527">
        <v>0.699221055467105</v>
      </c>
      <c r="D5527">
        <v>0.84358167498998204</v>
      </c>
      <c r="E5527">
        <v>0.82181237780697203</v>
      </c>
    </row>
    <row r="5528" spans="1:5" x14ac:dyDescent="0.2">
      <c r="A5528">
        <v>0.37361333333333302</v>
      </c>
      <c r="B5528">
        <v>0.73155014663711104</v>
      </c>
      <c r="C5528">
        <v>0.69940237850874898</v>
      </c>
      <c r="D5528">
        <v>0.84369167264493194</v>
      </c>
      <c r="E5528">
        <v>0.82191271374126296</v>
      </c>
    </row>
    <row r="5529" spans="1:5" x14ac:dyDescent="0.2">
      <c r="A5529">
        <v>0.37387999999999999</v>
      </c>
      <c r="B5529">
        <v>0.73171588711520896</v>
      </c>
      <c r="C5529">
        <v>0.69958361914049105</v>
      </c>
      <c r="D5529">
        <v>0.84380161113136698</v>
      </c>
      <c r="E5529">
        <v>0.82201304194502101</v>
      </c>
    </row>
    <row r="5530" spans="1:5" x14ac:dyDescent="0.2">
      <c r="A5530">
        <v>0.37414666666666702</v>
      </c>
      <c r="B5530">
        <v>0.7318815469237</v>
      </c>
      <c r="C5530">
        <v>0.69976477745760601</v>
      </c>
      <c r="D5530">
        <v>0.843911490481003</v>
      </c>
      <c r="E5530">
        <v>0.82211336240097199</v>
      </c>
    </row>
    <row r="5531" spans="1:5" x14ac:dyDescent="0.2">
      <c r="A5531">
        <v>0.37441333333333299</v>
      </c>
      <c r="B5531">
        <v>0.73204712615858403</v>
      </c>
      <c r="C5531">
        <v>0.69994585355536998</v>
      </c>
      <c r="D5531">
        <v>0.84402131072555897</v>
      </c>
      <c r="E5531">
        <v>0.82221367509183996</v>
      </c>
    </row>
    <row r="5532" spans="1:5" x14ac:dyDescent="0.2">
      <c r="A5532">
        <v>0.37468000000000001</v>
      </c>
      <c r="B5532">
        <v>0.73221262491586203</v>
      </c>
      <c r="C5532">
        <v>0.70012684752905696</v>
      </c>
      <c r="D5532">
        <v>0.84413107189675196</v>
      </c>
      <c r="E5532">
        <v>0.82231398000034805</v>
      </c>
    </row>
    <row r="5533" spans="1:5" x14ac:dyDescent="0.2">
      <c r="A5533">
        <v>0.37494666666666698</v>
      </c>
      <c r="B5533">
        <v>0.732378043291532</v>
      </c>
      <c r="C5533">
        <v>0.70030775947394497</v>
      </c>
      <c r="D5533">
        <v>0.84424077402630004</v>
      </c>
      <c r="E5533">
        <v>0.82241427710921999</v>
      </c>
    </row>
    <row r="5534" spans="1:5" x14ac:dyDescent="0.2">
      <c r="A5534">
        <v>0.37521333333333301</v>
      </c>
      <c r="B5534">
        <v>0.73254338138159603</v>
      </c>
      <c r="C5534">
        <v>0.70048858948530701</v>
      </c>
      <c r="D5534">
        <v>0.84435041714591996</v>
      </c>
      <c r="E5534">
        <v>0.82251456640118303</v>
      </c>
    </row>
    <row r="5535" spans="1:5" x14ac:dyDescent="0.2">
      <c r="A5535">
        <v>0.37547999999999998</v>
      </c>
      <c r="B5535">
        <v>0.73270863928205299</v>
      </c>
      <c r="C5535">
        <v>0.70066933765842099</v>
      </c>
      <c r="D5535">
        <v>0.84446000128733101</v>
      </c>
      <c r="E5535">
        <v>0.822614847858958</v>
      </c>
    </row>
    <row r="5536" spans="1:5" x14ac:dyDescent="0.2">
      <c r="A5536">
        <v>0.37574666666666701</v>
      </c>
      <c r="B5536">
        <v>0.73287381708890298</v>
      </c>
      <c r="C5536">
        <v>0.70085000408856102</v>
      </c>
      <c r="D5536">
        <v>0.84456952648225003</v>
      </c>
      <c r="E5536">
        <v>0.82271512146527204</v>
      </c>
    </row>
    <row r="5537" spans="1:5" x14ac:dyDescent="0.2">
      <c r="A5537">
        <v>0.37601333333333298</v>
      </c>
      <c r="B5537">
        <v>0.73303891489814699</v>
      </c>
      <c r="C5537">
        <v>0.701030588871004</v>
      </c>
      <c r="D5537">
        <v>0.844678992762396</v>
      </c>
      <c r="E5537">
        <v>0.82281538720284697</v>
      </c>
    </row>
    <row r="5538" spans="1:5" x14ac:dyDescent="0.2">
      <c r="A5538">
        <v>0.37628</v>
      </c>
      <c r="B5538">
        <v>0.733203932805784</v>
      </c>
      <c r="C5538">
        <v>0.70121109210102395</v>
      </c>
      <c r="D5538">
        <v>0.84478840015948498</v>
      </c>
      <c r="E5538">
        <v>0.82291564505440895</v>
      </c>
    </row>
    <row r="5539" spans="1:5" x14ac:dyDescent="0.2">
      <c r="A5539">
        <v>0.37654666666666697</v>
      </c>
      <c r="B5539">
        <v>0.733368870907813</v>
      </c>
      <c r="C5539">
        <v>0.70139151387389698</v>
      </c>
      <c r="D5539">
        <v>0.84489774870523604</v>
      </c>
      <c r="E5539">
        <v>0.82301589500268202</v>
      </c>
    </row>
    <row r="5540" spans="1:5" x14ac:dyDescent="0.2">
      <c r="A5540">
        <v>0.376813333333333</v>
      </c>
      <c r="B5540">
        <v>0.73353372930023697</v>
      </c>
      <c r="C5540">
        <v>0.70157185428489899</v>
      </c>
      <c r="D5540">
        <v>0.84500703843136604</v>
      </c>
      <c r="E5540">
        <v>0.82311613703038899</v>
      </c>
    </row>
    <row r="5541" spans="1:5" x14ac:dyDescent="0.2">
      <c r="A5541">
        <v>0.37708000000000003</v>
      </c>
      <c r="B5541">
        <v>0.73369850807905301</v>
      </c>
      <c r="C5541">
        <v>0.70175211342930499</v>
      </c>
      <c r="D5541">
        <v>0.84511626936959305</v>
      </c>
      <c r="E5541">
        <v>0.82321637112025603</v>
      </c>
    </row>
    <row r="5542" spans="1:5" x14ac:dyDescent="0.2">
      <c r="A5542">
        <v>0.377346666666667</v>
      </c>
      <c r="B5542">
        <v>0.733863207340263</v>
      </c>
      <c r="C5542">
        <v>0.701932291402391</v>
      </c>
      <c r="D5542">
        <v>0.84522544155163504</v>
      </c>
      <c r="E5542">
        <v>0.82331659725500606</v>
      </c>
    </row>
    <row r="5543" spans="1:5" x14ac:dyDescent="0.2">
      <c r="A5543">
        <v>0.37761333333333302</v>
      </c>
      <c r="B5543">
        <v>0.73402782717986603</v>
      </c>
      <c r="C5543">
        <v>0.70211238829943301</v>
      </c>
      <c r="D5543">
        <v>0.84533455500920995</v>
      </c>
      <c r="E5543">
        <v>0.823416815417364</v>
      </c>
    </row>
    <row r="5544" spans="1:5" x14ac:dyDescent="0.2">
      <c r="A5544">
        <v>0.37787999999999999</v>
      </c>
      <c r="B5544">
        <v>0.73419236769386298</v>
      </c>
      <c r="C5544">
        <v>0.70229240421570605</v>
      </c>
      <c r="D5544">
        <v>0.84544360977403599</v>
      </c>
      <c r="E5544">
        <v>0.82351702559005402</v>
      </c>
    </row>
    <row r="5545" spans="1:5" x14ac:dyDescent="0.2">
      <c r="A5545">
        <v>0.37814666666666702</v>
      </c>
      <c r="B5545">
        <v>0.73435682897825205</v>
      </c>
      <c r="C5545">
        <v>0.702472339246486</v>
      </c>
      <c r="D5545">
        <v>0.84555260587782999</v>
      </c>
      <c r="E5545">
        <v>0.82361722775580104</v>
      </c>
    </row>
    <row r="5546" spans="1:5" x14ac:dyDescent="0.2">
      <c r="A5546">
        <v>0.37841333333333299</v>
      </c>
      <c r="B5546">
        <v>0.73452121112903601</v>
      </c>
      <c r="C5546">
        <v>0.70265219348704799</v>
      </c>
      <c r="D5546">
        <v>0.84566154335230903</v>
      </c>
      <c r="E5546">
        <v>0.82371742189732799</v>
      </c>
    </row>
    <row r="5547" spans="1:5" x14ac:dyDescent="0.2">
      <c r="A5547">
        <v>0.37868000000000002</v>
      </c>
      <c r="B5547">
        <v>0.73468551424221196</v>
      </c>
      <c r="C5547">
        <v>0.70283196703266804</v>
      </c>
      <c r="D5547">
        <v>0.84577042222919296</v>
      </c>
      <c r="E5547">
        <v>0.82381760799736004</v>
      </c>
    </row>
    <row r="5548" spans="1:5" x14ac:dyDescent="0.2">
      <c r="A5548">
        <v>0.37894666666666699</v>
      </c>
      <c r="B5548">
        <v>0.73484973841378198</v>
      </c>
      <c r="C5548">
        <v>0.70301165997862203</v>
      </c>
      <c r="D5548">
        <v>0.84587924254019797</v>
      </c>
      <c r="E5548">
        <v>0.82391778603862098</v>
      </c>
    </row>
    <row r="5549" spans="1:5" x14ac:dyDescent="0.2">
      <c r="A5549">
        <v>0.37921333333333301</v>
      </c>
      <c r="B5549">
        <v>0.73501388373974497</v>
      </c>
      <c r="C5549">
        <v>0.70319127242018398</v>
      </c>
      <c r="D5549">
        <v>0.84598800431704302</v>
      </c>
      <c r="E5549">
        <v>0.82401795600383598</v>
      </c>
    </row>
    <row r="5550" spans="1:5" x14ac:dyDescent="0.2">
      <c r="A5550">
        <v>0.37947999999999998</v>
      </c>
      <c r="B5550">
        <v>0.735177950316102</v>
      </c>
      <c r="C5550">
        <v>0.703370804452631</v>
      </c>
      <c r="D5550">
        <v>0.84609670759144495</v>
      </c>
      <c r="E5550">
        <v>0.82411811787572897</v>
      </c>
    </row>
    <row r="5551" spans="1:5" x14ac:dyDescent="0.2">
      <c r="A5551">
        <v>0.37974666666666701</v>
      </c>
      <c r="B5551">
        <v>0.73534193823885197</v>
      </c>
      <c r="C5551">
        <v>0.70355025617123901</v>
      </c>
      <c r="D5551">
        <v>0.84620535239512196</v>
      </c>
      <c r="E5551">
        <v>0.82421827163702399</v>
      </c>
    </row>
    <row r="5552" spans="1:5" x14ac:dyDescent="0.2">
      <c r="A5552">
        <v>0.38001333333333298</v>
      </c>
      <c r="B5552">
        <v>0.73550584760399595</v>
      </c>
      <c r="C5552">
        <v>0.703729627671282</v>
      </c>
      <c r="D5552">
        <v>0.846313938759791</v>
      </c>
      <c r="E5552">
        <v>0.82431841727044497</v>
      </c>
    </row>
    <row r="5553" spans="1:5" x14ac:dyDescent="0.2">
      <c r="A5553">
        <v>0.38028000000000001</v>
      </c>
      <c r="B5553">
        <v>0.73566967850626797</v>
      </c>
      <c r="C5553">
        <v>0.70390891904680897</v>
      </c>
      <c r="D5553">
        <v>0.84642246671717103</v>
      </c>
      <c r="E5553">
        <v>0.82441855475871595</v>
      </c>
    </row>
    <row r="5554" spans="1:5" x14ac:dyDescent="0.2">
      <c r="A5554">
        <v>0.38054666666666698</v>
      </c>
      <c r="B5554">
        <v>0.73583343103605103</v>
      </c>
      <c r="C5554">
        <v>0.70408813038764195</v>
      </c>
      <c r="D5554">
        <v>0.84653093629898002</v>
      </c>
      <c r="E5554">
        <v>0.82451868408456297</v>
      </c>
    </row>
    <row r="5555" spans="1:5" x14ac:dyDescent="0.2">
      <c r="A5555">
        <v>0.380813333333333</v>
      </c>
      <c r="B5555">
        <v>0.73599710528278905</v>
      </c>
      <c r="C5555">
        <v>0.70426726178269194</v>
      </c>
      <c r="D5555">
        <v>0.84663934753693404</v>
      </c>
      <c r="E5555">
        <v>0.82461880523070896</v>
      </c>
    </row>
    <row r="5556" spans="1:5" x14ac:dyDescent="0.2">
      <c r="A5556">
        <v>0.38107999999999997</v>
      </c>
      <c r="B5556">
        <v>0.73616070133592604</v>
      </c>
      <c r="C5556">
        <v>0.70444631332087304</v>
      </c>
      <c r="D5556">
        <v>0.84674770046275205</v>
      </c>
      <c r="E5556">
        <v>0.82471891817987797</v>
      </c>
    </row>
    <row r="5557" spans="1:5" x14ac:dyDescent="0.2">
      <c r="A5557">
        <v>0.381346666666667</v>
      </c>
      <c r="B5557">
        <v>0.73632421928490799</v>
      </c>
      <c r="C5557">
        <v>0.70462528509109701</v>
      </c>
      <c r="D5557">
        <v>0.84685599510815202</v>
      </c>
      <c r="E5557">
        <v>0.82481902291479503</v>
      </c>
    </row>
    <row r="5558" spans="1:5" x14ac:dyDescent="0.2">
      <c r="A5558">
        <v>0.38161333333333303</v>
      </c>
      <c r="B5558">
        <v>0.73648765921917803</v>
      </c>
      <c r="C5558">
        <v>0.70480417718227695</v>
      </c>
      <c r="D5558">
        <v>0.84696423150485101</v>
      </c>
      <c r="E5558">
        <v>0.82491911941818397</v>
      </c>
    </row>
    <row r="5559" spans="1:5" x14ac:dyDescent="0.2">
      <c r="A5559">
        <v>0.38188</v>
      </c>
      <c r="B5559">
        <v>0.73665102122818105</v>
      </c>
      <c r="C5559">
        <v>0.70498298968332396</v>
      </c>
      <c r="D5559">
        <v>0.84707240968456798</v>
      </c>
      <c r="E5559">
        <v>0.82501920767277004</v>
      </c>
    </row>
    <row r="5560" spans="1:5" x14ac:dyDescent="0.2">
      <c r="A5560">
        <v>0.38214666666666702</v>
      </c>
      <c r="B5560">
        <v>0.73681430540136295</v>
      </c>
      <c r="C5560">
        <v>0.70516172268315003</v>
      </c>
      <c r="D5560">
        <v>0.84718052967901902</v>
      </c>
      <c r="E5560">
        <v>0.82511928766127596</v>
      </c>
    </row>
    <row r="5561" spans="1:5" x14ac:dyDescent="0.2">
      <c r="A5561">
        <v>0.38241333333333299</v>
      </c>
      <c r="B5561">
        <v>0.73697751182816695</v>
      </c>
      <c r="C5561">
        <v>0.70534037627067003</v>
      </c>
      <c r="D5561">
        <v>0.84728859151992297</v>
      </c>
      <c r="E5561">
        <v>0.82521935936642699</v>
      </c>
    </row>
    <row r="5562" spans="1:5" x14ac:dyDescent="0.2">
      <c r="A5562">
        <v>0.38268000000000002</v>
      </c>
      <c r="B5562">
        <v>0.73714064059803897</v>
      </c>
      <c r="C5562">
        <v>0.70551895053479496</v>
      </c>
      <c r="D5562">
        <v>0.84739659523899802</v>
      </c>
      <c r="E5562">
        <v>0.82531942277094705</v>
      </c>
    </row>
    <row r="5563" spans="1:5" x14ac:dyDescent="0.2">
      <c r="A5563">
        <v>0.38294666666666699</v>
      </c>
      <c r="B5563">
        <v>0.73730369180042199</v>
      </c>
      <c r="C5563">
        <v>0.70569744556443603</v>
      </c>
      <c r="D5563">
        <v>0.84750454086796001</v>
      </c>
      <c r="E5563">
        <v>0.82541947785756098</v>
      </c>
    </row>
    <row r="5564" spans="1:5" x14ac:dyDescent="0.2">
      <c r="A5564">
        <v>0.38321333333333302</v>
      </c>
      <c r="B5564">
        <v>0.73746666552476203</v>
      </c>
      <c r="C5564">
        <v>0.705875861448508</v>
      </c>
      <c r="D5564">
        <v>0.84761242843852902</v>
      </c>
      <c r="E5564">
        <v>0.82551952460899303</v>
      </c>
    </row>
    <row r="5565" spans="1:5" x14ac:dyDescent="0.2">
      <c r="A5565">
        <v>0.38347999999999999</v>
      </c>
      <c r="B5565">
        <v>0.73762956186050299</v>
      </c>
      <c r="C5565">
        <v>0.70605419827592097</v>
      </c>
      <c r="D5565">
        <v>0.84772025798242201</v>
      </c>
      <c r="E5565">
        <v>0.82561956300796602</v>
      </c>
    </row>
    <row r="5566" spans="1:5" x14ac:dyDescent="0.2">
      <c r="A5566">
        <v>0.38374666666666701</v>
      </c>
      <c r="B5566">
        <v>0.73779238089708898</v>
      </c>
      <c r="C5566">
        <v>0.70623245613558905</v>
      </c>
      <c r="D5566">
        <v>0.84782802953135705</v>
      </c>
      <c r="E5566">
        <v>0.82571959303720599</v>
      </c>
    </row>
    <row r="5567" spans="1:5" x14ac:dyDescent="0.2">
      <c r="A5567">
        <v>0.38401333333333298</v>
      </c>
      <c r="B5567">
        <v>0.73795512272396602</v>
      </c>
      <c r="C5567">
        <v>0.70641063511642499</v>
      </c>
      <c r="D5567">
        <v>0.84793574311705</v>
      </c>
      <c r="E5567">
        <v>0.82581961467943699</v>
      </c>
    </row>
    <row r="5568" spans="1:5" x14ac:dyDescent="0.2">
      <c r="A5568">
        <v>0.38428000000000001</v>
      </c>
      <c r="B5568">
        <v>0.73811778743057799</v>
      </c>
      <c r="C5568">
        <v>0.70658873530733901</v>
      </c>
      <c r="D5568">
        <v>0.84804339877122104</v>
      </c>
      <c r="E5568">
        <v>0.82591962791738205</v>
      </c>
    </row>
    <row r="5569" spans="1:5" x14ac:dyDescent="0.2">
      <c r="A5569">
        <v>0.38454666666666698</v>
      </c>
      <c r="B5569">
        <v>0.73828037510636901</v>
      </c>
      <c r="C5569">
        <v>0.70676675679724499</v>
      </c>
      <c r="D5569">
        <v>0.84815099652558701</v>
      </c>
      <c r="E5569">
        <v>0.826019632733767</v>
      </c>
    </row>
    <row r="5570" spans="1:5" x14ac:dyDescent="0.2">
      <c r="A5570">
        <v>0.38481333333333301</v>
      </c>
      <c r="B5570">
        <v>0.73844288584078499</v>
      </c>
      <c r="C5570">
        <v>0.70694469967505602</v>
      </c>
      <c r="D5570">
        <v>0.84825853641186599</v>
      </c>
      <c r="E5570">
        <v>0.82611962911131498</v>
      </c>
    </row>
    <row r="5571" spans="1:5" x14ac:dyDescent="0.2">
      <c r="A5571">
        <v>0.38507999999999998</v>
      </c>
      <c r="B5571">
        <v>0.73860531972326904</v>
      </c>
      <c r="C5571">
        <v>0.70712256402968299</v>
      </c>
      <c r="D5571">
        <v>0.84836601846177495</v>
      </c>
      <c r="E5571">
        <v>0.82621961703275104</v>
      </c>
    </row>
    <row r="5572" spans="1:5" x14ac:dyDescent="0.2">
      <c r="A5572">
        <v>0.385346666666667</v>
      </c>
      <c r="B5572">
        <v>0.73876767684326705</v>
      </c>
      <c r="C5572">
        <v>0.70730034995003899</v>
      </c>
      <c r="D5572">
        <v>0.84847344270703295</v>
      </c>
      <c r="E5572">
        <v>0.826319596480799</v>
      </c>
    </row>
    <row r="5573" spans="1:5" x14ac:dyDescent="0.2">
      <c r="A5573">
        <v>0.38561333333333297</v>
      </c>
      <c r="B5573">
        <v>0.73892995729022204</v>
      </c>
      <c r="C5573">
        <v>0.70747805752503601</v>
      </c>
      <c r="D5573">
        <v>0.84858080917935597</v>
      </c>
      <c r="E5573">
        <v>0.82641956743818401</v>
      </c>
    </row>
    <row r="5574" spans="1:5" x14ac:dyDescent="0.2">
      <c r="A5574">
        <v>0.38588</v>
      </c>
      <c r="B5574">
        <v>0.73909216115358101</v>
      </c>
      <c r="C5574">
        <v>0.70765568684358704</v>
      </c>
      <c r="D5574">
        <v>0.84868811791046395</v>
      </c>
      <c r="E5574">
        <v>0.826519529887629</v>
      </c>
    </row>
    <row r="5575" spans="1:5" x14ac:dyDescent="0.2">
      <c r="A5575">
        <v>0.38614666666666703</v>
      </c>
      <c r="B5575">
        <v>0.73925428852278596</v>
      </c>
      <c r="C5575">
        <v>0.70783323799460496</v>
      </c>
      <c r="D5575">
        <v>0.84879536893207297</v>
      </c>
      <c r="E5575">
        <v>0.82661948381185901</v>
      </c>
    </row>
    <row r="5576" spans="1:5" x14ac:dyDescent="0.2">
      <c r="A5576">
        <v>0.386413333333333</v>
      </c>
      <c r="B5576">
        <v>0.73941633948728402</v>
      </c>
      <c r="C5576">
        <v>0.70801071106700098</v>
      </c>
      <c r="D5576">
        <v>0.848902562275901</v>
      </c>
      <c r="E5576">
        <v>0.82671942919359798</v>
      </c>
    </row>
    <row r="5577" spans="1:5" x14ac:dyDescent="0.2">
      <c r="A5577">
        <v>0.38668000000000002</v>
      </c>
      <c r="B5577">
        <v>0.73957831413651798</v>
      </c>
      <c r="C5577">
        <v>0.70818810614968797</v>
      </c>
      <c r="D5577">
        <v>0.84900969797366699</v>
      </c>
      <c r="E5577">
        <v>0.82681936601557005</v>
      </c>
    </row>
    <row r="5578" spans="1:5" x14ac:dyDescent="0.2">
      <c r="A5578">
        <v>0.38694666666666699</v>
      </c>
      <c r="B5578">
        <v>0.73974021255993305</v>
      </c>
      <c r="C5578">
        <v>0.70836542333157904</v>
      </c>
      <c r="D5578">
        <v>0.84911677605708702</v>
      </c>
      <c r="E5578">
        <v>0.82691929426050104</v>
      </c>
    </row>
    <row r="5579" spans="1:5" x14ac:dyDescent="0.2">
      <c r="A5579">
        <v>0.38721333333333302</v>
      </c>
      <c r="B5579">
        <v>0.73990203484697303</v>
      </c>
      <c r="C5579">
        <v>0.70854266270158595</v>
      </c>
      <c r="D5579">
        <v>0.84922379655788105</v>
      </c>
      <c r="E5579">
        <v>0.82701921391111299</v>
      </c>
    </row>
    <row r="5580" spans="1:5" x14ac:dyDescent="0.2">
      <c r="A5580">
        <v>0.38747999999999999</v>
      </c>
      <c r="B5580">
        <v>0.74006378108708404</v>
      </c>
      <c r="C5580">
        <v>0.70871982434862002</v>
      </c>
      <c r="D5580">
        <v>0.84933075950776504</v>
      </c>
      <c r="E5580">
        <v>0.82711912495013196</v>
      </c>
    </row>
    <row r="5581" spans="1:5" x14ac:dyDescent="0.2">
      <c r="A5581">
        <v>0.38774666666666702</v>
      </c>
      <c r="B5581">
        <v>0.74022545136970996</v>
      </c>
      <c r="C5581">
        <v>0.70889690836159602</v>
      </c>
      <c r="D5581">
        <v>0.84943766493845696</v>
      </c>
      <c r="E5581">
        <v>0.82721902736028097</v>
      </c>
    </row>
    <row r="5582" spans="1:5" x14ac:dyDescent="0.2">
      <c r="A5582">
        <v>0.38801333333333299</v>
      </c>
      <c r="B5582">
        <v>0.74038704578429604</v>
      </c>
      <c r="C5582">
        <v>0.70907391482942494</v>
      </c>
      <c r="D5582">
        <v>0.84954451288167498</v>
      </c>
      <c r="E5582">
        <v>0.82731892112428496</v>
      </c>
    </row>
    <row r="5583" spans="1:5" x14ac:dyDescent="0.2">
      <c r="A5583">
        <v>0.38828000000000001</v>
      </c>
      <c r="B5583">
        <v>0.74054856442028505</v>
      </c>
      <c r="C5583">
        <v>0.709250843841019</v>
      </c>
      <c r="D5583">
        <v>0.84965130336913697</v>
      </c>
      <c r="E5583">
        <v>0.82741880622486896</v>
      </c>
    </row>
    <row r="5584" spans="1:5" x14ac:dyDescent="0.2">
      <c r="A5584">
        <v>0.38854666666666698</v>
      </c>
      <c r="B5584">
        <v>0.740710007367124</v>
      </c>
      <c r="C5584">
        <v>0.70942769548529105</v>
      </c>
      <c r="D5584">
        <v>0.84975803643256098</v>
      </c>
      <c r="E5584">
        <v>0.82751868264475603</v>
      </c>
    </row>
    <row r="5585" spans="1:5" x14ac:dyDescent="0.2">
      <c r="A5585">
        <v>0.38881333333333301</v>
      </c>
      <c r="B5585">
        <v>0.74087137471425601</v>
      </c>
      <c r="C5585">
        <v>0.709604469851153</v>
      </c>
      <c r="D5585">
        <v>0.84986471210366399</v>
      </c>
      <c r="E5585">
        <v>0.82761855036666998</v>
      </c>
    </row>
    <row r="5586" spans="1:5" x14ac:dyDescent="0.2">
      <c r="A5586">
        <v>0.38907999999999998</v>
      </c>
      <c r="B5586">
        <v>0.74103266655112598</v>
      </c>
      <c r="C5586">
        <v>0.70978116702751803</v>
      </c>
      <c r="D5586">
        <v>0.84997133041416395</v>
      </c>
      <c r="E5586">
        <v>0.82771840937333696</v>
      </c>
    </row>
    <row r="5587" spans="1:5" x14ac:dyDescent="0.2">
      <c r="A5587">
        <v>0.38934666666666701</v>
      </c>
      <c r="B5587">
        <v>0.74119388296717803</v>
      </c>
      <c r="C5587">
        <v>0.70995778710329904</v>
      </c>
      <c r="D5587">
        <v>0.85007789139577905</v>
      </c>
      <c r="E5587">
        <v>0.82781825964748001</v>
      </c>
    </row>
    <row r="5588" spans="1:5" x14ac:dyDescent="0.2">
      <c r="A5588">
        <v>0.38961333333333298</v>
      </c>
      <c r="B5588">
        <v>0.74135502405185805</v>
      </c>
      <c r="C5588">
        <v>0.71013433016740601</v>
      </c>
      <c r="D5588">
        <v>0.85018439508022803</v>
      </c>
      <c r="E5588">
        <v>0.82791810117182396</v>
      </c>
    </row>
    <row r="5589" spans="1:5" x14ac:dyDescent="0.2">
      <c r="A5589">
        <v>0.38988</v>
      </c>
      <c r="B5589">
        <v>0.74151608989460904</v>
      </c>
      <c r="C5589">
        <v>0.71031079630875404</v>
      </c>
      <c r="D5589">
        <v>0.85029084149922596</v>
      </c>
      <c r="E5589">
        <v>0.82801793392909195</v>
      </c>
    </row>
    <row r="5590" spans="1:5" x14ac:dyDescent="0.2">
      <c r="A5590">
        <v>0.39014666666666697</v>
      </c>
      <c r="B5590">
        <v>0.74167708058471205</v>
      </c>
      <c r="C5590">
        <v>0.71048718561609503</v>
      </c>
      <c r="D5590">
        <v>0.85039723068449302</v>
      </c>
      <c r="E5590">
        <v>0.82811775790201003</v>
      </c>
    </row>
    <row r="5591" spans="1:5" x14ac:dyDescent="0.2">
      <c r="A5591">
        <v>0.390413333333333</v>
      </c>
      <c r="B5591">
        <v>0.74183799620840496</v>
      </c>
      <c r="C5591">
        <v>0.71066349817524199</v>
      </c>
      <c r="D5591">
        <v>0.85050356266774596</v>
      </c>
      <c r="E5591">
        <v>0.82821757307330102</v>
      </c>
    </row>
    <row r="5592" spans="1:5" x14ac:dyDescent="0.2">
      <c r="A5592">
        <v>0.39068000000000003</v>
      </c>
      <c r="B5592">
        <v>0.74199883684925905</v>
      </c>
      <c r="C5592">
        <v>0.71083973406943002</v>
      </c>
      <c r="D5592">
        <v>0.85060983748070296</v>
      </c>
      <c r="E5592">
        <v>0.82831737942568995</v>
      </c>
    </row>
    <row r="5593" spans="1:5" x14ac:dyDescent="0.2">
      <c r="A5593">
        <v>0.390946666666667</v>
      </c>
      <c r="B5593">
        <v>0.74215960259075298</v>
      </c>
      <c r="C5593">
        <v>0.71101589338180904</v>
      </c>
      <c r="D5593">
        <v>0.85071605515508097</v>
      </c>
      <c r="E5593">
        <v>0.82841717694190098</v>
      </c>
    </row>
    <row r="5594" spans="1:5" x14ac:dyDescent="0.2">
      <c r="A5594">
        <v>0.39121333333333302</v>
      </c>
      <c r="B5594">
        <v>0.74232029351636897</v>
      </c>
      <c r="C5594">
        <v>0.71119197619552399</v>
      </c>
      <c r="D5594">
        <v>0.85082221572259897</v>
      </c>
      <c r="E5594">
        <v>0.82851696560465804</v>
      </c>
    </row>
    <row r="5595" spans="1:5" x14ac:dyDescent="0.2">
      <c r="A5595">
        <v>0.39147999999999999</v>
      </c>
      <c r="B5595">
        <v>0.74248090970958602</v>
      </c>
      <c r="C5595">
        <v>0.71136798259372502</v>
      </c>
      <c r="D5595">
        <v>0.85092831921497403</v>
      </c>
      <c r="E5595">
        <v>0.82861674539668595</v>
      </c>
    </row>
    <row r="5596" spans="1:5" x14ac:dyDescent="0.2">
      <c r="A5596">
        <v>0.39174666666666702</v>
      </c>
      <c r="B5596">
        <v>0.74264145125388503</v>
      </c>
      <c r="C5596">
        <v>0.71154391265955796</v>
      </c>
      <c r="D5596">
        <v>0.85103436566392399</v>
      </c>
      <c r="E5596">
        <v>0.82871651630070897</v>
      </c>
    </row>
    <row r="5597" spans="1:5" x14ac:dyDescent="0.2">
      <c r="A5597">
        <v>0.39201333333333299</v>
      </c>
      <c r="B5597">
        <v>0.74280191823274599</v>
      </c>
      <c r="C5597">
        <v>0.71171976647617097</v>
      </c>
      <c r="D5597">
        <v>0.85114035510116703</v>
      </c>
      <c r="E5597">
        <v>0.82881627829945104</v>
      </c>
    </row>
    <row r="5598" spans="1:5" x14ac:dyDescent="0.2">
      <c r="A5598">
        <v>0.39228000000000002</v>
      </c>
      <c r="B5598">
        <v>0.74296231072964902</v>
      </c>
      <c r="C5598">
        <v>0.71189554412671197</v>
      </c>
      <c r="D5598">
        <v>0.85124628755842002</v>
      </c>
      <c r="E5598">
        <v>0.82891603137563596</v>
      </c>
    </row>
    <row r="5599" spans="1:5" x14ac:dyDescent="0.2">
      <c r="A5599">
        <v>0.39254666666666699</v>
      </c>
      <c r="B5599">
        <v>0.74312262882807401</v>
      </c>
      <c r="C5599">
        <v>0.712071245694328</v>
      </c>
      <c r="D5599">
        <v>0.85135216306740202</v>
      </c>
      <c r="E5599">
        <v>0.82901577551198902</v>
      </c>
    </row>
    <row r="5600" spans="1:5" x14ac:dyDescent="0.2">
      <c r="A5600">
        <v>0.39281333333333301</v>
      </c>
      <c r="B5600">
        <v>0.74328287261150106</v>
      </c>
      <c r="C5600">
        <v>0.71224687126216801</v>
      </c>
      <c r="D5600">
        <v>0.851457981659829</v>
      </c>
      <c r="E5600">
        <v>0.82911551069123401</v>
      </c>
    </row>
    <row r="5601" spans="1:5" x14ac:dyDescent="0.2">
      <c r="A5601">
        <v>0.39307999999999998</v>
      </c>
      <c r="B5601">
        <v>0.74344304216341095</v>
      </c>
      <c r="C5601">
        <v>0.71242242091337804</v>
      </c>
      <c r="D5601">
        <v>0.85156374336742102</v>
      </c>
      <c r="E5601">
        <v>0.829215236896096</v>
      </c>
    </row>
    <row r="5602" spans="1:5" x14ac:dyDescent="0.2">
      <c r="A5602">
        <v>0.39334666666666701</v>
      </c>
      <c r="B5602">
        <v>0.74360313756728302</v>
      </c>
      <c r="C5602">
        <v>0.71259789473110802</v>
      </c>
      <c r="D5602">
        <v>0.85166944822189405</v>
      </c>
      <c r="E5602">
        <v>0.82931495410929801</v>
      </c>
    </row>
    <row r="5603" spans="1:5" x14ac:dyDescent="0.2">
      <c r="A5603">
        <v>0.39361333333333298</v>
      </c>
      <c r="B5603">
        <v>0.74376315890659905</v>
      </c>
      <c r="C5603">
        <v>0.71277329279850299</v>
      </c>
      <c r="D5603">
        <v>0.85177509625496695</v>
      </c>
      <c r="E5603">
        <v>0.82941466231356498</v>
      </c>
    </row>
    <row r="5604" spans="1:5" x14ac:dyDescent="0.2">
      <c r="A5604">
        <v>0.39388000000000001</v>
      </c>
      <c r="B5604">
        <v>0.74392310626483704</v>
      </c>
      <c r="C5604">
        <v>0.712948615198712</v>
      </c>
      <c r="D5604">
        <v>0.85188068749835599</v>
      </c>
      <c r="E5604">
        <v>0.82951436149162106</v>
      </c>
    </row>
    <row r="5605" spans="1:5" x14ac:dyDescent="0.2">
      <c r="A5605">
        <v>0.39414666666666698</v>
      </c>
      <c r="B5605">
        <v>0.74408297972547899</v>
      </c>
      <c r="C5605">
        <v>0.71312386201488298</v>
      </c>
      <c r="D5605">
        <v>0.85198622198378104</v>
      </c>
      <c r="E5605">
        <v>0.82961405162619095</v>
      </c>
    </row>
    <row r="5606" spans="1:5" x14ac:dyDescent="0.2">
      <c r="A5606">
        <v>0.394413333333333</v>
      </c>
      <c r="B5606">
        <v>0.744242779372004</v>
      </c>
      <c r="C5606">
        <v>0.71329903333016298</v>
      </c>
      <c r="D5606">
        <v>0.85209169974295895</v>
      </c>
      <c r="E5606">
        <v>0.82971373269999804</v>
      </c>
    </row>
    <row r="5607" spans="1:5" x14ac:dyDescent="0.2">
      <c r="A5607">
        <v>0.39467999999999998</v>
      </c>
      <c r="B5607">
        <v>0.74440250528789298</v>
      </c>
      <c r="C5607">
        <v>0.71347412922770004</v>
      </c>
      <c r="D5607">
        <v>0.85219712080760701</v>
      </c>
      <c r="E5607">
        <v>0.82981340469576703</v>
      </c>
    </row>
    <row r="5608" spans="1:5" x14ac:dyDescent="0.2">
      <c r="A5608">
        <v>0.394946666666667</v>
      </c>
      <c r="B5608">
        <v>0.74456215755662603</v>
      </c>
      <c r="C5608">
        <v>0.71364914979064098</v>
      </c>
      <c r="D5608">
        <v>0.85230248520944296</v>
      </c>
      <c r="E5608">
        <v>0.82991306759622296</v>
      </c>
    </row>
    <row r="5609" spans="1:5" x14ac:dyDescent="0.2">
      <c r="A5609">
        <v>0.39521333333333297</v>
      </c>
      <c r="B5609">
        <v>0.74472173626168303</v>
      </c>
      <c r="C5609">
        <v>0.71382409510213496</v>
      </c>
      <c r="D5609">
        <v>0.85240779298018499</v>
      </c>
      <c r="E5609">
        <v>0.83001272138408899</v>
      </c>
    </row>
    <row r="5610" spans="1:5" x14ac:dyDescent="0.2">
      <c r="A5610">
        <v>0.39548</v>
      </c>
      <c r="B5610">
        <v>0.744881241486545</v>
      </c>
      <c r="C5610">
        <v>0.71399896524532802</v>
      </c>
      <c r="D5610">
        <v>0.85251304415155205</v>
      </c>
      <c r="E5610">
        <v>0.83011236604209004</v>
      </c>
    </row>
    <row r="5611" spans="1:5" x14ac:dyDescent="0.2">
      <c r="A5611">
        <v>0.39574666666666702</v>
      </c>
      <c r="B5611">
        <v>0.74504067331469004</v>
      </c>
      <c r="C5611">
        <v>0.71417376030336899</v>
      </c>
      <c r="D5611">
        <v>0.85261823875525999</v>
      </c>
      <c r="E5611">
        <v>0.83021200155295005</v>
      </c>
    </row>
    <row r="5612" spans="1:5" x14ac:dyDescent="0.2">
      <c r="A5612">
        <v>0.396013333333333</v>
      </c>
      <c r="B5612">
        <v>0.74520003182960004</v>
      </c>
      <c r="C5612">
        <v>0.71434848035940601</v>
      </c>
      <c r="D5612">
        <v>0.85272337682302701</v>
      </c>
      <c r="E5612">
        <v>0.83031162789939394</v>
      </c>
    </row>
    <row r="5613" spans="1:5" x14ac:dyDescent="0.2">
      <c r="A5613">
        <v>0.39628000000000002</v>
      </c>
      <c r="B5613">
        <v>0.745359317114756</v>
      </c>
      <c r="C5613">
        <v>0.71452312549658503</v>
      </c>
      <c r="D5613">
        <v>0.85282845838657195</v>
      </c>
      <c r="E5613">
        <v>0.83041124506414499</v>
      </c>
    </row>
    <row r="5614" spans="1:5" x14ac:dyDescent="0.2">
      <c r="A5614">
        <v>0.39654666666666699</v>
      </c>
      <c r="B5614">
        <v>0.74551852925363604</v>
      </c>
      <c r="C5614">
        <v>0.71469769579805398</v>
      </c>
      <c r="D5614">
        <v>0.852933483477611</v>
      </c>
      <c r="E5614">
        <v>0.830510853029929</v>
      </c>
    </row>
    <row r="5615" spans="1:5" x14ac:dyDescent="0.2">
      <c r="A5615">
        <v>0.39681333333333302</v>
      </c>
      <c r="B5615">
        <v>0.74567766832972104</v>
      </c>
      <c r="C5615">
        <v>0.714872191346962</v>
      </c>
      <c r="D5615">
        <v>0.853038452127864</v>
      </c>
      <c r="E5615">
        <v>0.83061045177946902</v>
      </c>
    </row>
    <row r="5616" spans="1:5" x14ac:dyDescent="0.2">
      <c r="A5616">
        <v>0.39707999999999999</v>
      </c>
      <c r="B5616">
        <v>0.74583673442649201</v>
      </c>
      <c r="C5616">
        <v>0.71504661222645605</v>
      </c>
      <c r="D5616">
        <v>0.85314336436904603</v>
      </c>
      <c r="E5616">
        <v>0.83071004129548898</v>
      </c>
    </row>
    <row r="5617" spans="1:5" x14ac:dyDescent="0.2">
      <c r="A5617">
        <v>0.39734666666666701</v>
      </c>
      <c r="B5617">
        <v>0.74599572762742805</v>
      </c>
      <c r="C5617">
        <v>0.71522095851968404</v>
      </c>
      <c r="D5617">
        <v>0.85324822023287805</v>
      </c>
      <c r="E5617">
        <v>0.83080962156071403</v>
      </c>
    </row>
    <row r="5618" spans="1:5" x14ac:dyDescent="0.2">
      <c r="A5618">
        <v>0.39761333333333299</v>
      </c>
      <c r="B5618">
        <v>0.74615464801600995</v>
      </c>
      <c r="C5618">
        <v>0.71539523030979202</v>
      </c>
      <c r="D5618">
        <v>0.85335301975107503</v>
      </c>
      <c r="E5618">
        <v>0.83090919255786799</v>
      </c>
    </row>
    <row r="5619" spans="1:5" x14ac:dyDescent="0.2">
      <c r="A5619">
        <v>0.39788000000000001</v>
      </c>
      <c r="B5619">
        <v>0.74631349567571803</v>
      </c>
      <c r="C5619">
        <v>0.71556942767993004</v>
      </c>
      <c r="D5619">
        <v>0.85345776295535603</v>
      </c>
      <c r="E5619">
        <v>0.83100875426967602</v>
      </c>
    </row>
    <row r="5620" spans="1:5" x14ac:dyDescent="0.2">
      <c r="A5620">
        <v>0.39814666666666698</v>
      </c>
      <c r="B5620">
        <v>0.74647227069003197</v>
      </c>
      <c r="C5620">
        <v>0.71574355071324403</v>
      </c>
      <c r="D5620">
        <v>0.85356244987743901</v>
      </c>
      <c r="E5620">
        <v>0.83110830667886204</v>
      </c>
    </row>
    <row r="5621" spans="1:5" x14ac:dyDescent="0.2">
      <c r="A5621">
        <v>0.39841333333333301</v>
      </c>
      <c r="B5621">
        <v>0.74663097314243299</v>
      </c>
      <c r="C5621">
        <v>0.71591759949288203</v>
      </c>
      <c r="D5621">
        <v>0.85366708054904095</v>
      </c>
      <c r="E5621">
        <v>0.83120784976814899</v>
      </c>
    </row>
    <row r="5622" spans="1:5" x14ac:dyDescent="0.2">
      <c r="A5622">
        <v>0.39867999999999998</v>
      </c>
      <c r="B5622">
        <v>0.74678960311639997</v>
      </c>
      <c r="C5622">
        <v>0.71609157410199298</v>
      </c>
      <c r="D5622">
        <v>0.85377165500188001</v>
      </c>
      <c r="E5622">
        <v>0.83130738352026301</v>
      </c>
    </row>
    <row r="5623" spans="1:5" x14ac:dyDescent="0.2">
      <c r="A5623">
        <v>0.398946666666667</v>
      </c>
      <c r="B5623">
        <v>0.74694816069541303</v>
      </c>
      <c r="C5623">
        <v>0.71626547462372303</v>
      </c>
      <c r="D5623">
        <v>0.85387617326767495</v>
      </c>
      <c r="E5623">
        <v>0.83140690791792704</v>
      </c>
    </row>
    <row r="5624" spans="1:5" x14ac:dyDescent="0.2">
      <c r="A5624">
        <v>0.39921333333333298</v>
      </c>
      <c r="B5624">
        <v>0.74710664596295395</v>
      </c>
      <c r="C5624">
        <v>0.71643930114122001</v>
      </c>
      <c r="D5624">
        <v>0.85398063537814195</v>
      </c>
      <c r="E5624">
        <v>0.83150642294386701</v>
      </c>
    </row>
    <row r="5625" spans="1:5" x14ac:dyDescent="0.2">
      <c r="A5625">
        <v>0.39948</v>
      </c>
      <c r="B5625">
        <v>0.74726505900250195</v>
      </c>
      <c r="C5625">
        <v>0.71661305373763196</v>
      </c>
      <c r="D5625">
        <v>0.85408504136499996</v>
      </c>
      <c r="E5625">
        <v>0.83160592858080495</v>
      </c>
    </row>
    <row r="5626" spans="1:5" x14ac:dyDescent="0.2">
      <c r="A5626">
        <v>0.39974666666666703</v>
      </c>
      <c r="B5626">
        <v>0.74742339989753703</v>
      </c>
      <c r="C5626">
        <v>0.71678673249610703</v>
      </c>
      <c r="D5626">
        <v>0.85418939125996596</v>
      </c>
      <c r="E5626">
        <v>0.83170542481146703</v>
      </c>
    </row>
    <row r="5627" spans="1:5" x14ac:dyDescent="0.2">
      <c r="A5627">
        <v>0.400013333333333</v>
      </c>
      <c r="B5627">
        <v>0.74758166873153897</v>
      </c>
      <c r="C5627">
        <v>0.71696033749979104</v>
      </c>
      <c r="D5627">
        <v>0.854293685094758</v>
      </c>
      <c r="E5627">
        <v>0.83180491161857595</v>
      </c>
    </row>
    <row r="5628" spans="1:5" x14ac:dyDescent="0.2">
      <c r="A5628">
        <v>0.40028000000000002</v>
      </c>
      <c r="B5628">
        <v>0.74773986558696404</v>
      </c>
      <c r="C5628">
        <v>0.717133868830794</v>
      </c>
      <c r="D5628">
        <v>0.85439792290109395</v>
      </c>
      <c r="E5628">
        <v>0.83190438898485797</v>
      </c>
    </row>
    <row r="5629" spans="1:5" x14ac:dyDescent="0.2">
      <c r="A5629">
        <v>0.400546666666667</v>
      </c>
      <c r="B5629">
        <v>0.74789799054273798</v>
      </c>
      <c r="C5629">
        <v>0.71730732656763796</v>
      </c>
      <c r="D5629">
        <v>0.85450210471069199</v>
      </c>
      <c r="E5629">
        <v>0.83200385689303602</v>
      </c>
    </row>
    <row r="5630" spans="1:5" x14ac:dyDescent="0.2">
      <c r="A5630">
        <v>0.40081333333333302</v>
      </c>
      <c r="B5630">
        <v>0.74805604367702905</v>
      </c>
      <c r="C5630">
        <v>0.71748071078807796</v>
      </c>
      <c r="D5630">
        <v>0.85460623055526896</v>
      </c>
      <c r="E5630">
        <v>0.83210331532583404</v>
      </c>
    </row>
    <row r="5631" spans="1:5" x14ac:dyDescent="0.2">
      <c r="A5631">
        <v>0.40107999999999999</v>
      </c>
      <c r="B5631">
        <v>0.74821402506800205</v>
      </c>
      <c r="C5631">
        <v>0.71765402156986802</v>
      </c>
      <c r="D5631">
        <v>0.85471030046654295</v>
      </c>
      <c r="E5631">
        <v>0.83220276426597695</v>
      </c>
    </row>
    <row r="5632" spans="1:5" x14ac:dyDescent="0.2">
      <c r="A5632">
        <v>0.40134666666666702</v>
      </c>
      <c r="B5632">
        <v>0.74837193479382602</v>
      </c>
      <c r="C5632">
        <v>0.71782725899076105</v>
      </c>
      <c r="D5632">
        <v>0.85481431447623202</v>
      </c>
      <c r="E5632">
        <v>0.83230220369618901</v>
      </c>
    </row>
    <row r="5633" spans="1:5" x14ac:dyDescent="0.2">
      <c r="A5633">
        <v>0.40161333333333299</v>
      </c>
      <c r="B5633">
        <v>0.74852977293266698</v>
      </c>
      <c r="C5633">
        <v>0.71800042312851198</v>
      </c>
      <c r="D5633">
        <v>0.85491827261605402</v>
      </c>
      <c r="E5633">
        <v>0.83240163359919495</v>
      </c>
    </row>
    <row r="5634" spans="1:5" x14ac:dyDescent="0.2">
      <c r="A5634">
        <v>0.40188000000000001</v>
      </c>
      <c r="B5634">
        <v>0.74868753956269296</v>
      </c>
      <c r="C5634">
        <v>0.71817351406087304</v>
      </c>
      <c r="D5634">
        <v>0.85502217491772703</v>
      </c>
      <c r="E5634">
        <v>0.83250105395771901</v>
      </c>
    </row>
    <row r="5635" spans="1:5" x14ac:dyDescent="0.2">
      <c r="A5635">
        <v>0.40214666666666699</v>
      </c>
      <c r="B5635">
        <v>0.74884523476206999</v>
      </c>
      <c r="C5635">
        <v>0.71834653186560005</v>
      </c>
      <c r="D5635">
        <v>0.85512602141296801</v>
      </c>
      <c r="E5635">
        <v>0.83260046475448402</v>
      </c>
    </row>
    <row r="5636" spans="1:5" x14ac:dyDescent="0.2">
      <c r="A5636">
        <v>0.40241333333333301</v>
      </c>
      <c r="B5636">
        <v>0.74900285860896598</v>
      </c>
      <c r="C5636">
        <v>0.71851947662044502</v>
      </c>
      <c r="D5636">
        <v>0.85522981213349503</v>
      </c>
      <c r="E5636">
        <v>0.83269986597221601</v>
      </c>
    </row>
    <row r="5637" spans="1:5" x14ac:dyDescent="0.2">
      <c r="A5637">
        <v>0.40267999999999998</v>
      </c>
      <c r="B5637">
        <v>0.74916041118154697</v>
      </c>
      <c r="C5637">
        <v>0.71869234840316198</v>
      </c>
      <c r="D5637">
        <v>0.85533354711102605</v>
      </c>
      <c r="E5637">
        <v>0.83279925759363804</v>
      </c>
    </row>
    <row r="5638" spans="1:5" x14ac:dyDescent="0.2">
      <c r="A5638">
        <v>0.40294666666666701</v>
      </c>
      <c r="B5638">
        <v>0.74931789255798098</v>
      </c>
      <c r="C5638">
        <v>0.71886514729150597</v>
      </c>
      <c r="D5638">
        <v>0.85543722637727804</v>
      </c>
      <c r="E5638">
        <v>0.83289863960147503</v>
      </c>
    </row>
    <row r="5639" spans="1:5" x14ac:dyDescent="0.2">
      <c r="A5639">
        <v>0.40321333333333298</v>
      </c>
      <c r="B5639">
        <v>0.74947530281643504</v>
      </c>
      <c r="C5639">
        <v>0.71903787336323</v>
      </c>
      <c r="D5639">
        <v>0.85554084996396995</v>
      </c>
      <c r="E5639">
        <v>0.83299801197845202</v>
      </c>
    </row>
    <row r="5640" spans="1:5" x14ac:dyDescent="0.2">
      <c r="A5640">
        <v>0.40348000000000001</v>
      </c>
      <c r="B5640">
        <v>0.74963264203507596</v>
      </c>
      <c r="C5640">
        <v>0.71921052669608798</v>
      </c>
      <c r="D5640">
        <v>0.85564441790281898</v>
      </c>
      <c r="E5640">
        <v>0.83309737470729195</v>
      </c>
    </row>
    <row r="5641" spans="1:5" x14ac:dyDescent="0.2">
      <c r="A5641">
        <v>0.40374666666666698</v>
      </c>
      <c r="B5641">
        <v>0.74978991029207098</v>
      </c>
      <c r="C5641">
        <v>0.71938310736783295</v>
      </c>
      <c r="D5641">
        <v>0.85574793022554396</v>
      </c>
      <c r="E5641">
        <v>0.83319672777071896</v>
      </c>
    </row>
    <row r="5642" spans="1:5" x14ac:dyDescent="0.2">
      <c r="A5642">
        <v>0.404013333333333</v>
      </c>
      <c r="B5642">
        <v>0.74994710766558603</v>
      </c>
      <c r="C5642">
        <v>0.71955561545622004</v>
      </c>
      <c r="D5642">
        <v>0.85585138696386098</v>
      </c>
      <c r="E5642">
        <v>0.83329607115145798</v>
      </c>
    </row>
    <row r="5643" spans="1:5" x14ac:dyDescent="0.2">
      <c r="A5643">
        <v>0.40427999999999997</v>
      </c>
      <c r="B5643">
        <v>0.75010423423379002</v>
      </c>
      <c r="C5643">
        <v>0.71972805103900295</v>
      </c>
      <c r="D5643">
        <v>0.855954788149488</v>
      </c>
      <c r="E5643">
        <v>0.83339540483223395</v>
      </c>
    </row>
    <row r="5644" spans="1:5" x14ac:dyDescent="0.2">
      <c r="A5644">
        <v>0.404546666666667</v>
      </c>
      <c r="B5644">
        <v>0.75026129007484899</v>
      </c>
      <c r="C5644">
        <v>0.71990041419393402</v>
      </c>
      <c r="D5644">
        <v>0.85605813381414397</v>
      </c>
      <c r="E5644">
        <v>0.83349472879577002</v>
      </c>
    </row>
    <row r="5645" spans="1:5" x14ac:dyDescent="0.2">
      <c r="A5645">
        <v>0.40481333333333303</v>
      </c>
      <c r="B5645">
        <v>0.75041827526692995</v>
      </c>
      <c r="C5645">
        <v>0.72007270499876797</v>
      </c>
      <c r="D5645">
        <v>0.85616142398954598</v>
      </c>
      <c r="E5645">
        <v>0.83359404302479101</v>
      </c>
    </row>
    <row r="5646" spans="1:5" x14ac:dyDescent="0.2">
      <c r="A5646">
        <v>0.40508</v>
      </c>
      <c r="B5646">
        <v>0.75057518988820104</v>
      </c>
      <c r="C5646">
        <v>0.72024492353125902</v>
      </c>
      <c r="D5646">
        <v>0.85626465870741197</v>
      </c>
      <c r="E5646">
        <v>0.83369334750202095</v>
      </c>
    </row>
    <row r="5647" spans="1:5" x14ac:dyDescent="0.2">
      <c r="A5647">
        <v>0.40534666666666702</v>
      </c>
      <c r="B5647">
        <v>0.75073203401682798</v>
      </c>
      <c r="C5647">
        <v>0.72041706986916099</v>
      </c>
      <c r="D5647">
        <v>0.85636783799945904</v>
      </c>
      <c r="E5647">
        <v>0.83379264221018501</v>
      </c>
    </row>
    <row r="5648" spans="1:5" x14ac:dyDescent="0.2">
      <c r="A5648">
        <v>0.40561333333333299</v>
      </c>
      <c r="B5648">
        <v>0.75088880773097799</v>
      </c>
      <c r="C5648">
        <v>0.72058914409022701</v>
      </c>
      <c r="D5648">
        <v>0.85647096189740601</v>
      </c>
      <c r="E5648">
        <v>0.83389192713200599</v>
      </c>
    </row>
    <row r="5649" spans="1:5" x14ac:dyDescent="0.2">
      <c r="A5649">
        <v>0.40588000000000002</v>
      </c>
      <c r="B5649">
        <v>0.75104551110881901</v>
      </c>
      <c r="C5649">
        <v>0.720761146272211</v>
      </c>
      <c r="D5649">
        <v>0.85657403043297098</v>
      </c>
      <c r="E5649">
        <v>0.83399120225020995</v>
      </c>
    </row>
    <row r="5650" spans="1:5" x14ac:dyDescent="0.2">
      <c r="A5650">
        <v>0.40614666666666699</v>
      </c>
      <c r="B5650">
        <v>0.75120214422851705</v>
      </c>
      <c r="C5650">
        <v>0.72093307649286598</v>
      </c>
      <c r="D5650">
        <v>0.85667704363787001</v>
      </c>
      <c r="E5650">
        <v>0.83409046754751903</v>
      </c>
    </row>
    <row r="5651" spans="1:5" x14ac:dyDescent="0.2">
      <c r="A5651">
        <v>0.40641333333333302</v>
      </c>
      <c r="B5651">
        <v>0.75135870716824005</v>
      </c>
      <c r="C5651">
        <v>0.72110493482994797</v>
      </c>
      <c r="D5651">
        <v>0.85678000154382195</v>
      </c>
      <c r="E5651">
        <v>0.83418972300665895</v>
      </c>
    </row>
    <row r="5652" spans="1:5" x14ac:dyDescent="0.2">
      <c r="A5652">
        <v>0.40667999999999999</v>
      </c>
      <c r="B5652">
        <v>0.75151520000615502</v>
      </c>
      <c r="C5652">
        <v>0.72127672136120902</v>
      </c>
      <c r="D5652">
        <v>0.85688290418254398</v>
      </c>
      <c r="E5652">
        <v>0.83428896861035395</v>
      </c>
    </row>
    <row r="5653" spans="1:5" x14ac:dyDescent="0.2">
      <c r="A5653">
        <v>0.40694666666666701</v>
      </c>
      <c r="B5653">
        <v>0.75167162282042899</v>
      </c>
      <c r="C5653">
        <v>0.72144843616440302</v>
      </c>
      <c r="D5653">
        <v>0.85698575158575496</v>
      </c>
      <c r="E5653">
        <v>0.83438820434132799</v>
      </c>
    </row>
    <row r="5654" spans="1:5" x14ac:dyDescent="0.2">
      <c r="A5654">
        <v>0.40721333333333298</v>
      </c>
      <c r="B5654">
        <v>0.75182797568922799</v>
      </c>
      <c r="C5654">
        <v>0.721620079317285</v>
      </c>
      <c r="D5654">
        <v>0.85708854378517196</v>
      </c>
      <c r="E5654">
        <v>0.83448743018230598</v>
      </c>
    </row>
    <row r="5655" spans="1:5" x14ac:dyDescent="0.2">
      <c r="A5655">
        <v>0.40748000000000001</v>
      </c>
      <c r="B5655">
        <v>0.75198425869072105</v>
      </c>
      <c r="C5655">
        <v>0.72179165089760799</v>
      </c>
      <c r="D5655">
        <v>0.85719128081251295</v>
      </c>
      <c r="E5655">
        <v>0.83458664611601097</v>
      </c>
    </row>
    <row r="5656" spans="1:5" x14ac:dyDescent="0.2">
      <c r="A5656">
        <v>0.40774666666666698</v>
      </c>
      <c r="B5656">
        <v>0.75214047190307298</v>
      </c>
      <c r="C5656">
        <v>0.72196315098312502</v>
      </c>
      <c r="D5656">
        <v>0.85729396269949498</v>
      </c>
      <c r="E5656">
        <v>0.83468585212516799</v>
      </c>
    </row>
    <row r="5657" spans="1:5" x14ac:dyDescent="0.2">
      <c r="A5657">
        <v>0.40801333333333301</v>
      </c>
      <c r="B5657">
        <v>0.75229661540445303</v>
      </c>
      <c r="C5657">
        <v>0.722134579651591</v>
      </c>
      <c r="D5657">
        <v>0.85739658947783703</v>
      </c>
      <c r="E5657">
        <v>0.83478504819250099</v>
      </c>
    </row>
    <row r="5658" spans="1:5" x14ac:dyDescent="0.2">
      <c r="A5658">
        <v>0.40827999999999998</v>
      </c>
      <c r="B5658">
        <v>0.752452689273027</v>
      </c>
      <c r="C5658">
        <v>0.72230593698075896</v>
      </c>
      <c r="D5658">
        <v>0.85749916117925595</v>
      </c>
      <c r="E5658">
        <v>0.834884234300735</v>
      </c>
    </row>
    <row r="5659" spans="1:5" x14ac:dyDescent="0.2">
      <c r="A5659">
        <v>0.408546666666667</v>
      </c>
      <c r="B5659">
        <v>0.75260869358696203</v>
      </c>
      <c r="C5659">
        <v>0.72247722304838302</v>
      </c>
      <c r="D5659">
        <v>0.85760167783547003</v>
      </c>
      <c r="E5659">
        <v>0.83498341043259405</v>
      </c>
    </row>
    <row r="5660" spans="1:5" x14ac:dyDescent="0.2">
      <c r="A5660">
        <v>0.40881333333333297</v>
      </c>
      <c r="B5660">
        <v>0.75276462842442504</v>
      </c>
      <c r="C5660">
        <v>0.722648437932218</v>
      </c>
      <c r="D5660">
        <v>0.85770413947819701</v>
      </c>
      <c r="E5660">
        <v>0.83508257657080198</v>
      </c>
    </row>
    <row r="5661" spans="1:5" x14ac:dyDescent="0.2">
      <c r="A5661">
        <v>0.40908</v>
      </c>
      <c r="B5661">
        <v>0.75292049386358395</v>
      </c>
      <c r="C5661">
        <v>0.72281958171001603</v>
      </c>
      <c r="D5661">
        <v>0.85780654613915497</v>
      </c>
      <c r="E5661">
        <v>0.83518173269808305</v>
      </c>
    </row>
    <row r="5662" spans="1:5" x14ac:dyDescent="0.2">
      <c r="A5662">
        <v>0.40934666666666703</v>
      </c>
      <c r="B5662">
        <v>0.75307628998260501</v>
      </c>
      <c r="C5662">
        <v>0.72299065445953103</v>
      </c>
      <c r="D5662">
        <v>0.85790889785006097</v>
      </c>
      <c r="E5662">
        <v>0.83528087879716195</v>
      </c>
    </row>
    <row r="5663" spans="1:5" x14ac:dyDescent="0.2">
      <c r="A5663">
        <v>0.409613333333333</v>
      </c>
      <c r="B5663">
        <v>0.75323201685965602</v>
      </c>
      <c r="C5663">
        <v>0.72316165625851803</v>
      </c>
      <c r="D5663">
        <v>0.85801119464263298</v>
      </c>
      <c r="E5663">
        <v>0.83538001485076296</v>
      </c>
    </row>
    <row r="5664" spans="1:5" x14ac:dyDescent="0.2">
      <c r="A5664">
        <v>0.40988000000000002</v>
      </c>
      <c r="B5664">
        <v>0.75338767457290301</v>
      </c>
      <c r="C5664">
        <v>0.72333258718473104</v>
      </c>
      <c r="D5664">
        <v>0.85811343654858896</v>
      </c>
      <c r="E5664">
        <v>0.83547914084161001</v>
      </c>
    </row>
    <row r="5665" spans="1:5" x14ac:dyDescent="0.2">
      <c r="A5665">
        <v>0.41014666666666699</v>
      </c>
      <c r="B5665">
        <v>0.75354326320037301</v>
      </c>
      <c r="C5665">
        <v>0.72350344731578997</v>
      </c>
      <c r="D5665">
        <v>0.85821562359964598</v>
      </c>
      <c r="E5665">
        <v>0.83557825675242703</v>
      </c>
    </row>
    <row r="5666" spans="1:5" x14ac:dyDescent="0.2">
      <c r="A5666">
        <v>0.41041333333333302</v>
      </c>
      <c r="B5666">
        <v>0.75369878281749303</v>
      </c>
      <c r="C5666">
        <v>0.72367423672690101</v>
      </c>
      <c r="D5666">
        <v>0.85831775582752301</v>
      </c>
      <c r="E5666">
        <v>0.83567736256594005</v>
      </c>
    </row>
    <row r="5667" spans="1:5" x14ac:dyDescent="0.2">
      <c r="A5667">
        <v>0.41067999999999999</v>
      </c>
      <c r="B5667">
        <v>0.75385423349741199</v>
      </c>
      <c r="C5667">
        <v>0.72384495549114303</v>
      </c>
      <c r="D5667">
        <v>0.858419833263937</v>
      </c>
      <c r="E5667">
        <v>0.83577645826487101</v>
      </c>
    </row>
    <row r="5668" spans="1:5" x14ac:dyDescent="0.2">
      <c r="A5668">
        <v>0.41094666666666702</v>
      </c>
      <c r="B5668">
        <v>0.75400961531320199</v>
      </c>
      <c r="C5668">
        <v>0.72401560368152595</v>
      </c>
      <c r="D5668">
        <v>0.85852185594060604</v>
      </c>
      <c r="E5668">
        <v>0.83587554383194596</v>
      </c>
    </row>
    <row r="5669" spans="1:5" x14ac:dyDescent="0.2">
      <c r="A5669">
        <v>0.41121333333333299</v>
      </c>
      <c r="B5669">
        <v>0.75416492833793203</v>
      </c>
      <c r="C5669">
        <v>0.72418618137105695</v>
      </c>
      <c r="D5669">
        <v>0.85862382388924896</v>
      </c>
      <c r="E5669">
        <v>0.83597461924988903</v>
      </c>
    </row>
    <row r="5670" spans="1:5" x14ac:dyDescent="0.2">
      <c r="A5670">
        <v>0.41148000000000001</v>
      </c>
      <c r="B5670">
        <v>0.75432017264467499</v>
      </c>
      <c r="C5670">
        <v>0.72435668863274605</v>
      </c>
      <c r="D5670">
        <v>0.85872573714158096</v>
      </c>
      <c r="E5670">
        <v>0.83607368450142405</v>
      </c>
    </row>
    <row r="5671" spans="1:5" x14ac:dyDescent="0.2">
      <c r="A5671">
        <v>0.41174666666666698</v>
      </c>
      <c r="B5671">
        <v>0.75447534830650098</v>
      </c>
      <c r="C5671">
        <v>0.72452712553960197</v>
      </c>
      <c r="D5671">
        <v>0.85882759572932199</v>
      </c>
      <c r="E5671">
        <v>0.83617273956927496</v>
      </c>
    </row>
    <row r="5672" spans="1:5" x14ac:dyDescent="0.2">
      <c r="A5672">
        <v>0.41201333333333301</v>
      </c>
      <c r="B5672">
        <v>0.75463045539648199</v>
      </c>
      <c r="C5672">
        <v>0.72469749216463197</v>
      </c>
      <c r="D5672">
        <v>0.85892939968418902</v>
      </c>
      <c r="E5672">
        <v>0.83627178443616601</v>
      </c>
    </row>
    <row r="5673" spans="1:5" x14ac:dyDescent="0.2">
      <c r="A5673">
        <v>0.41227999999999998</v>
      </c>
      <c r="B5673">
        <v>0.75478549398768802</v>
      </c>
      <c r="C5673">
        <v>0.724867788580846</v>
      </c>
      <c r="D5673">
        <v>0.85903114903790001</v>
      </c>
      <c r="E5673">
        <v>0.83637081908482203</v>
      </c>
    </row>
    <row r="5674" spans="1:5" x14ac:dyDescent="0.2">
      <c r="A5674">
        <v>0.41254666666666701</v>
      </c>
      <c r="B5674">
        <v>0.75494046415319005</v>
      </c>
      <c r="C5674">
        <v>0.72503801486125297</v>
      </c>
      <c r="D5674">
        <v>0.85913284382217203</v>
      </c>
      <c r="E5674">
        <v>0.83646984349796705</v>
      </c>
    </row>
    <row r="5675" spans="1:5" x14ac:dyDescent="0.2">
      <c r="A5675">
        <v>0.41281333333333298</v>
      </c>
      <c r="B5675">
        <v>0.75509536596606097</v>
      </c>
      <c r="C5675">
        <v>0.72520817107886004</v>
      </c>
      <c r="D5675">
        <v>0.85923448406872505</v>
      </c>
      <c r="E5675">
        <v>0.836568857658326</v>
      </c>
    </row>
    <row r="5676" spans="1:5" x14ac:dyDescent="0.2">
      <c r="A5676">
        <v>0.41308</v>
      </c>
      <c r="B5676">
        <v>0.75525019949937</v>
      </c>
      <c r="C5676">
        <v>0.72537825730667704</v>
      </c>
      <c r="D5676">
        <v>0.85933606980927402</v>
      </c>
      <c r="E5676">
        <v>0.83666786154862205</v>
      </c>
    </row>
    <row r="5677" spans="1:5" x14ac:dyDescent="0.2">
      <c r="A5677">
        <v>0.41334666666666697</v>
      </c>
      <c r="B5677">
        <v>0.75540496482618902</v>
      </c>
      <c r="C5677">
        <v>0.72554827361771201</v>
      </c>
      <c r="D5677">
        <v>0.85943760107553802</v>
      </c>
      <c r="E5677">
        <v>0.836766855151581</v>
      </c>
    </row>
    <row r="5678" spans="1:5" x14ac:dyDescent="0.2">
      <c r="A5678">
        <v>0.413613333333333</v>
      </c>
      <c r="B5678">
        <v>0.75555966201958802</v>
      </c>
      <c r="C5678">
        <v>0.725718220084975</v>
      </c>
      <c r="D5678">
        <v>0.859539077899235</v>
      </c>
      <c r="E5678">
        <v>0.83686583844992501</v>
      </c>
    </row>
    <row r="5679" spans="1:5" x14ac:dyDescent="0.2">
      <c r="A5679">
        <v>0.41388000000000003</v>
      </c>
      <c r="B5679">
        <v>0.75571429115263999</v>
      </c>
      <c r="C5679">
        <v>0.72588809678147304</v>
      </c>
      <c r="D5679">
        <v>0.85964050031208294</v>
      </c>
      <c r="E5679">
        <v>0.83696481142638002</v>
      </c>
    </row>
    <row r="5680" spans="1:5" x14ac:dyDescent="0.2">
      <c r="A5680">
        <v>0.414146666666667</v>
      </c>
      <c r="B5680">
        <v>0.75586885229841505</v>
      </c>
      <c r="C5680">
        <v>0.72605790378021595</v>
      </c>
      <c r="D5680">
        <v>0.85974186834579902</v>
      </c>
      <c r="E5680">
        <v>0.83706377406367005</v>
      </c>
    </row>
    <row r="5681" spans="1:5" x14ac:dyDescent="0.2">
      <c r="A5681">
        <v>0.41441333333333302</v>
      </c>
      <c r="B5681">
        <v>0.75602334552998296</v>
      </c>
      <c r="C5681">
        <v>0.72622764115421101</v>
      </c>
      <c r="D5681">
        <v>0.85984318203210097</v>
      </c>
      <c r="E5681">
        <v>0.83716272634451905</v>
      </c>
    </row>
    <row r="5682" spans="1:5" x14ac:dyDescent="0.2">
      <c r="A5682">
        <v>0.41467999999999999</v>
      </c>
      <c r="B5682">
        <v>0.75617777092041705</v>
      </c>
      <c r="C5682">
        <v>0.72639730897646804</v>
      </c>
      <c r="D5682">
        <v>0.85994444140270698</v>
      </c>
      <c r="E5682">
        <v>0.83726166825165105</v>
      </c>
    </row>
    <row r="5683" spans="1:5" x14ac:dyDescent="0.2">
      <c r="A5683">
        <v>0.41494666666666702</v>
      </c>
      <c r="B5683">
        <v>0.75633212854278797</v>
      </c>
      <c r="C5683">
        <v>0.72656690731999596</v>
      </c>
      <c r="D5683">
        <v>0.86004564648933501</v>
      </c>
      <c r="E5683">
        <v>0.83736059976779098</v>
      </c>
    </row>
    <row r="5684" spans="1:5" x14ac:dyDescent="0.2">
      <c r="A5684">
        <v>0.41521333333333299</v>
      </c>
      <c r="B5684">
        <v>0.75648641847016496</v>
      </c>
      <c r="C5684">
        <v>0.72673643625780204</v>
      </c>
      <c r="D5684">
        <v>0.86014679732370203</v>
      </c>
      <c r="E5684">
        <v>0.837459520875663</v>
      </c>
    </row>
    <row r="5685" spans="1:5" x14ac:dyDescent="0.2">
      <c r="A5685">
        <v>0.41548000000000002</v>
      </c>
      <c r="B5685">
        <v>0.75664064077562099</v>
      </c>
      <c r="C5685">
        <v>0.726905895862896</v>
      </c>
      <c r="D5685">
        <v>0.86024789393752599</v>
      </c>
      <c r="E5685">
        <v>0.83755843155799103</v>
      </c>
    </row>
    <row r="5686" spans="1:5" x14ac:dyDescent="0.2">
      <c r="A5686">
        <v>0.41574666666666699</v>
      </c>
      <c r="B5686">
        <v>0.75679479553222695</v>
      </c>
      <c r="C5686">
        <v>0.72707528620828699</v>
      </c>
      <c r="D5686">
        <v>0.86034893636252596</v>
      </c>
      <c r="E5686">
        <v>0.83765733179750002</v>
      </c>
    </row>
    <row r="5687" spans="1:5" x14ac:dyDescent="0.2">
      <c r="A5687">
        <v>0.41601333333333301</v>
      </c>
      <c r="B5687">
        <v>0.75694888281305295</v>
      </c>
      <c r="C5687">
        <v>0.72724460736698304</v>
      </c>
      <c r="D5687">
        <v>0.86044992463041803</v>
      </c>
      <c r="E5687">
        <v>0.83775622157691298</v>
      </c>
    </row>
    <row r="5688" spans="1:5" x14ac:dyDescent="0.2">
      <c r="A5688">
        <v>0.41627999999999998</v>
      </c>
      <c r="B5688">
        <v>0.75710290269116998</v>
      </c>
      <c r="C5688">
        <v>0.72741385941199199</v>
      </c>
      <c r="D5688">
        <v>0.86055085877292103</v>
      </c>
      <c r="E5688">
        <v>0.83785510087895598</v>
      </c>
    </row>
    <row r="5689" spans="1:5" x14ac:dyDescent="0.2">
      <c r="A5689">
        <v>0.41654666666666701</v>
      </c>
      <c r="B5689">
        <v>0.75725685523965103</v>
      </c>
      <c r="C5689">
        <v>0.72758304241632399</v>
      </c>
      <c r="D5689">
        <v>0.86065173882175205</v>
      </c>
      <c r="E5689">
        <v>0.83795396968635205</v>
      </c>
    </row>
    <row r="5690" spans="1:5" x14ac:dyDescent="0.2">
      <c r="A5690">
        <v>0.41681333333333298</v>
      </c>
      <c r="B5690">
        <v>0.75741074053156499</v>
      </c>
      <c r="C5690">
        <v>0.72775215645298696</v>
      </c>
      <c r="D5690">
        <v>0.86075256480862905</v>
      </c>
      <c r="E5690">
        <v>0.83805282798182501</v>
      </c>
    </row>
    <row r="5691" spans="1:5" x14ac:dyDescent="0.2">
      <c r="A5691">
        <v>0.41708000000000001</v>
      </c>
      <c r="B5691">
        <v>0.75756455863998395</v>
      </c>
      <c r="C5691">
        <v>0.72792120159498896</v>
      </c>
      <c r="D5691">
        <v>0.86085333676526998</v>
      </c>
      <c r="E5691">
        <v>0.83815167574810101</v>
      </c>
    </row>
    <row r="5692" spans="1:5" x14ac:dyDescent="0.2">
      <c r="A5692">
        <v>0.41734666666666698</v>
      </c>
      <c r="B5692">
        <v>0.75771830963797904</v>
      </c>
      <c r="C5692">
        <v>0.72809017791534003</v>
      </c>
      <c r="D5692">
        <v>0.86095405472339304</v>
      </c>
      <c r="E5692">
        <v>0.83825051296790198</v>
      </c>
    </row>
    <row r="5693" spans="1:5" x14ac:dyDescent="0.2">
      <c r="A5693">
        <v>0.417613333333333</v>
      </c>
      <c r="B5693">
        <v>0.75787199359862101</v>
      </c>
      <c r="C5693">
        <v>0.72825908548704799</v>
      </c>
      <c r="D5693">
        <v>0.86105471871471495</v>
      </c>
      <c r="E5693">
        <v>0.83834933962395497</v>
      </c>
    </row>
    <row r="5694" spans="1:5" x14ac:dyDescent="0.2">
      <c r="A5694">
        <v>0.41787999999999997</v>
      </c>
      <c r="B5694">
        <v>0.75802561059498097</v>
      </c>
      <c r="C5694">
        <v>0.72842792438312198</v>
      </c>
      <c r="D5694">
        <v>0.86115532877095502</v>
      </c>
      <c r="E5694">
        <v>0.83844815569898201</v>
      </c>
    </row>
    <row r="5695" spans="1:5" x14ac:dyDescent="0.2">
      <c r="A5695">
        <v>0.418146666666667</v>
      </c>
      <c r="B5695">
        <v>0.75817916070013003</v>
      </c>
      <c r="C5695">
        <v>0.72859669467656996</v>
      </c>
      <c r="D5695">
        <v>0.86125588492382898</v>
      </c>
      <c r="E5695">
        <v>0.83854696117570804</v>
      </c>
    </row>
    <row r="5696" spans="1:5" x14ac:dyDescent="0.2">
      <c r="A5696">
        <v>0.41841333333333303</v>
      </c>
      <c r="B5696">
        <v>0.75833264398713995</v>
      </c>
      <c r="C5696">
        <v>0.72876539644040095</v>
      </c>
      <c r="D5696">
        <v>0.86135638720505703</v>
      </c>
      <c r="E5696">
        <v>0.83864575603685698</v>
      </c>
    </row>
    <row r="5697" spans="1:5" x14ac:dyDescent="0.2">
      <c r="A5697">
        <v>0.41868</v>
      </c>
      <c r="B5697">
        <v>0.75848606052908096</v>
      </c>
      <c r="C5697">
        <v>0.728934029747624</v>
      </c>
      <c r="D5697">
        <v>0.861456835646355</v>
      </c>
      <c r="E5697">
        <v>0.83874454026515399</v>
      </c>
    </row>
    <row r="5698" spans="1:5" x14ac:dyDescent="0.2">
      <c r="A5698">
        <v>0.41894666666666702</v>
      </c>
      <c r="B5698">
        <v>0.75863941039902405</v>
      </c>
      <c r="C5698">
        <v>0.72910259467124705</v>
      </c>
      <c r="D5698">
        <v>0.86155723027944098</v>
      </c>
      <c r="E5698">
        <v>0.838843313843323</v>
      </c>
    </row>
    <row r="5699" spans="1:5" x14ac:dyDescent="0.2">
      <c r="A5699">
        <v>0.41921333333333299</v>
      </c>
      <c r="B5699">
        <v>0.75879269367004099</v>
      </c>
      <c r="C5699">
        <v>0.72927109128428003</v>
      </c>
      <c r="D5699">
        <v>0.86165757113603303</v>
      </c>
      <c r="E5699">
        <v>0.83894207675408805</v>
      </c>
    </row>
    <row r="5700" spans="1:5" x14ac:dyDescent="0.2">
      <c r="A5700">
        <v>0.41948000000000002</v>
      </c>
      <c r="B5700">
        <v>0.75894591041520199</v>
      </c>
      <c r="C5700">
        <v>0.72943951965972997</v>
      </c>
      <c r="D5700">
        <v>0.86175785824785001</v>
      </c>
      <c r="E5700">
        <v>0.83904082898017396</v>
      </c>
    </row>
    <row r="5701" spans="1:5" x14ac:dyDescent="0.2">
      <c r="A5701">
        <v>0.41974666666666699</v>
      </c>
      <c r="B5701">
        <v>0.75909906070757904</v>
      </c>
      <c r="C5701">
        <v>0.72960787987060605</v>
      </c>
      <c r="D5701">
        <v>0.86185809164660798</v>
      </c>
      <c r="E5701">
        <v>0.83913957050430499</v>
      </c>
    </row>
    <row r="5702" spans="1:5" x14ac:dyDescent="0.2">
      <c r="A5702">
        <v>0.42001333333333302</v>
      </c>
      <c r="B5702">
        <v>0.75925214462024304</v>
      </c>
      <c r="C5702">
        <v>0.72977617198991795</v>
      </c>
      <c r="D5702">
        <v>0.86195827136402503</v>
      </c>
      <c r="E5702">
        <v>0.83923830130920396</v>
      </c>
    </row>
    <row r="5703" spans="1:5" x14ac:dyDescent="0.2">
      <c r="A5703">
        <v>0.42027999999999999</v>
      </c>
      <c r="B5703">
        <v>0.75940516222540499</v>
      </c>
      <c r="C5703">
        <v>0.7299443960898</v>
      </c>
      <c r="D5703">
        <v>0.86205839743182</v>
      </c>
      <c r="E5703">
        <v>0.83933702137759703</v>
      </c>
    </row>
    <row r="5704" spans="1:5" x14ac:dyDescent="0.2">
      <c r="A5704">
        <v>0.42054666666666701</v>
      </c>
      <c r="B5704">
        <v>0.75955811359231995</v>
      </c>
      <c r="C5704">
        <v>0.73011255223938398</v>
      </c>
      <c r="D5704">
        <v>0.86215846988170997</v>
      </c>
      <c r="E5704">
        <v>0.839435730692208</v>
      </c>
    </row>
    <row r="5705" spans="1:5" x14ac:dyDescent="0.2">
      <c r="A5705">
        <v>0.42081333333333298</v>
      </c>
      <c r="B5705">
        <v>0.75971099878960302</v>
      </c>
      <c r="C5705">
        <v>0.73028064050715202</v>
      </c>
      <c r="D5705">
        <v>0.862258488745412</v>
      </c>
      <c r="E5705">
        <v>0.83953442923576005</v>
      </c>
    </row>
    <row r="5706" spans="1:5" x14ac:dyDescent="0.2">
      <c r="A5706">
        <v>0.42108000000000001</v>
      </c>
      <c r="B5706">
        <v>0.75986381788587298</v>
      </c>
      <c r="C5706">
        <v>0.730448660961588</v>
      </c>
      <c r="D5706">
        <v>0.86235845405464595</v>
      </c>
      <c r="E5706">
        <v>0.83963311699097898</v>
      </c>
    </row>
    <row r="5707" spans="1:5" x14ac:dyDescent="0.2">
      <c r="A5707">
        <v>0.42134666666666698</v>
      </c>
      <c r="B5707">
        <v>0.76001657094974595</v>
      </c>
      <c r="C5707">
        <v>0.73061661367117503</v>
      </c>
      <c r="D5707">
        <v>0.86245836584112701</v>
      </c>
      <c r="E5707">
        <v>0.83973179394058795</v>
      </c>
    </row>
    <row r="5708" spans="1:5" x14ac:dyDescent="0.2">
      <c r="A5708">
        <v>0.42161333333333301</v>
      </c>
      <c r="B5708">
        <v>0.76016925804984004</v>
      </c>
      <c r="C5708">
        <v>0.73078449870439799</v>
      </c>
      <c r="D5708">
        <v>0.86255822413657501</v>
      </c>
      <c r="E5708">
        <v>0.83983046006731199</v>
      </c>
    </row>
    <row r="5709" spans="1:5" x14ac:dyDescent="0.2">
      <c r="A5709">
        <v>0.42187999999999998</v>
      </c>
      <c r="B5709">
        <v>0.76032187925477102</v>
      </c>
      <c r="C5709">
        <v>0.73095231612973899</v>
      </c>
      <c r="D5709">
        <v>0.86265802897270605</v>
      </c>
      <c r="E5709">
        <v>0.83992911535387504</v>
      </c>
    </row>
    <row r="5710" spans="1:5" x14ac:dyDescent="0.2">
      <c r="A5710">
        <v>0.422146666666667</v>
      </c>
      <c r="B5710">
        <v>0.760474434633157</v>
      </c>
      <c r="C5710">
        <v>0.73112006601568302</v>
      </c>
      <c r="D5710">
        <v>0.86275778038123996</v>
      </c>
      <c r="E5710">
        <v>0.84002775978300204</v>
      </c>
    </row>
    <row r="5711" spans="1:5" x14ac:dyDescent="0.2">
      <c r="A5711">
        <v>0.42241333333333297</v>
      </c>
      <c r="B5711">
        <v>0.760626924253614</v>
      </c>
      <c r="C5711">
        <v>0.73128774843071198</v>
      </c>
      <c r="D5711">
        <v>0.86285747839389204</v>
      </c>
      <c r="E5711">
        <v>0.84012639333741601</v>
      </c>
    </row>
    <row r="5712" spans="1:5" x14ac:dyDescent="0.2">
      <c r="A5712">
        <v>0.42268</v>
      </c>
      <c r="B5712">
        <v>0.76077934818476001</v>
      </c>
      <c r="C5712">
        <v>0.73145536344330997</v>
      </c>
      <c r="D5712">
        <v>0.86295712304238203</v>
      </c>
      <c r="E5712">
        <v>0.84022501599984201</v>
      </c>
    </row>
    <row r="5713" spans="1:5" x14ac:dyDescent="0.2">
      <c r="A5713">
        <v>0.42294666666666703</v>
      </c>
      <c r="B5713">
        <v>0.76093170649521202</v>
      </c>
      <c r="C5713">
        <v>0.73162291112196098</v>
      </c>
      <c r="D5713">
        <v>0.86305671435842701</v>
      </c>
      <c r="E5713">
        <v>0.84032362775300395</v>
      </c>
    </row>
    <row r="5714" spans="1:5" x14ac:dyDescent="0.2">
      <c r="A5714">
        <v>0.423213333333333</v>
      </c>
      <c r="B5714">
        <v>0.76108399925358705</v>
      </c>
      <c r="C5714">
        <v>0.73179039153514802</v>
      </c>
      <c r="D5714">
        <v>0.86315625237374505</v>
      </c>
      <c r="E5714">
        <v>0.84042222857962601</v>
      </c>
    </row>
    <row r="5715" spans="1:5" x14ac:dyDescent="0.2">
      <c r="A5715">
        <v>0.42348000000000002</v>
      </c>
      <c r="B5715">
        <v>0.76123622652850098</v>
      </c>
      <c r="C5715">
        <v>0.73195780475135397</v>
      </c>
      <c r="D5715">
        <v>0.86325573712005399</v>
      </c>
      <c r="E5715">
        <v>0.84052081846243398</v>
      </c>
    </row>
    <row r="5716" spans="1:5" x14ac:dyDescent="0.2">
      <c r="A5716">
        <v>0.42374666666666699</v>
      </c>
      <c r="B5716">
        <v>0.76138838838857203</v>
      </c>
      <c r="C5716">
        <v>0.73212515083906404</v>
      </c>
      <c r="D5716">
        <v>0.86335516862907002</v>
      </c>
      <c r="E5716">
        <v>0.84061939738415004</v>
      </c>
    </row>
    <row r="5717" spans="1:5" x14ac:dyDescent="0.2">
      <c r="A5717">
        <v>0.42401333333333302</v>
      </c>
      <c r="B5717">
        <v>0.76154048490241799</v>
      </c>
      <c r="C5717">
        <v>0.73229242986676102</v>
      </c>
      <c r="D5717">
        <v>0.863454546932513</v>
      </c>
      <c r="E5717">
        <v>0.84071796532749998</v>
      </c>
    </row>
    <row r="5718" spans="1:5" x14ac:dyDescent="0.2">
      <c r="A5718">
        <v>0.42427999999999999</v>
      </c>
      <c r="B5718">
        <v>0.76169251613865396</v>
      </c>
      <c r="C5718">
        <v>0.732459641902928</v>
      </c>
      <c r="D5718">
        <v>0.86355387206209999</v>
      </c>
      <c r="E5718">
        <v>0.84081652227520798</v>
      </c>
    </row>
    <row r="5719" spans="1:5" x14ac:dyDescent="0.2">
      <c r="A5719">
        <v>0.42454666666666702</v>
      </c>
      <c r="B5719">
        <v>0.76184448216589895</v>
      </c>
      <c r="C5719">
        <v>0.732626787016048</v>
      </c>
      <c r="D5719">
        <v>0.86365314404954896</v>
      </c>
      <c r="E5719">
        <v>0.84091506820999695</v>
      </c>
    </row>
    <row r="5720" spans="1:5" x14ac:dyDescent="0.2">
      <c r="A5720">
        <v>0.42481333333333299</v>
      </c>
      <c r="B5720">
        <v>0.76199638305276896</v>
      </c>
      <c r="C5720">
        <v>0.73279386527460599</v>
      </c>
      <c r="D5720">
        <v>0.86375236292657698</v>
      </c>
      <c r="E5720">
        <v>0.84101360311459195</v>
      </c>
    </row>
    <row r="5721" spans="1:5" x14ac:dyDescent="0.2">
      <c r="A5721">
        <v>0.42508000000000001</v>
      </c>
      <c r="B5721">
        <v>0.76214821886788098</v>
      </c>
      <c r="C5721">
        <v>0.73296087674708499</v>
      </c>
      <c r="D5721">
        <v>0.86385152872490201</v>
      </c>
      <c r="E5721">
        <v>0.841112126971718</v>
      </c>
    </row>
    <row r="5722" spans="1:5" x14ac:dyDescent="0.2">
      <c r="A5722">
        <v>0.42534666666666698</v>
      </c>
      <c r="B5722">
        <v>0.76229998967985202</v>
      </c>
      <c r="C5722">
        <v>0.73312782150196798</v>
      </c>
      <c r="D5722">
        <v>0.86395064147624201</v>
      </c>
      <c r="E5722">
        <v>0.84121063976409904</v>
      </c>
    </row>
    <row r="5723" spans="1:5" x14ac:dyDescent="0.2">
      <c r="A5723">
        <v>0.42561333333333301</v>
      </c>
      <c r="B5723">
        <v>0.76245169555729997</v>
      </c>
      <c r="C5723">
        <v>0.73329469960773896</v>
      </c>
      <c r="D5723">
        <v>0.86404970121231495</v>
      </c>
      <c r="E5723">
        <v>0.84130914147445901</v>
      </c>
    </row>
    <row r="5724" spans="1:5" x14ac:dyDescent="0.2">
      <c r="A5724">
        <v>0.42587999999999998</v>
      </c>
      <c r="B5724">
        <v>0.76260333656884105</v>
      </c>
      <c r="C5724">
        <v>0.73346151113288105</v>
      </c>
      <c r="D5724">
        <v>0.864148707964839</v>
      </c>
      <c r="E5724">
        <v>0.84140763208552205</v>
      </c>
    </row>
    <row r="5725" spans="1:5" x14ac:dyDescent="0.2">
      <c r="A5725">
        <v>0.42614666666666701</v>
      </c>
      <c r="B5725">
        <v>0.76275491278309304</v>
      </c>
      <c r="C5725">
        <v>0.73362825614587801</v>
      </c>
      <c r="D5725">
        <v>0.86424766176553103</v>
      </c>
      <c r="E5725">
        <v>0.84150611158001298</v>
      </c>
    </row>
    <row r="5726" spans="1:5" x14ac:dyDescent="0.2">
      <c r="A5726">
        <v>0.42641333333333298</v>
      </c>
      <c r="B5726">
        <v>0.76290642426867195</v>
      </c>
      <c r="C5726">
        <v>0.73379493471521295</v>
      </c>
      <c r="D5726">
        <v>0.86434656264610898</v>
      </c>
      <c r="E5726">
        <v>0.84160457994065596</v>
      </c>
    </row>
    <row r="5727" spans="1:5" x14ac:dyDescent="0.2">
      <c r="A5727">
        <v>0.42668</v>
      </c>
      <c r="B5727">
        <v>0.76305787109419598</v>
      </c>
      <c r="C5727">
        <v>0.73396154690936999</v>
      </c>
      <c r="D5727">
        <v>0.86444541063829095</v>
      </c>
      <c r="E5727">
        <v>0.84170303715017403</v>
      </c>
    </row>
    <row r="5728" spans="1:5" x14ac:dyDescent="0.2">
      <c r="A5728">
        <v>0.42694666666666697</v>
      </c>
      <c r="B5728">
        <v>0.76320925332828204</v>
      </c>
      <c r="C5728">
        <v>0.734128092796833</v>
      </c>
      <c r="D5728">
        <v>0.86454420577379498</v>
      </c>
      <c r="E5728">
        <v>0.841801483191294</v>
      </c>
    </row>
    <row r="5729" spans="1:5" x14ac:dyDescent="0.2">
      <c r="A5729">
        <v>0.427213333333333</v>
      </c>
      <c r="B5729">
        <v>0.76336057103954602</v>
      </c>
      <c r="C5729">
        <v>0.73429457244608398</v>
      </c>
      <c r="D5729">
        <v>0.86464294808433795</v>
      </c>
      <c r="E5729">
        <v>0.84189991804673803</v>
      </c>
    </row>
    <row r="5730" spans="1:5" x14ac:dyDescent="0.2">
      <c r="A5730">
        <v>0.42748000000000003</v>
      </c>
      <c r="B5730">
        <v>0.76351182429660702</v>
      </c>
      <c r="C5730">
        <v>0.73446098592560805</v>
      </c>
      <c r="D5730">
        <v>0.86474163760163902</v>
      </c>
      <c r="E5730">
        <v>0.84199834169923105</v>
      </c>
    </row>
    <row r="5731" spans="1:5" x14ac:dyDescent="0.2">
      <c r="A5731">
        <v>0.427746666666667</v>
      </c>
      <c r="B5731">
        <v>0.76366301316808005</v>
      </c>
      <c r="C5731">
        <v>0.73462733330388796</v>
      </c>
      <c r="D5731">
        <v>0.86484027435741495</v>
      </c>
      <c r="E5731">
        <v>0.84209675413149698</v>
      </c>
    </row>
    <row r="5732" spans="1:5" x14ac:dyDescent="0.2">
      <c r="A5732">
        <v>0.42801333333333302</v>
      </c>
      <c r="B5732">
        <v>0.763814137722583</v>
      </c>
      <c r="C5732">
        <v>0.73479361464940696</v>
      </c>
      <c r="D5732">
        <v>0.86493885838338302</v>
      </c>
      <c r="E5732">
        <v>0.84219515532626199</v>
      </c>
    </row>
    <row r="5733" spans="1:5" x14ac:dyDescent="0.2">
      <c r="A5733">
        <v>0.42827999999999999</v>
      </c>
      <c r="B5733">
        <v>0.76396519802873397</v>
      </c>
      <c r="C5733">
        <v>0.73495983003064902</v>
      </c>
      <c r="D5733">
        <v>0.86503738971126198</v>
      </c>
      <c r="E5733">
        <v>0.842293545266247</v>
      </c>
    </row>
    <row r="5734" spans="1:5" x14ac:dyDescent="0.2">
      <c r="A5734">
        <v>0.42854666666666702</v>
      </c>
      <c r="B5734">
        <v>0.76411619415514798</v>
      </c>
      <c r="C5734">
        <v>0.73512597951609804</v>
      </c>
      <c r="D5734">
        <v>0.86513586837276901</v>
      </c>
      <c r="E5734">
        <v>0.84239192393418005</v>
      </c>
    </row>
    <row r="5735" spans="1:5" x14ac:dyDescent="0.2">
      <c r="A5735">
        <v>0.42881333333333299</v>
      </c>
      <c r="B5735">
        <v>0.76426712617044401</v>
      </c>
      <c r="C5735">
        <v>0.73529206317423701</v>
      </c>
      <c r="D5735">
        <v>0.86523429439962296</v>
      </c>
      <c r="E5735">
        <v>0.84249029131278197</v>
      </c>
    </row>
    <row r="5736" spans="1:5" x14ac:dyDescent="0.2">
      <c r="A5736">
        <v>0.42908000000000002</v>
      </c>
      <c r="B5736">
        <v>0.76441799414323797</v>
      </c>
      <c r="C5736">
        <v>0.73545808107354904</v>
      </c>
      <c r="D5736">
        <v>0.86533266782354001</v>
      </c>
      <c r="E5736">
        <v>0.84258864738478001</v>
      </c>
    </row>
    <row r="5737" spans="1:5" x14ac:dyDescent="0.2">
      <c r="A5737">
        <v>0.42934666666666699</v>
      </c>
      <c r="B5737">
        <v>0.76456879814214695</v>
      </c>
      <c r="C5737">
        <v>0.73562403328251802</v>
      </c>
      <c r="D5737">
        <v>0.86543098867624002</v>
      </c>
      <c r="E5737">
        <v>0.842686992132896</v>
      </c>
    </row>
    <row r="5738" spans="1:5" x14ac:dyDescent="0.2">
      <c r="A5738">
        <v>0.42961333333333301</v>
      </c>
      <c r="B5738">
        <v>0.76471953823578798</v>
      </c>
      <c r="C5738">
        <v>0.73578991986962805</v>
      </c>
      <c r="D5738">
        <v>0.86552925698943795</v>
      </c>
      <c r="E5738">
        <v>0.84278532553985597</v>
      </c>
    </row>
    <row r="5739" spans="1:5" x14ac:dyDescent="0.2">
      <c r="A5739">
        <v>0.42987999999999998</v>
      </c>
      <c r="B5739">
        <v>0.76487021449277903</v>
      </c>
      <c r="C5739">
        <v>0.73595574090336202</v>
      </c>
      <c r="D5739">
        <v>0.86562747279485397</v>
      </c>
      <c r="E5739">
        <v>0.84288364758838297</v>
      </c>
    </row>
    <row r="5740" spans="1:5" x14ac:dyDescent="0.2">
      <c r="A5740">
        <v>0.43014666666666701</v>
      </c>
      <c r="B5740">
        <v>0.76502082698162399</v>
      </c>
      <c r="C5740">
        <v>0.73612149645209302</v>
      </c>
      <c r="D5740">
        <v>0.86572563612420494</v>
      </c>
      <c r="E5740">
        <v>0.84298195826120204</v>
      </c>
    </row>
    <row r="5741" spans="1:5" x14ac:dyDescent="0.2">
      <c r="A5741">
        <v>0.43041333333333298</v>
      </c>
      <c r="B5741">
        <v>0.76517137576876204</v>
      </c>
      <c r="C5741">
        <v>0.73628718658214998</v>
      </c>
      <c r="D5741">
        <v>0.86582374700920905</v>
      </c>
      <c r="E5741">
        <v>0.84308025754103799</v>
      </c>
    </row>
    <row r="5742" spans="1:5" x14ac:dyDescent="0.2">
      <c r="A5742">
        <v>0.43068000000000001</v>
      </c>
      <c r="B5742">
        <v>0.76532186091881804</v>
      </c>
      <c r="C5742">
        <v>0.73645281135807295</v>
      </c>
      <c r="D5742">
        <v>0.86592180548158304</v>
      </c>
      <c r="E5742">
        <v>0.84317854541061299</v>
      </c>
    </row>
    <row r="5743" spans="1:5" x14ac:dyDescent="0.2">
      <c r="A5743">
        <v>0.43094666666666698</v>
      </c>
      <c r="B5743">
        <v>0.76547228249635502</v>
      </c>
      <c r="C5743">
        <v>0.73661837084433901</v>
      </c>
      <c r="D5743">
        <v>0.86601981157304597</v>
      </c>
      <c r="E5743">
        <v>0.84327682185265396</v>
      </c>
    </row>
    <row r="5744" spans="1:5" x14ac:dyDescent="0.2">
      <c r="A5744">
        <v>0.431213333333333</v>
      </c>
      <c r="B5744">
        <v>0.76562264056593898</v>
      </c>
      <c r="C5744">
        <v>0.73678386510542704</v>
      </c>
      <c r="D5744">
        <v>0.86611776531531504</v>
      </c>
      <c r="E5744">
        <v>0.84337508684988405</v>
      </c>
    </row>
    <row r="5745" spans="1:5" x14ac:dyDescent="0.2">
      <c r="A5745">
        <v>0.43147999999999997</v>
      </c>
      <c r="B5745">
        <v>0.76577293519213097</v>
      </c>
      <c r="C5745">
        <v>0.73694929420581301</v>
      </c>
      <c r="D5745">
        <v>0.86621566674010797</v>
      </c>
      <c r="E5745">
        <v>0.84347334038502697</v>
      </c>
    </row>
    <row r="5746" spans="1:5" x14ac:dyDescent="0.2">
      <c r="A5746">
        <v>0.431746666666667</v>
      </c>
      <c r="B5746">
        <v>0.76592316643949698</v>
      </c>
      <c r="C5746">
        <v>0.73711465820997601</v>
      </c>
      <c r="D5746">
        <v>0.86631351587914196</v>
      </c>
      <c r="E5746">
        <v>0.84357158244080699</v>
      </c>
    </row>
    <row r="5747" spans="1:5" x14ac:dyDescent="0.2">
      <c r="A5747">
        <v>0.43201333333333303</v>
      </c>
      <c r="B5747">
        <v>0.76607333437259895</v>
      </c>
      <c r="C5747">
        <v>0.73727995718239303</v>
      </c>
      <c r="D5747">
        <v>0.86641131276413597</v>
      </c>
      <c r="E5747">
        <v>0.84366981299994903</v>
      </c>
    </row>
    <row r="5748" spans="1:5" x14ac:dyDescent="0.2">
      <c r="A5748">
        <v>0.43228</v>
      </c>
      <c r="B5748">
        <v>0.76622343905600299</v>
      </c>
      <c r="C5748">
        <v>0.73744519118754104</v>
      </c>
      <c r="D5748">
        <v>0.86650905742680795</v>
      </c>
      <c r="E5748">
        <v>0.84376803204517803</v>
      </c>
    </row>
    <row r="5749" spans="1:5" x14ac:dyDescent="0.2">
      <c r="A5749">
        <v>0.43254666666666702</v>
      </c>
      <c r="B5749">
        <v>0.76637348055427001</v>
      </c>
      <c r="C5749">
        <v>0.73761036028990001</v>
      </c>
      <c r="D5749">
        <v>0.86660674989887398</v>
      </c>
      <c r="E5749">
        <v>0.84386623955921702</v>
      </c>
    </row>
    <row r="5750" spans="1:5" x14ac:dyDescent="0.2">
      <c r="A5750">
        <v>0.43281333333333299</v>
      </c>
      <c r="B5750">
        <v>0.76652345893196605</v>
      </c>
      <c r="C5750">
        <v>0.73777546455394505</v>
      </c>
      <c r="D5750">
        <v>0.86670439021205303</v>
      </c>
      <c r="E5750">
        <v>0.84396443552479095</v>
      </c>
    </row>
    <row r="5751" spans="1:5" x14ac:dyDescent="0.2">
      <c r="A5751">
        <v>0.43308000000000002</v>
      </c>
      <c r="B5751">
        <v>0.76667337425365401</v>
      </c>
      <c r="C5751">
        <v>0.73794050404415601</v>
      </c>
      <c r="D5751">
        <v>0.86680197839806294</v>
      </c>
      <c r="E5751">
        <v>0.84406261992462395</v>
      </c>
    </row>
    <row r="5752" spans="1:5" x14ac:dyDescent="0.2">
      <c r="A5752">
        <v>0.43334666666666699</v>
      </c>
      <c r="B5752">
        <v>0.76682322658389801</v>
      </c>
      <c r="C5752">
        <v>0.73810547882500899</v>
      </c>
      <c r="D5752">
        <v>0.86689951448862101</v>
      </c>
      <c r="E5752">
        <v>0.84416079274143996</v>
      </c>
    </row>
    <row r="5753" spans="1:5" x14ac:dyDescent="0.2">
      <c r="A5753">
        <v>0.43361333333333302</v>
      </c>
      <c r="B5753">
        <v>0.76697301598726098</v>
      </c>
      <c r="C5753">
        <v>0.73827038896098296</v>
      </c>
      <c r="D5753">
        <v>0.86699699851544598</v>
      </c>
      <c r="E5753">
        <v>0.84425895395796302</v>
      </c>
    </row>
    <row r="5754" spans="1:5" x14ac:dyDescent="0.2">
      <c r="A5754">
        <v>0.43387999999999999</v>
      </c>
      <c r="B5754">
        <v>0.76712274252830703</v>
      </c>
      <c r="C5754">
        <v>0.73843523451655502</v>
      </c>
      <c r="D5754">
        <v>0.86709443051025403</v>
      </c>
      <c r="E5754">
        <v>0.84435710355691895</v>
      </c>
    </row>
    <row r="5755" spans="1:5" x14ac:dyDescent="0.2">
      <c r="A5755">
        <v>0.43414666666666701</v>
      </c>
      <c r="B5755">
        <v>0.76727240627160098</v>
      </c>
      <c r="C5755">
        <v>0.73860001555620303</v>
      </c>
      <c r="D5755">
        <v>0.86719181050476402</v>
      </c>
      <c r="E5755">
        <v>0.84445524152103102</v>
      </c>
    </row>
    <row r="5756" spans="1:5" x14ac:dyDescent="0.2">
      <c r="A5756">
        <v>0.43441333333333298</v>
      </c>
      <c r="B5756">
        <v>0.76742200728170595</v>
      </c>
      <c r="C5756">
        <v>0.73876473214440497</v>
      </c>
      <c r="D5756">
        <v>0.867289138530693</v>
      </c>
      <c r="E5756">
        <v>0.84455336783302304</v>
      </c>
    </row>
    <row r="5757" spans="1:5" x14ac:dyDescent="0.2">
      <c r="A5757">
        <v>0.43468000000000001</v>
      </c>
      <c r="B5757">
        <v>0.76757154562318497</v>
      </c>
      <c r="C5757">
        <v>0.73892938434563704</v>
      </c>
      <c r="D5757">
        <v>0.86738641461975996</v>
      </c>
      <c r="E5757">
        <v>0.84465148247562005</v>
      </c>
    </row>
    <row r="5758" spans="1:5" x14ac:dyDescent="0.2">
      <c r="A5758">
        <v>0.43494666666666698</v>
      </c>
      <c r="B5758">
        <v>0.76772102136060205</v>
      </c>
      <c r="C5758">
        <v>0.739093972224379</v>
      </c>
      <c r="D5758">
        <v>0.86748363880368196</v>
      </c>
      <c r="E5758">
        <v>0.84474958543154599</v>
      </c>
    </row>
    <row r="5759" spans="1:5" x14ac:dyDescent="0.2">
      <c r="A5759">
        <v>0.43521333333333301</v>
      </c>
      <c r="B5759">
        <v>0.767870434558522</v>
      </c>
      <c r="C5759">
        <v>0.73925849584510805</v>
      </c>
      <c r="D5759">
        <v>0.86758081111417695</v>
      </c>
      <c r="E5759">
        <v>0.84484767668352501</v>
      </c>
    </row>
    <row r="5760" spans="1:5" x14ac:dyDescent="0.2">
      <c r="A5760">
        <v>0.43547999999999998</v>
      </c>
      <c r="B5760">
        <v>0.76801978528150805</v>
      </c>
      <c r="C5760">
        <v>0.73942295527230095</v>
      </c>
      <c r="D5760">
        <v>0.86767793158296203</v>
      </c>
      <c r="E5760">
        <v>0.84494575621428203</v>
      </c>
    </row>
    <row r="5761" spans="1:5" x14ac:dyDescent="0.2">
      <c r="A5761">
        <v>0.435746666666667</v>
      </c>
      <c r="B5761">
        <v>0.76816907359412301</v>
      </c>
      <c r="C5761">
        <v>0.73958735057043601</v>
      </c>
      <c r="D5761">
        <v>0.86777500024175502</v>
      </c>
      <c r="E5761">
        <v>0.84504382400653999</v>
      </c>
    </row>
    <row r="5762" spans="1:5" x14ac:dyDescent="0.2">
      <c r="A5762">
        <v>0.43601333333333298</v>
      </c>
      <c r="B5762">
        <v>0.76831829956093201</v>
      </c>
      <c r="C5762">
        <v>0.73975168180398998</v>
      </c>
      <c r="D5762">
        <v>0.86787201712227502</v>
      </c>
      <c r="E5762">
        <v>0.84514188004302504</v>
      </c>
    </row>
    <row r="5763" spans="1:5" x14ac:dyDescent="0.2">
      <c r="A5763">
        <v>0.43628</v>
      </c>
      <c r="B5763">
        <v>0.76846746324649795</v>
      </c>
      <c r="C5763">
        <v>0.73991594903744295</v>
      </c>
      <c r="D5763">
        <v>0.86796898225623897</v>
      </c>
      <c r="E5763">
        <v>0.84523992430646</v>
      </c>
    </row>
    <row r="5764" spans="1:5" x14ac:dyDescent="0.2">
      <c r="A5764">
        <v>0.43654666666666703</v>
      </c>
      <c r="B5764">
        <v>0.76861656471538498</v>
      </c>
      <c r="C5764">
        <v>0.74008015233527102</v>
      </c>
      <c r="D5764">
        <v>0.86806589567536396</v>
      </c>
      <c r="E5764">
        <v>0.84533795677957002</v>
      </c>
    </row>
    <row r="5765" spans="1:5" x14ac:dyDescent="0.2">
      <c r="A5765">
        <v>0.436813333333333</v>
      </c>
      <c r="B5765">
        <v>0.76876560403215799</v>
      </c>
      <c r="C5765">
        <v>0.74024429176195095</v>
      </c>
      <c r="D5765">
        <v>0.86816275741136895</v>
      </c>
      <c r="E5765">
        <v>0.84543597744507903</v>
      </c>
    </row>
    <row r="5766" spans="1:5" x14ac:dyDescent="0.2">
      <c r="A5766">
        <v>0.43708000000000002</v>
      </c>
      <c r="B5766">
        <v>0.76891458126137802</v>
      </c>
      <c r="C5766">
        <v>0.74040836738196303</v>
      </c>
      <c r="D5766">
        <v>0.868259567495972</v>
      </c>
      <c r="E5766">
        <v>0.84553398628571097</v>
      </c>
    </row>
    <row r="5767" spans="1:5" x14ac:dyDescent="0.2">
      <c r="A5767">
        <v>0.43734666666666699</v>
      </c>
      <c r="B5767">
        <v>0.76906349646761096</v>
      </c>
      <c r="C5767">
        <v>0.74057237925978303</v>
      </c>
      <c r="D5767">
        <v>0.86835632596088896</v>
      </c>
      <c r="E5767">
        <v>0.84563198328419098</v>
      </c>
    </row>
    <row r="5768" spans="1:5" x14ac:dyDescent="0.2">
      <c r="A5768">
        <v>0.43761333333333302</v>
      </c>
      <c r="B5768">
        <v>0.76921234971542096</v>
      </c>
      <c r="C5768">
        <v>0.74073632745988904</v>
      </c>
      <c r="D5768">
        <v>0.86845303283783903</v>
      </c>
      <c r="E5768">
        <v>0.84572996842324299</v>
      </c>
    </row>
    <row r="5769" spans="1:5" x14ac:dyDescent="0.2">
      <c r="A5769">
        <v>0.43787999999999999</v>
      </c>
      <c r="B5769">
        <v>0.76936114106937004</v>
      </c>
      <c r="C5769">
        <v>0.74090021204675804</v>
      </c>
      <c r="D5769">
        <v>0.86854968815853995</v>
      </c>
      <c r="E5769">
        <v>0.84582794168559094</v>
      </c>
    </row>
    <row r="5770" spans="1:5" x14ac:dyDescent="0.2">
      <c r="A5770">
        <v>0.43814666666666702</v>
      </c>
      <c r="B5770">
        <v>0.76950987059402298</v>
      </c>
      <c r="C5770">
        <v>0.74106403308487001</v>
      </c>
      <c r="D5770">
        <v>0.86864629195470899</v>
      </c>
      <c r="E5770">
        <v>0.84592590305395898</v>
      </c>
    </row>
    <row r="5771" spans="1:5" x14ac:dyDescent="0.2">
      <c r="A5771">
        <v>0.43841333333333299</v>
      </c>
      <c r="B5771">
        <v>0.76965853835394304</v>
      </c>
      <c r="C5771">
        <v>0.74122779063870003</v>
      </c>
      <c r="D5771">
        <v>0.86874284425806403</v>
      </c>
      <c r="E5771">
        <v>0.84602385251107204</v>
      </c>
    </row>
    <row r="5772" spans="1:5" x14ac:dyDescent="0.2">
      <c r="A5772">
        <v>0.43868000000000001</v>
      </c>
      <c r="B5772">
        <v>0.76980714441369402</v>
      </c>
      <c r="C5772">
        <v>0.74139148477272798</v>
      </c>
      <c r="D5772">
        <v>0.86883934510032301</v>
      </c>
      <c r="E5772">
        <v>0.84612179003965404</v>
      </c>
    </row>
    <row r="5773" spans="1:5" x14ac:dyDescent="0.2">
      <c r="A5773">
        <v>0.43894666666666698</v>
      </c>
      <c r="B5773">
        <v>0.76995568883784105</v>
      </c>
      <c r="C5773">
        <v>0.74155511555143006</v>
      </c>
      <c r="D5773">
        <v>0.86893579451320402</v>
      </c>
      <c r="E5773">
        <v>0.84621971562242904</v>
      </c>
    </row>
    <row r="5774" spans="1:5" x14ac:dyDescent="0.2">
      <c r="A5774">
        <v>0.43921333333333301</v>
      </c>
      <c r="B5774">
        <v>0.77010417169094603</v>
      </c>
      <c r="C5774">
        <v>0.74171868303928501</v>
      </c>
      <c r="D5774">
        <v>0.86903219252842501</v>
      </c>
      <c r="E5774">
        <v>0.84631762924212195</v>
      </c>
    </row>
    <row r="5775" spans="1:5" x14ac:dyDescent="0.2">
      <c r="A5775">
        <v>0.43947999999999998</v>
      </c>
      <c r="B5775">
        <v>0.77025259303757398</v>
      </c>
      <c r="C5775">
        <v>0.74188218730077005</v>
      </c>
      <c r="D5775">
        <v>0.86912853917770205</v>
      </c>
      <c r="E5775">
        <v>0.84641553088145705</v>
      </c>
    </row>
    <row r="5776" spans="1:5" x14ac:dyDescent="0.2">
      <c r="A5776">
        <v>0.43974666666666701</v>
      </c>
      <c r="B5776">
        <v>0.77040095294228805</v>
      </c>
      <c r="C5776">
        <v>0.74204562840036203</v>
      </c>
      <c r="D5776">
        <v>0.86922483449275501</v>
      </c>
      <c r="E5776">
        <v>0.84651342052315803</v>
      </c>
    </row>
    <row r="5777" spans="1:5" x14ac:dyDescent="0.2">
      <c r="A5777">
        <v>0.44001333333333298</v>
      </c>
      <c r="B5777">
        <v>0.77054925146965303</v>
      </c>
      <c r="C5777">
        <v>0.74220900640254095</v>
      </c>
      <c r="D5777">
        <v>0.86932107850530105</v>
      </c>
      <c r="E5777">
        <v>0.84661129814994895</v>
      </c>
    </row>
    <row r="5778" spans="1:5" x14ac:dyDescent="0.2">
      <c r="A5778">
        <v>0.44028</v>
      </c>
      <c r="B5778">
        <v>0.770697488683455</v>
      </c>
      <c r="C5778">
        <v>0.74237232137104903</v>
      </c>
      <c r="D5778">
        <v>0.86941727124705703</v>
      </c>
      <c r="E5778">
        <v>0.84670916374455496</v>
      </c>
    </row>
    <row r="5779" spans="1:5" x14ac:dyDescent="0.2">
      <c r="A5779">
        <v>0.44054666666666698</v>
      </c>
      <c r="B5779">
        <v>0.77084566464481097</v>
      </c>
      <c r="C5779">
        <v>0.74253557336710796</v>
      </c>
      <c r="D5779">
        <v>0.86951341274974203</v>
      </c>
      <c r="E5779">
        <v>0.84680701728969998</v>
      </c>
    </row>
    <row r="5780" spans="1:5" x14ac:dyDescent="0.2">
      <c r="A5780">
        <v>0.440813333333333</v>
      </c>
      <c r="B5780">
        <v>0.77099377941426295</v>
      </c>
      <c r="C5780">
        <v>0.74269876245139599</v>
      </c>
      <c r="D5780">
        <v>0.86960950304507301</v>
      </c>
      <c r="E5780">
        <v>0.84690485876810795</v>
      </c>
    </row>
    <row r="5781" spans="1:5" x14ac:dyDescent="0.2">
      <c r="A5781">
        <v>0.44108000000000003</v>
      </c>
      <c r="B5781">
        <v>0.77114183305234996</v>
      </c>
      <c r="C5781">
        <v>0.74286188868459002</v>
      </c>
      <c r="D5781">
        <v>0.86970554216476703</v>
      </c>
      <c r="E5781">
        <v>0.84700268816250401</v>
      </c>
    </row>
    <row r="5782" spans="1:5" x14ac:dyDescent="0.2">
      <c r="A5782">
        <v>0.441346666666667</v>
      </c>
      <c r="B5782">
        <v>0.77128982561961501</v>
      </c>
      <c r="C5782">
        <v>0.74302495212736697</v>
      </c>
      <c r="D5782">
        <v>0.86980153014054395</v>
      </c>
      <c r="E5782">
        <v>0.847100505455612</v>
      </c>
    </row>
    <row r="5783" spans="1:5" x14ac:dyDescent="0.2">
      <c r="A5783">
        <v>0.44161333333333302</v>
      </c>
      <c r="B5783">
        <v>0.77143775717659901</v>
      </c>
      <c r="C5783">
        <v>0.74318795284040595</v>
      </c>
      <c r="D5783">
        <v>0.86989746700411996</v>
      </c>
      <c r="E5783">
        <v>0.84719831063015505</v>
      </c>
    </row>
    <row r="5784" spans="1:5" x14ac:dyDescent="0.2">
      <c r="A5784">
        <v>0.44188</v>
      </c>
      <c r="B5784">
        <v>0.77158562778384199</v>
      </c>
      <c r="C5784">
        <v>0.743350890884385</v>
      </c>
      <c r="D5784">
        <v>0.86999335278721301</v>
      </c>
      <c r="E5784">
        <v>0.84729610366885999</v>
      </c>
    </row>
    <row r="5785" spans="1:5" x14ac:dyDescent="0.2">
      <c r="A5785">
        <v>0.44214666666666702</v>
      </c>
      <c r="B5785">
        <v>0.77173343750188605</v>
      </c>
      <c r="C5785">
        <v>0.74351376631997901</v>
      </c>
      <c r="D5785">
        <v>0.87008918752154196</v>
      </c>
      <c r="E5785">
        <v>0.84739388455444897</v>
      </c>
    </row>
    <row r="5786" spans="1:5" x14ac:dyDescent="0.2">
      <c r="A5786">
        <v>0.44241333333333299</v>
      </c>
      <c r="B5786">
        <v>0.77188118639127301</v>
      </c>
      <c r="C5786">
        <v>0.743676579207868</v>
      </c>
      <c r="D5786">
        <v>0.87018497123882299</v>
      </c>
      <c r="E5786">
        <v>0.84749165326964604</v>
      </c>
    </row>
    <row r="5787" spans="1:5" x14ac:dyDescent="0.2">
      <c r="A5787">
        <v>0.44268000000000002</v>
      </c>
      <c r="B5787">
        <v>0.77202887451254298</v>
      </c>
      <c r="C5787">
        <v>0.74383932960873</v>
      </c>
      <c r="D5787">
        <v>0.87028070397077495</v>
      </c>
      <c r="E5787">
        <v>0.84758940979717801</v>
      </c>
    </row>
    <row r="5788" spans="1:5" x14ac:dyDescent="0.2">
      <c r="A5788">
        <v>0.44294666666666699</v>
      </c>
      <c r="B5788">
        <v>0.77217650192623699</v>
      </c>
      <c r="C5788">
        <v>0.74400201758324003</v>
      </c>
      <c r="D5788">
        <v>0.87037638574911502</v>
      </c>
      <c r="E5788">
        <v>0.84768715411976603</v>
      </c>
    </row>
    <row r="5789" spans="1:5" x14ac:dyDescent="0.2">
      <c r="A5789">
        <v>0.44321333333333301</v>
      </c>
      <c r="B5789">
        <v>0.77232406869289705</v>
      </c>
      <c r="C5789">
        <v>0.74416464319207798</v>
      </c>
      <c r="D5789">
        <v>0.87047201660556095</v>
      </c>
      <c r="E5789">
        <v>0.84778488622013704</v>
      </c>
    </row>
    <row r="5790" spans="1:5" x14ac:dyDescent="0.2">
      <c r="A5790">
        <v>0.44347999999999999</v>
      </c>
      <c r="B5790">
        <v>0.77247157487306395</v>
      </c>
      <c r="C5790">
        <v>0.74432720649592099</v>
      </c>
      <c r="D5790">
        <v>0.87056759657183103</v>
      </c>
      <c r="E5790">
        <v>0.84788260608101396</v>
      </c>
    </row>
    <row r="5791" spans="1:5" x14ac:dyDescent="0.2">
      <c r="A5791">
        <v>0.44374666666666701</v>
      </c>
      <c r="B5791">
        <v>0.77261902052727904</v>
      </c>
      <c r="C5791">
        <v>0.74448970755544697</v>
      </c>
      <c r="D5791">
        <v>0.87066312567964399</v>
      </c>
      <c r="E5791">
        <v>0.84798031368512095</v>
      </c>
    </row>
    <row r="5792" spans="1:5" x14ac:dyDescent="0.2">
      <c r="A5792">
        <v>0.44401333333333298</v>
      </c>
      <c r="B5792">
        <v>0.77276640571608302</v>
      </c>
      <c r="C5792">
        <v>0.74465214643133204</v>
      </c>
      <c r="D5792">
        <v>0.87075860396071503</v>
      </c>
      <c r="E5792">
        <v>0.84807800901518304</v>
      </c>
    </row>
    <row r="5793" spans="1:5" x14ac:dyDescent="0.2">
      <c r="A5793">
        <v>0.44428000000000001</v>
      </c>
      <c r="B5793">
        <v>0.77291373050001699</v>
      </c>
      <c r="C5793">
        <v>0.74481452318425501</v>
      </c>
      <c r="D5793">
        <v>0.87085403144676399</v>
      </c>
      <c r="E5793">
        <v>0.84817569205392296</v>
      </c>
    </row>
    <row r="5794" spans="1:5" x14ac:dyDescent="0.2">
      <c r="A5794">
        <v>0.44454666666666698</v>
      </c>
      <c r="B5794">
        <v>0.77306099493962299</v>
      </c>
      <c r="C5794">
        <v>0.74497683787489399</v>
      </c>
      <c r="D5794">
        <v>0.87094940816950805</v>
      </c>
      <c r="E5794">
        <v>0.84827336278406695</v>
      </c>
    </row>
    <row r="5795" spans="1:5" x14ac:dyDescent="0.2">
      <c r="A5795">
        <v>0.44481333333333301</v>
      </c>
      <c r="B5795">
        <v>0.77320819909544203</v>
      </c>
      <c r="C5795">
        <v>0.74513909056392602</v>
      </c>
      <c r="D5795">
        <v>0.87104473416066497</v>
      </c>
      <c r="E5795">
        <v>0.84837102118833896</v>
      </c>
    </row>
    <row r="5796" spans="1:5" x14ac:dyDescent="0.2">
      <c r="A5796">
        <v>0.44507999999999998</v>
      </c>
      <c r="B5796">
        <v>0.77335534302801401</v>
      </c>
      <c r="C5796">
        <v>0.745301281312029</v>
      </c>
      <c r="D5796">
        <v>0.87114000945195202</v>
      </c>
      <c r="E5796">
        <v>0.84846866724946202</v>
      </c>
    </row>
    <row r="5797" spans="1:5" x14ac:dyDescent="0.2">
      <c r="A5797">
        <v>0.445346666666667</v>
      </c>
      <c r="B5797">
        <v>0.77350242679788195</v>
      </c>
      <c r="C5797">
        <v>0.74546341017987905</v>
      </c>
      <c r="D5797">
        <v>0.87123523407508796</v>
      </c>
      <c r="E5797">
        <v>0.84856630095016194</v>
      </c>
    </row>
    <row r="5798" spans="1:5" x14ac:dyDescent="0.2">
      <c r="A5798">
        <v>0.44561333333333297</v>
      </c>
      <c r="B5798">
        <v>0.77364945046558498</v>
      </c>
      <c r="C5798">
        <v>0.74562547722815598</v>
      </c>
      <c r="D5798">
        <v>0.87133040806178996</v>
      </c>
      <c r="E5798">
        <v>0.84866392227316201</v>
      </c>
    </row>
    <row r="5799" spans="1:5" x14ac:dyDescent="0.2">
      <c r="A5799">
        <v>0.44588</v>
      </c>
      <c r="B5799">
        <v>0.773796414091666</v>
      </c>
      <c r="C5799">
        <v>0.74578748251753701</v>
      </c>
      <c r="D5799">
        <v>0.87142553144377599</v>
      </c>
      <c r="E5799">
        <v>0.84876153120118603</v>
      </c>
    </row>
    <row r="5800" spans="1:5" x14ac:dyDescent="0.2">
      <c r="A5800">
        <v>0.44614666666666702</v>
      </c>
      <c r="B5800">
        <v>0.77394331773666603</v>
      </c>
      <c r="C5800">
        <v>0.74594942610869797</v>
      </c>
      <c r="D5800">
        <v>0.87152060425276401</v>
      </c>
      <c r="E5800">
        <v>0.84885912771696004</v>
      </c>
    </row>
    <row r="5801" spans="1:5" x14ac:dyDescent="0.2">
      <c r="A5801">
        <v>0.446413333333333</v>
      </c>
      <c r="B5801">
        <v>0.77409016146112597</v>
      </c>
      <c r="C5801">
        <v>0.74611130806231896</v>
      </c>
      <c r="D5801">
        <v>0.87161562652047098</v>
      </c>
      <c r="E5801">
        <v>0.84895671180320698</v>
      </c>
    </row>
    <row r="5802" spans="1:5" x14ac:dyDescent="0.2">
      <c r="A5802">
        <v>0.44668000000000002</v>
      </c>
      <c r="B5802">
        <v>0.77423694532558596</v>
      </c>
      <c r="C5802">
        <v>0.74627312843907601</v>
      </c>
      <c r="D5802">
        <v>0.87171059827861497</v>
      </c>
      <c r="E5802">
        <v>0.84905428344265099</v>
      </c>
    </row>
    <row r="5803" spans="1:5" x14ac:dyDescent="0.2">
      <c r="A5803">
        <v>0.44694666666666699</v>
      </c>
      <c r="B5803">
        <v>0.774383669390588</v>
      </c>
      <c r="C5803">
        <v>0.74643488729964702</v>
      </c>
      <c r="D5803">
        <v>0.87180551955891505</v>
      </c>
      <c r="E5803">
        <v>0.84915184261801802</v>
      </c>
    </row>
    <row r="5804" spans="1:5" x14ac:dyDescent="0.2">
      <c r="A5804">
        <v>0.44721333333333302</v>
      </c>
      <c r="B5804">
        <v>0.77453033371667401</v>
      </c>
      <c r="C5804">
        <v>0.74659658470471002</v>
      </c>
      <c r="D5804">
        <v>0.87190039039308698</v>
      </c>
      <c r="E5804">
        <v>0.84924938931202998</v>
      </c>
    </row>
    <row r="5805" spans="1:5" x14ac:dyDescent="0.2">
      <c r="A5805">
        <v>0.44747999999999999</v>
      </c>
      <c r="B5805">
        <v>0.774676938364384</v>
      </c>
      <c r="C5805">
        <v>0.74675822071494302</v>
      </c>
      <c r="D5805">
        <v>0.87199521081285003</v>
      </c>
      <c r="E5805">
        <v>0.84934692350741303</v>
      </c>
    </row>
    <row r="5806" spans="1:5" x14ac:dyDescent="0.2">
      <c r="A5806">
        <v>0.44774666666666701</v>
      </c>
      <c r="B5806">
        <v>0.77482348339425999</v>
      </c>
      <c r="C5806">
        <v>0.74691979539102205</v>
      </c>
      <c r="D5806">
        <v>0.87208998084992195</v>
      </c>
      <c r="E5806">
        <v>0.84944444518689</v>
      </c>
    </row>
    <row r="5807" spans="1:5" x14ac:dyDescent="0.2">
      <c r="A5807">
        <v>0.44801333333333299</v>
      </c>
      <c r="B5807">
        <v>0.774969968866842</v>
      </c>
      <c r="C5807">
        <v>0.747081308793626</v>
      </c>
      <c r="D5807">
        <v>0.87218470053602004</v>
      </c>
      <c r="E5807">
        <v>0.84954195433318602</v>
      </c>
    </row>
    <row r="5808" spans="1:5" x14ac:dyDescent="0.2">
      <c r="A5808">
        <v>0.44828000000000001</v>
      </c>
      <c r="B5808">
        <v>0.77511639484267303</v>
      </c>
      <c r="C5808">
        <v>0.74724276098343301</v>
      </c>
      <c r="D5808">
        <v>0.87227936990286103</v>
      </c>
      <c r="E5808">
        <v>0.84963945092902604</v>
      </c>
    </row>
    <row r="5809" spans="1:5" x14ac:dyDescent="0.2">
      <c r="A5809">
        <v>0.44854666666666698</v>
      </c>
      <c r="B5809">
        <v>0.775262761382292</v>
      </c>
      <c r="C5809">
        <v>0.74740415202111898</v>
      </c>
      <c r="D5809">
        <v>0.87237398898216501</v>
      </c>
      <c r="E5809">
        <v>0.84973693495713298</v>
      </c>
    </row>
    <row r="5810" spans="1:5" x14ac:dyDescent="0.2">
      <c r="A5810">
        <v>0.44881333333333301</v>
      </c>
      <c r="B5810">
        <v>0.77540906854624203</v>
      </c>
      <c r="C5810">
        <v>0.74756548196736305</v>
      </c>
      <c r="D5810">
        <v>0.87246855780564703</v>
      </c>
      <c r="E5810">
        <v>0.849834406400232</v>
      </c>
    </row>
    <row r="5811" spans="1:5" x14ac:dyDescent="0.2">
      <c r="A5811">
        <v>0.44907999999999998</v>
      </c>
      <c r="B5811">
        <v>0.77555531639506403</v>
      </c>
      <c r="C5811">
        <v>0.74772675088284302</v>
      </c>
      <c r="D5811">
        <v>0.87256307640502795</v>
      </c>
      <c r="E5811">
        <v>0.84993186524104702</v>
      </c>
    </row>
    <row r="5812" spans="1:5" x14ac:dyDescent="0.2">
      <c r="A5812">
        <v>0.44934666666666701</v>
      </c>
      <c r="B5812">
        <v>0.77570150498929802</v>
      </c>
      <c r="C5812">
        <v>0.747887958828235</v>
      </c>
      <c r="D5812">
        <v>0.87265754481202296</v>
      </c>
      <c r="E5812">
        <v>0.85002931146230298</v>
      </c>
    </row>
    <row r="5813" spans="1:5" x14ac:dyDescent="0.2">
      <c r="A5813">
        <v>0.44961333333333298</v>
      </c>
      <c r="B5813">
        <v>0.77584763438948601</v>
      </c>
      <c r="C5813">
        <v>0.74804910586421802</v>
      </c>
      <c r="D5813">
        <v>0.87275196305835101</v>
      </c>
      <c r="E5813">
        <v>0.85012674504672303</v>
      </c>
    </row>
    <row r="5814" spans="1:5" x14ac:dyDescent="0.2">
      <c r="A5814">
        <v>0.44988</v>
      </c>
      <c r="B5814">
        <v>0.77599370465616802</v>
      </c>
      <c r="C5814">
        <v>0.74821019205146899</v>
      </c>
      <c r="D5814">
        <v>0.87284633117572996</v>
      </c>
      <c r="E5814">
        <v>0.85022416597703199</v>
      </c>
    </row>
    <row r="5815" spans="1:5" x14ac:dyDescent="0.2">
      <c r="A5815">
        <v>0.45014666666666697</v>
      </c>
      <c r="B5815">
        <v>0.77613971584979602</v>
      </c>
      <c r="C5815">
        <v>0.74837121745057</v>
      </c>
      <c r="D5815">
        <v>0.87294064919587699</v>
      </c>
      <c r="E5815">
        <v>0.850321574235955</v>
      </c>
    </row>
    <row r="5816" spans="1:5" x14ac:dyDescent="0.2">
      <c r="A5816">
        <v>0.450413333333333</v>
      </c>
      <c r="B5816">
        <v>0.77628566802913901</v>
      </c>
      <c r="C5816">
        <v>0.74853218212035399</v>
      </c>
      <c r="D5816">
        <v>0.87303491715050996</v>
      </c>
      <c r="E5816">
        <v>0.85041896980621401</v>
      </c>
    </row>
    <row r="5817" spans="1:5" x14ac:dyDescent="0.2">
      <c r="A5817">
        <v>0.45068000000000003</v>
      </c>
      <c r="B5817">
        <v>0.77643156125149404</v>
      </c>
      <c r="C5817">
        <v>0.74869308611811203</v>
      </c>
      <c r="D5817">
        <v>0.87312913507134804</v>
      </c>
      <c r="E5817">
        <v>0.85051635267053605</v>
      </c>
    </row>
    <row r="5818" spans="1:5" x14ac:dyDescent="0.2">
      <c r="A5818">
        <v>0.450946666666667</v>
      </c>
      <c r="B5818">
        <v>0.77657739557410699</v>
      </c>
      <c r="C5818">
        <v>0.74885392950108898</v>
      </c>
      <c r="D5818">
        <v>0.87322330299010698</v>
      </c>
      <c r="E5818">
        <v>0.85061372281164405</v>
      </c>
    </row>
    <row r="5819" spans="1:5" x14ac:dyDescent="0.2">
      <c r="A5819">
        <v>0.45121333333333302</v>
      </c>
      <c r="B5819">
        <v>0.77672317105422595</v>
      </c>
      <c r="C5819">
        <v>0.74901471232652495</v>
      </c>
      <c r="D5819">
        <v>0.87331742093850495</v>
      </c>
      <c r="E5819">
        <v>0.85071108021226205</v>
      </c>
    </row>
    <row r="5820" spans="1:5" x14ac:dyDescent="0.2">
      <c r="A5820">
        <v>0.45147999999999999</v>
      </c>
      <c r="B5820">
        <v>0.77686888774909701</v>
      </c>
      <c r="C5820">
        <v>0.74917543465166303</v>
      </c>
      <c r="D5820">
        <v>0.87341148894826104</v>
      </c>
      <c r="E5820">
        <v>0.85080842485511499</v>
      </c>
    </row>
    <row r="5821" spans="1:5" x14ac:dyDescent="0.2">
      <c r="A5821">
        <v>0.45174666666666702</v>
      </c>
      <c r="B5821">
        <v>0.77701454571596595</v>
      </c>
      <c r="C5821">
        <v>0.749336096533745</v>
      </c>
      <c r="D5821">
        <v>0.87350550705109198</v>
      </c>
      <c r="E5821">
        <v>0.85090575672292701</v>
      </c>
    </row>
    <row r="5822" spans="1:5" x14ac:dyDescent="0.2">
      <c r="A5822">
        <v>0.45201333333333299</v>
      </c>
      <c r="B5822">
        <v>0.77716014501208097</v>
      </c>
      <c r="C5822">
        <v>0.74949669803001195</v>
      </c>
      <c r="D5822">
        <v>0.87359947527871595</v>
      </c>
      <c r="E5822">
        <v>0.85100307579842205</v>
      </c>
    </row>
    <row r="5823" spans="1:5" x14ac:dyDescent="0.2">
      <c r="A5823">
        <v>0.45228000000000002</v>
      </c>
      <c r="B5823">
        <v>0.77730568569468705</v>
      </c>
      <c r="C5823">
        <v>0.74965723919770699</v>
      </c>
      <c r="D5823">
        <v>0.87369339366285104</v>
      </c>
      <c r="E5823">
        <v>0.85110038206432403</v>
      </c>
    </row>
    <row r="5824" spans="1:5" x14ac:dyDescent="0.2">
      <c r="A5824">
        <v>0.45254666666666699</v>
      </c>
      <c r="B5824">
        <v>0.77745116782103196</v>
      </c>
      <c r="C5824">
        <v>0.74981772009407099</v>
      </c>
      <c r="D5824">
        <v>0.87378726223521297</v>
      </c>
      <c r="E5824">
        <v>0.85119767550335901</v>
      </c>
    </row>
    <row r="5825" spans="1:5" x14ac:dyDescent="0.2">
      <c r="A5825">
        <v>0.45281333333333301</v>
      </c>
      <c r="B5825">
        <v>0.77759659144836202</v>
      </c>
      <c r="C5825">
        <v>0.74997814077634695</v>
      </c>
      <c r="D5825">
        <v>0.87388108102752204</v>
      </c>
      <c r="E5825">
        <v>0.85129495609824901</v>
      </c>
    </row>
    <row r="5826" spans="1:5" x14ac:dyDescent="0.2">
      <c r="A5826">
        <v>0.45307999999999998</v>
      </c>
      <c r="B5826">
        <v>0.77774195663392398</v>
      </c>
      <c r="C5826">
        <v>0.75013850130177595</v>
      </c>
      <c r="D5826">
        <v>0.873974850071496</v>
      </c>
      <c r="E5826">
        <v>0.85139222383171997</v>
      </c>
    </row>
    <row r="5827" spans="1:5" x14ac:dyDescent="0.2">
      <c r="A5827">
        <v>0.45334666666666701</v>
      </c>
      <c r="B5827">
        <v>0.77788726343496395</v>
      </c>
      <c r="C5827">
        <v>0.75029880172760099</v>
      </c>
      <c r="D5827">
        <v>0.87406856939885003</v>
      </c>
      <c r="E5827">
        <v>0.85148947868649605</v>
      </c>
    </row>
    <row r="5828" spans="1:5" x14ac:dyDescent="0.2">
      <c r="A5828">
        <v>0.45361333333333298</v>
      </c>
      <c r="B5828">
        <v>0.77803251190873002</v>
      </c>
      <c r="C5828">
        <v>0.75045904211106296</v>
      </c>
      <c r="D5828">
        <v>0.87416223904130497</v>
      </c>
      <c r="E5828">
        <v>0.85158672064530005</v>
      </c>
    </row>
    <row r="5829" spans="1:5" x14ac:dyDescent="0.2">
      <c r="A5829">
        <v>0.45388000000000001</v>
      </c>
      <c r="B5829">
        <v>0.77817770211246695</v>
      </c>
      <c r="C5829">
        <v>0.75061922250940405</v>
      </c>
      <c r="D5829">
        <v>0.87425585903057601</v>
      </c>
      <c r="E5829">
        <v>0.85168394969085803</v>
      </c>
    </row>
    <row r="5830" spans="1:5" x14ac:dyDescent="0.2">
      <c r="A5830">
        <v>0.45414666666666698</v>
      </c>
      <c r="B5830">
        <v>0.77832283410342196</v>
      </c>
      <c r="C5830">
        <v>0.75077934297986704</v>
      </c>
      <c r="D5830">
        <v>0.874349429398383</v>
      </c>
      <c r="E5830">
        <v>0.85178116580589303</v>
      </c>
    </row>
    <row r="5831" spans="1:5" x14ac:dyDescent="0.2">
      <c r="A5831">
        <v>0.454413333333333</v>
      </c>
      <c r="B5831">
        <v>0.77846790793884302</v>
      </c>
      <c r="C5831">
        <v>0.75093940357969302</v>
      </c>
      <c r="D5831">
        <v>0.87444295017644302</v>
      </c>
      <c r="E5831">
        <v>0.85187836897312996</v>
      </c>
    </row>
    <row r="5832" spans="1:5" x14ac:dyDescent="0.2">
      <c r="A5832">
        <v>0.45467999999999997</v>
      </c>
      <c r="B5832">
        <v>0.77861292367597501</v>
      </c>
      <c r="C5832">
        <v>0.75109940436612399</v>
      </c>
      <c r="D5832">
        <v>0.87453642139647303</v>
      </c>
      <c r="E5832">
        <v>0.851975559175293</v>
      </c>
    </row>
    <row r="5833" spans="1:5" x14ac:dyDescent="0.2">
      <c r="A5833">
        <v>0.454946666666667</v>
      </c>
      <c r="B5833">
        <v>0.77875788137206503</v>
      </c>
      <c r="C5833">
        <v>0.75125934539640304</v>
      </c>
      <c r="D5833">
        <v>0.87462984309019198</v>
      </c>
      <c r="E5833">
        <v>0.85207273639510595</v>
      </c>
    </row>
    <row r="5834" spans="1:5" x14ac:dyDescent="0.2">
      <c r="A5834">
        <v>0.45521333333333303</v>
      </c>
      <c r="B5834">
        <v>0.77890278108436095</v>
      </c>
      <c r="C5834">
        <v>0.75141922672776995</v>
      </c>
      <c r="D5834">
        <v>0.87472321528931696</v>
      </c>
      <c r="E5834">
        <v>0.85216990061529496</v>
      </c>
    </row>
    <row r="5835" spans="1:5" x14ac:dyDescent="0.2">
      <c r="A5835">
        <v>0.45548</v>
      </c>
      <c r="B5835">
        <v>0.77904762287010798</v>
      </c>
      <c r="C5835">
        <v>0.75157904841746903</v>
      </c>
      <c r="D5835">
        <v>0.87481653802556503</v>
      </c>
      <c r="E5835">
        <v>0.85226705181858198</v>
      </c>
    </row>
    <row r="5836" spans="1:5" x14ac:dyDescent="0.2">
      <c r="A5836">
        <v>0.45574666666666702</v>
      </c>
      <c r="B5836">
        <v>0.77919240678655299</v>
      </c>
      <c r="C5836">
        <v>0.75173881052274105</v>
      </c>
      <c r="D5836">
        <v>0.87490981133065604</v>
      </c>
      <c r="E5836">
        <v>0.85236418998769203</v>
      </c>
    </row>
    <row r="5837" spans="1:5" x14ac:dyDescent="0.2">
      <c r="A5837">
        <v>0.45601333333333299</v>
      </c>
      <c r="B5837">
        <v>0.77933713289094297</v>
      </c>
      <c r="C5837">
        <v>0.751898513100828</v>
      </c>
      <c r="D5837">
        <v>0.87500303523630596</v>
      </c>
      <c r="E5837">
        <v>0.85246131510534995</v>
      </c>
    </row>
    <row r="5838" spans="1:5" x14ac:dyDescent="0.2">
      <c r="A5838">
        <v>0.45628000000000002</v>
      </c>
      <c r="B5838">
        <v>0.77948180124052502</v>
      </c>
      <c r="C5838">
        <v>0.75205815620897098</v>
      </c>
      <c r="D5838">
        <v>0.87509620977423397</v>
      </c>
      <c r="E5838">
        <v>0.85255842715427899</v>
      </c>
    </row>
    <row r="5839" spans="1:5" x14ac:dyDescent="0.2">
      <c r="A5839">
        <v>0.45654666666666699</v>
      </c>
      <c r="B5839">
        <v>0.779626411892545</v>
      </c>
      <c r="C5839">
        <v>0.75221773990441398</v>
      </c>
      <c r="D5839">
        <v>0.87518933497615603</v>
      </c>
      <c r="E5839">
        <v>0.85265552611720496</v>
      </c>
    </row>
    <row r="5840" spans="1:5" x14ac:dyDescent="0.2">
      <c r="A5840">
        <v>0.45681333333333302</v>
      </c>
      <c r="B5840">
        <v>0.77977096490424902</v>
      </c>
      <c r="C5840">
        <v>0.75237726424439799</v>
      </c>
      <c r="D5840">
        <v>0.87528241087379099</v>
      </c>
      <c r="E5840">
        <v>0.85275261197685104</v>
      </c>
    </row>
    <row r="5841" spans="1:5" x14ac:dyDescent="0.2">
      <c r="A5841">
        <v>0.45707999999999999</v>
      </c>
      <c r="B5841">
        <v>0.77991546033288495</v>
      </c>
      <c r="C5841">
        <v>0.752536729286165</v>
      </c>
      <c r="D5841">
        <v>0.87537543749885705</v>
      </c>
      <c r="E5841">
        <v>0.85284968471594103</v>
      </c>
    </row>
    <row r="5842" spans="1:5" x14ac:dyDescent="0.2">
      <c r="A5842">
        <v>0.45734666666666701</v>
      </c>
      <c r="B5842">
        <v>0.78005989823569999</v>
      </c>
      <c r="C5842">
        <v>0.75269613508695599</v>
      </c>
      <c r="D5842">
        <v>0.87546841488307203</v>
      </c>
      <c r="E5842">
        <v>0.85294674431720097</v>
      </c>
    </row>
    <row r="5843" spans="1:5" x14ac:dyDescent="0.2">
      <c r="A5843">
        <v>0.45761333333333298</v>
      </c>
      <c r="B5843">
        <v>0.78020427866993902</v>
      </c>
      <c r="C5843">
        <v>0.75285548170401495</v>
      </c>
      <c r="D5843">
        <v>0.87556134305815303</v>
      </c>
      <c r="E5843">
        <v>0.85304379076335402</v>
      </c>
    </row>
    <row r="5844" spans="1:5" x14ac:dyDescent="0.2">
      <c r="A5844">
        <v>0.45788000000000001</v>
      </c>
      <c r="B5844">
        <v>0.78034860169284903</v>
      </c>
      <c r="C5844">
        <v>0.75301476919458199</v>
      </c>
      <c r="D5844">
        <v>0.875654222055817</v>
      </c>
      <c r="E5844">
        <v>0.85314082403712399</v>
      </c>
    </row>
    <row r="5845" spans="1:5" x14ac:dyDescent="0.2">
      <c r="A5845">
        <v>0.45814666666666698</v>
      </c>
      <c r="B5845">
        <v>0.780492867361677</v>
      </c>
      <c r="C5845">
        <v>0.75317399761589998</v>
      </c>
      <c r="D5845">
        <v>0.87574705190778401</v>
      </c>
      <c r="E5845">
        <v>0.85323784412123604</v>
      </c>
    </row>
    <row r="5846" spans="1:5" x14ac:dyDescent="0.2">
      <c r="A5846">
        <v>0.45841333333333301</v>
      </c>
      <c r="B5846">
        <v>0.78063707573367003</v>
      </c>
      <c r="C5846">
        <v>0.75333316702521103</v>
      </c>
      <c r="D5846">
        <v>0.87583983264577003</v>
      </c>
      <c r="E5846">
        <v>0.853334850998414</v>
      </c>
    </row>
    <row r="5847" spans="1:5" x14ac:dyDescent="0.2">
      <c r="A5847">
        <v>0.45867999999999998</v>
      </c>
      <c r="B5847">
        <v>0.78078122686607498</v>
      </c>
      <c r="C5847">
        <v>0.753492277479756</v>
      </c>
      <c r="D5847">
        <v>0.87593256430149302</v>
      </c>
      <c r="E5847">
        <v>0.853431844651383</v>
      </c>
    </row>
    <row r="5848" spans="1:5" x14ac:dyDescent="0.2">
      <c r="A5848">
        <v>0.458946666666667</v>
      </c>
      <c r="B5848">
        <v>0.78092532081613697</v>
      </c>
      <c r="C5848">
        <v>0.75365132903677901</v>
      </c>
      <c r="D5848">
        <v>0.87602524690667105</v>
      </c>
      <c r="E5848">
        <v>0.85352882506286598</v>
      </c>
    </row>
    <row r="5849" spans="1:5" x14ac:dyDescent="0.2">
      <c r="A5849">
        <v>0.45921333333333297</v>
      </c>
      <c r="B5849">
        <v>0.78106935764110397</v>
      </c>
      <c r="C5849">
        <v>0.75381032175351903</v>
      </c>
      <c r="D5849">
        <v>0.87611788049302297</v>
      </c>
      <c r="E5849">
        <v>0.85362579221558799</v>
      </c>
    </row>
    <row r="5850" spans="1:5" x14ac:dyDescent="0.2">
      <c r="A5850">
        <v>0.45948</v>
      </c>
      <c r="B5850">
        <v>0.78121333739822296</v>
      </c>
      <c r="C5850">
        <v>0.75396925568722095</v>
      </c>
      <c r="D5850">
        <v>0.87621046509226497</v>
      </c>
      <c r="E5850">
        <v>0.85372274609227305</v>
      </c>
    </row>
    <row r="5851" spans="1:5" x14ac:dyDescent="0.2">
      <c r="A5851">
        <v>0.45974666666666703</v>
      </c>
      <c r="B5851">
        <v>0.78135726014473905</v>
      </c>
      <c r="C5851">
        <v>0.75412813089512398</v>
      </c>
      <c r="D5851">
        <v>0.876303000736115</v>
      </c>
      <c r="E5851">
        <v>0.85381968667564601</v>
      </c>
    </row>
    <row r="5852" spans="1:5" x14ac:dyDescent="0.2">
      <c r="A5852">
        <v>0.460013333333333</v>
      </c>
      <c r="B5852">
        <v>0.7815011259379</v>
      </c>
      <c r="C5852">
        <v>0.754286947434473</v>
      </c>
      <c r="D5852">
        <v>0.87639548745629103</v>
      </c>
      <c r="E5852">
        <v>0.85391661394843099</v>
      </c>
    </row>
    <row r="5853" spans="1:5" x14ac:dyDescent="0.2">
      <c r="A5853">
        <v>0.46028000000000002</v>
      </c>
      <c r="B5853">
        <v>0.78164493483429698</v>
      </c>
      <c r="C5853">
        <v>0.75444570536189703</v>
      </c>
      <c r="D5853">
        <v>0.87648792528451203</v>
      </c>
      <c r="E5853">
        <v>0.85401352789335105</v>
      </c>
    </row>
    <row r="5854" spans="1:5" x14ac:dyDescent="0.2">
      <c r="A5854">
        <v>0.46054666666666699</v>
      </c>
      <c r="B5854">
        <v>0.78178868688826897</v>
      </c>
      <c r="C5854">
        <v>0.75460440473192703</v>
      </c>
      <c r="D5854">
        <v>0.87658031425249405</v>
      </c>
      <c r="E5854">
        <v>0.85411042849313201</v>
      </c>
    </row>
    <row r="5855" spans="1:5" x14ac:dyDescent="0.2">
      <c r="A5855">
        <v>0.46081333333333302</v>
      </c>
      <c r="B5855">
        <v>0.781932382153671</v>
      </c>
      <c r="C5855">
        <v>0.75476304559863905</v>
      </c>
      <c r="D5855">
        <v>0.87667265439195596</v>
      </c>
      <c r="E5855">
        <v>0.85420731573049802</v>
      </c>
    </row>
    <row r="5856" spans="1:5" x14ac:dyDescent="0.2">
      <c r="A5856">
        <v>0.46107999999999999</v>
      </c>
      <c r="B5856">
        <v>0.782076020684354</v>
      </c>
      <c r="C5856">
        <v>0.75492162801611196</v>
      </c>
      <c r="D5856">
        <v>0.87676494573461505</v>
      </c>
      <c r="E5856">
        <v>0.854304189588172</v>
      </c>
    </row>
    <row r="5857" spans="1:5" x14ac:dyDescent="0.2">
      <c r="A5857">
        <v>0.46134666666666702</v>
      </c>
      <c r="B5857">
        <v>0.782219602534174</v>
      </c>
      <c r="C5857">
        <v>0.75508015203842105</v>
      </c>
      <c r="D5857">
        <v>0.87685718831218895</v>
      </c>
      <c r="E5857">
        <v>0.85440105004888001</v>
      </c>
    </row>
    <row r="5858" spans="1:5" x14ac:dyDescent="0.2">
      <c r="A5858">
        <v>0.46161333333333299</v>
      </c>
      <c r="B5858">
        <v>0.78236312775698202</v>
      </c>
      <c r="C5858">
        <v>0.75523861771964396</v>
      </c>
      <c r="D5858">
        <v>0.87694938215639695</v>
      </c>
      <c r="E5858">
        <v>0.85449789709534496</v>
      </c>
    </row>
    <row r="5859" spans="1:5" x14ac:dyDescent="0.2">
      <c r="A5859">
        <v>0.46188000000000001</v>
      </c>
      <c r="B5859">
        <v>0.782506596406634</v>
      </c>
      <c r="C5859">
        <v>0.75539702511385798</v>
      </c>
      <c r="D5859">
        <v>0.87704152729895402</v>
      </c>
      <c r="E5859">
        <v>0.85459473071029202</v>
      </c>
    </row>
    <row r="5860" spans="1:5" x14ac:dyDescent="0.2">
      <c r="A5860">
        <v>0.46214666666666698</v>
      </c>
      <c r="B5860">
        <v>0.78265000853698297</v>
      </c>
      <c r="C5860">
        <v>0.75555537427514097</v>
      </c>
      <c r="D5860">
        <v>0.87713362377158</v>
      </c>
      <c r="E5860">
        <v>0.85469155087644499</v>
      </c>
    </row>
    <row r="5861" spans="1:5" x14ac:dyDescent="0.2">
      <c r="A5861">
        <v>0.46241333333333301</v>
      </c>
      <c r="B5861">
        <v>0.78279336420188195</v>
      </c>
      <c r="C5861">
        <v>0.75571366525757</v>
      </c>
      <c r="D5861">
        <v>0.87722567160599296</v>
      </c>
      <c r="E5861">
        <v>0.85478835757652805</v>
      </c>
    </row>
    <row r="5862" spans="1:5" x14ac:dyDescent="0.2">
      <c r="A5862">
        <v>0.46267999999999998</v>
      </c>
      <c r="B5862">
        <v>0.78293666345518398</v>
      </c>
      <c r="C5862">
        <v>0.75587189811522104</v>
      </c>
      <c r="D5862">
        <v>0.87731767083390899</v>
      </c>
      <c r="E5862">
        <v>0.85488515079326599</v>
      </c>
    </row>
    <row r="5863" spans="1:5" x14ac:dyDescent="0.2">
      <c r="A5863">
        <v>0.46294666666666701</v>
      </c>
      <c r="B5863">
        <v>0.78307990635074398</v>
      </c>
      <c r="C5863">
        <v>0.75603007290217294</v>
      </c>
      <c r="D5863">
        <v>0.87740962148704704</v>
      </c>
      <c r="E5863">
        <v>0.85498193050938298</v>
      </c>
    </row>
    <row r="5864" spans="1:5" x14ac:dyDescent="0.2">
      <c r="A5864">
        <v>0.46321333333333298</v>
      </c>
      <c r="B5864">
        <v>0.78322309294241499</v>
      </c>
      <c r="C5864">
        <v>0.75618818967250101</v>
      </c>
      <c r="D5864">
        <v>0.87750152359712497</v>
      </c>
      <c r="E5864">
        <v>0.85507869670760395</v>
      </c>
    </row>
    <row r="5865" spans="1:5" x14ac:dyDescent="0.2">
      <c r="A5865">
        <v>0.46348</v>
      </c>
      <c r="B5865">
        <v>0.78336622328405003</v>
      </c>
      <c r="C5865">
        <v>0.75634624848028398</v>
      </c>
      <c r="D5865">
        <v>0.87759337719585995</v>
      </c>
      <c r="E5865">
        <v>0.85517544937065104</v>
      </c>
    </row>
    <row r="5866" spans="1:5" x14ac:dyDescent="0.2">
      <c r="A5866">
        <v>0.46374666666666697</v>
      </c>
      <c r="B5866">
        <v>0.78350929742950304</v>
      </c>
      <c r="C5866">
        <v>0.75650424937959804</v>
      </c>
      <c r="D5866">
        <v>0.87768518231496995</v>
      </c>
      <c r="E5866">
        <v>0.85527218848124997</v>
      </c>
    </row>
    <row r="5867" spans="1:5" x14ac:dyDescent="0.2">
      <c r="A5867">
        <v>0.464013333333333</v>
      </c>
      <c r="B5867">
        <v>0.78365231543262803</v>
      </c>
      <c r="C5867">
        <v>0.75666219242452104</v>
      </c>
      <c r="D5867">
        <v>0.87777693898617304</v>
      </c>
      <c r="E5867">
        <v>0.855368914022126</v>
      </c>
    </row>
    <row r="5868" spans="1:5" x14ac:dyDescent="0.2">
      <c r="A5868">
        <v>0.46428000000000003</v>
      </c>
      <c r="B5868">
        <v>0.78379527734727905</v>
      </c>
      <c r="C5868">
        <v>0.75682007766912995</v>
      </c>
      <c r="D5868">
        <v>0.87786864724118696</v>
      </c>
      <c r="E5868">
        <v>0.85546562597600195</v>
      </c>
    </row>
    <row r="5869" spans="1:5" x14ac:dyDescent="0.2">
      <c r="A5869">
        <v>0.464546666666667</v>
      </c>
      <c r="B5869">
        <v>0.78393818322730802</v>
      </c>
      <c r="C5869">
        <v>0.75697790516750196</v>
      </c>
      <c r="D5869">
        <v>0.87796030711172901</v>
      </c>
      <c r="E5869">
        <v>0.85556232432560197</v>
      </c>
    </row>
    <row r="5870" spans="1:5" x14ac:dyDescent="0.2">
      <c r="A5870">
        <v>0.46481333333333302</v>
      </c>
      <c r="B5870">
        <v>0.78408103312656996</v>
      </c>
      <c r="C5870">
        <v>0.75713567497371403</v>
      </c>
      <c r="D5870">
        <v>0.87805191862951804</v>
      </c>
      <c r="E5870">
        <v>0.855659009053651</v>
      </c>
    </row>
    <row r="5871" spans="1:5" x14ac:dyDescent="0.2">
      <c r="A5871">
        <v>0.46507999999999999</v>
      </c>
      <c r="B5871">
        <v>0.78422382709891703</v>
      </c>
      <c r="C5871">
        <v>0.75729338714184302</v>
      </c>
      <c r="D5871">
        <v>0.87814348182627</v>
      </c>
      <c r="E5871">
        <v>0.85575568014287395</v>
      </c>
    </row>
    <row r="5872" spans="1:5" x14ac:dyDescent="0.2">
      <c r="A5872">
        <v>0.46534666666666702</v>
      </c>
      <c r="B5872">
        <v>0.78436656519820402</v>
      </c>
      <c r="C5872">
        <v>0.757451041725967</v>
      </c>
      <c r="D5872">
        <v>0.87823499673370398</v>
      </c>
      <c r="E5872">
        <v>0.85585233757599299</v>
      </c>
    </row>
    <row r="5873" spans="1:5" x14ac:dyDescent="0.2">
      <c r="A5873">
        <v>0.46561333333333299</v>
      </c>
      <c r="B5873">
        <v>0.78450924747828499</v>
      </c>
      <c r="C5873">
        <v>0.75760863878016305</v>
      </c>
      <c r="D5873">
        <v>0.87832646338353804</v>
      </c>
      <c r="E5873">
        <v>0.85594898133573505</v>
      </c>
    </row>
    <row r="5874" spans="1:5" x14ac:dyDescent="0.2">
      <c r="A5874">
        <v>0.46588000000000002</v>
      </c>
      <c r="B5874">
        <v>0.78465187399301195</v>
      </c>
      <c r="C5874">
        <v>0.75776617835850801</v>
      </c>
      <c r="D5874">
        <v>0.87841788180748903</v>
      </c>
      <c r="E5874">
        <v>0.85604561140482305</v>
      </c>
    </row>
    <row r="5875" spans="1:5" x14ac:dyDescent="0.2">
      <c r="A5875">
        <v>0.46614666666666699</v>
      </c>
      <c r="B5875">
        <v>0.78479444479624005</v>
      </c>
      <c r="C5875">
        <v>0.75792366051507798</v>
      </c>
      <c r="D5875">
        <v>0.87850925203727503</v>
      </c>
      <c r="E5875">
        <v>0.85614222776598103</v>
      </c>
    </row>
    <row r="5876" spans="1:5" x14ac:dyDescent="0.2">
      <c r="A5876">
        <v>0.46641333333333301</v>
      </c>
      <c r="B5876">
        <v>0.784936959941821</v>
      </c>
      <c r="C5876">
        <v>0.75808108530395202</v>
      </c>
      <c r="D5876">
        <v>0.87860057410461401</v>
      </c>
      <c r="E5876">
        <v>0.85623883040193405</v>
      </c>
    </row>
    <row r="5877" spans="1:5" x14ac:dyDescent="0.2">
      <c r="A5877">
        <v>0.46667999999999998</v>
      </c>
      <c r="B5877">
        <v>0.78507941948361004</v>
      </c>
      <c r="C5877">
        <v>0.75823845277920598</v>
      </c>
      <c r="D5877">
        <v>0.87869184804122402</v>
      </c>
      <c r="E5877">
        <v>0.85633541929540502</v>
      </c>
    </row>
    <row r="5878" spans="1:5" x14ac:dyDescent="0.2">
      <c r="A5878">
        <v>0.46694666666666701</v>
      </c>
      <c r="B5878">
        <v>0.78522182347545999</v>
      </c>
      <c r="C5878">
        <v>0.75839576299491795</v>
      </c>
      <c r="D5878">
        <v>0.87878307387882204</v>
      </c>
      <c r="E5878">
        <v>0.85643199442911999</v>
      </c>
    </row>
    <row r="5879" spans="1:5" x14ac:dyDescent="0.2">
      <c r="A5879">
        <v>0.46721333333333298</v>
      </c>
      <c r="B5879">
        <v>0.78536417197122499</v>
      </c>
      <c r="C5879">
        <v>0.758553016005165</v>
      </c>
      <c r="D5879">
        <v>0.87887425164912603</v>
      </c>
      <c r="E5879">
        <v>0.856528555785802</v>
      </c>
    </row>
    <row r="5880" spans="1:5" x14ac:dyDescent="0.2">
      <c r="A5880">
        <v>0.46748000000000001</v>
      </c>
      <c r="B5880">
        <v>0.78550646502475796</v>
      </c>
      <c r="C5880">
        <v>0.75871021186402299</v>
      </c>
      <c r="D5880">
        <v>0.87896538138385405</v>
      </c>
      <c r="E5880">
        <v>0.85662510334817599</v>
      </c>
    </row>
    <row r="5881" spans="1:5" x14ac:dyDescent="0.2">
      <c r="A5881">
        <v>0.46774666666666698</v>
      </c>
      <c r="B5881">
        <v>0.78564870268991205</v>
      </c>
      <c r="C5881">
        <v>0.75886735062557098</v>
      </c>
      <c r="D5881">
        <v>0.87905646311472396</v>
      </c>
      <c r="E5881">
        <v>0.85672163709896598</v>
      </c>
    </row>
    <row r="5882" spans="1:5" x14ac:dyDescent="0.2">
      <c r="A5882">
        <v>0.468013333333333</v>
      </c>
      <c r="B5882">
        <v>0.78579088502054195</v>
      </c>
      <c r="C5882">
        <v>0.75902443234388495</v>
      </c>
      <c r="D5882">
        <v>0.87914749687345395</v>
      </c>
      <c r="E5882">
        <v>0.85681815702089603</v>
      </c>
    </row>
    <row r="5883" spans="1:5" x14ac:dyDescent="0.2">
      <c r="A5883">
        <v>0.46827999999999997</v>
      </c>
      <c r="B5883">
        <v>0.78593301207050204</v>
      </c>
      <c r="C5883">
        <v>0.75918145707304197</v>
      </c>
      <c r="D5883">
        <v>0.87923848269176097</v>
      </c>
      <c r="E5883">
        <v>0.85691466309669095</v>
      </c>
    </row>
    <row r="5884" spans="1:5" x14ac:dyDescent="0.2">
      <c r="A5884">
        <v>0.468546666666667</v>
      </c>
      <c r="B5884">
        <v>0.786075083893643</v>
      </c>
      <c r="C5884">
        <v>0.75933842486712</v>
      </c>
      <c r="D5884">
        <v>0.87932942060136299</v>
      </c>
      <c r="E5884">
        <v>0.85701115530907501</v>
      </c>
    </row>
    <row r="5885" spans="1:5" x14ac:dyDescent="0.2">
      <c r="A5885">
        <v>0.46881333333333303</v>
      </c>
      <c r="B5885">
        <v>0.78621710054382099</v>
      </c>
      <c r="C5885">
        <v>0.75949533578019601</v>
      </c>
      <c r="D5885">
        <v>0.87942031063397796</v>
      </c>
      <c r="E5885">
        <v>0.85710763364077203</v>
      </c>
    </row>
    <row r="5886" spans="1:5" x14ac:dyDescent="0.2">
      <c r="A5886">
        <v>0.46908</v>
      </c>
      <c r="B5886">
        <v>0.78635906207488904</v>
      </c>
      <c r="C5886">
        <v>0.75965218986634697</v>
      </c>
      <c r="D5886">
        <v>0.87951115282132397</v>
      </c>
      <c r="E5886">
        <v>0.85720409807450604</v>
      </c>
    </row>
    <row r="5887" spans="1:5" x14ac:dyDescent="0.2">
      <c r="A5887">
        <v>0.46934666666666702</v>
      </c>
      <c r="B5887">
        <v>0.78650096854069995</v>
      </c>
      <c r="C5887">
        <v>0.75980898717964995</v>
      </c>
      <c r="D5887">
        <v>0.87960194719511797</v>
      </c>
      <c r="E5887">
        <v>0.85730054859300298</v>
      </c>
    </row>
    <row r="5888" spans="1:5" x14ac:dyDescent="0.2">
      <c r="A5888">
        <v>0.46961333333333299</v>
      </c>
      <c r="B5888">
        <v>0.78664281999510699</v>
      </c>
      <c r="C5888">
        <v>0.75996572777418203</v>
      </c>
      <c r="D5888">
        <v>0.87969269378707804</v>
      </c>
      <c r="E5888">
        <v>0.85739698517898499</v>
      </c>
    </row>
    <row r="5889" spans="1:5" x14ac:dyDescent="0.2">
      <c r="A5889">
        <v>0.46988000000000002</v>
      </c>
      <c r="B5889">
        <v>0.78678461649196596</v>
      </c>
      <c r="C5889">
        <v>0.76012241170402095</v>
      </c>
      <c r="D5889">
        <v>0.87978339262892302</v>
      </c>
      <c r="E5889">
        <v>0.85749340781517702</v>
      </c>
    </row>
    <row r="5890" spans="1:5" x14ac:dyDescent="0.2">
      <c r="A5890">
        <v>0.47014666666666699</v>
      </c>
      <c r="B5890">
        <v>0.78692635808504696</v>
      </c>
      <c r="C5890">
        <v>0.76027903902315896</v>
      </c>
      <c r="D5890">
        <v>0.879874043752369</v>
      </c>
      <c r="E5890">
        <v>0.85758981648430399</v>
      </c>
    </row>
    <row r="5891" spans="1:5" x14ac:dyDescent="0.2">
      <c r="A5891">
        <v>0.47041333333333302</v>
      </c>
      <c r="B5891">
        <v>0.78706804482662895</v>
      </c>
      <c r="C5891">
        <v>0.760435609784052</v>
      </c>
      <c r="D5891">
        <v>0.87996464718913403</v>
      </c>
      <c r="E5891">
        <v>0.85768621116909005</v>
      </c>
    </row>
    <row r="5892" spans="1:5" x14ac:dyDescent="0.2">
      <c r="A5892">
        <v>0.47067999999999999</v>
      </c>
      <c r="B5892">
        <v>0.78720967676767994</v>
      </c>
      <c r="C5892">
        <v>0.76059212403780196</v>
      </c>
      <c r="D5892">
        <v>0.88005520297093798</v>
      </c>
      <c r="E5892">
        <v>0.85778259185226002</v>
      </c>
    </row>
    <row r="5893" spans="1:5" x14ac:dyDescent="0.2">
      <c r="A5893">
        <v>0.47094666666666701</v>
      </c>
      <c r="B5893">
        <v>0.78735125395912398</v>
      </c>
      <c r="C5893">
        <v>0.76074858183546701</v>
      </c>
      <c r="D5893">
        <v>0.88014571112949602</v>
      </c>
      <c r="E5893">
        <v>0.85787895851653595</v>
      </c>
    </row>
    <row r="5894" spans="1:5" x14ac:dyDescent="0.2">
      <c r="A5894">
        <v>0.47121333333333298</v>
      </c>
      <c r="B5894">
        <v>0.78749277645188198</v>
      </c>
      <c r="C5894">
        <v>0.76090498322810296</v>
      </c>
      <c r="D5894">
        <v>0.88023617169652701</v>
      </c>
      <c r="E5894">
        <v>0.85797531114464498</v>
      </c>
    </row>
    <row r="5895" spans="1:5" x14ac:dyDescent="0.2">
      <c r="A5895">
        <v>0.47148000000000001</v>
      </c>
      <c r="B5895">
        <v>0.78763424429687801</v>
      </c>
      <c r="C5895">
        <v>0.76106132826676898</v>
      </c>
      <c r="D5895">
        <v>0.88032658470374803</v>
      </c>
      <c r="E5895">
        <v>0.85807164971930905</v>
      </c>
    </row>
    <row r="5896" spans="1:5" x14ac:dyDescent="0.2">
      <c r="A5896">
        <v>0.47174666666666698</v>
      </c>
      <c r="B5896">
        <v>0.78777565754503498</v>
      </c>
      <c r="C5896">
        <v>0.761217617002521</v>
      </c>
      <c r="D5896">
        <v>0.88041695018287902</v>
      </c>
      <c r="E5896">
        <v>0.85816797422325397</v>
      </c>
    </row>
    <row r="5897" spans="1:5" x14ac:dyDescent="0.2">
      <c r="A5897">
        <v>0.47201333333333301</v>
      </c>
      <c r="B5897">
        <v>0.78791701624727595</v>
      </c>
      <c r="C5897">
        <v>0.76137384948641795</v>
      </c>
      <c r="D5897">
        <v>0.88050726816563496</v>
      </c>
      <c r="E5897">
        <v>0.85826428463920301</v>
      </c>
    </row>
    <row r="5898" spans="1:5" x14ac:dyDescent="0.2">
      <c r="A5898">
        <v>0.47227999999999998</v>
      </c>
      <c r="B5898">
        <v>0.78805832045452395</v>
      </c>
      <c r="C5898">
        <v>0.76153002576951601</v>
      </c>
      <c r="D5898">
        <v>0.88059753868373503</v>
      </c>
      <c r="E5898">
        <v>0.85836058094988099</v>
      </c>
    </row>
    <row r="5899" spans="1:5" x14ac:dyDescent="0.2">
      <c r="A5899">
        <v>0.472546666666667</v>
      </c>
      <c r="B5899">
        <v>0.78819957021770204</v>
      </c>
      <c r="C5899">
        <v>0.76168614590287198</v>
      </c>
      <c r="D5899">
        <v>0.88068776176889796</v>
      </c>
      <c r="E5899">
        <v>0.85845686313801295</v>
      </c>
    </row>
    <row r="5900" spans="1:5" x14ac:dyDescent="0.2">
      <c r="A5900">
        <v>0.47281333333333297</v>
      </c>
      <c r="B5900">
        <v>0.78834076558773303</v>
      </c>
      <c r="C5900">
        <v>0.76184220993754403</v>
      </c>
      <c r="D5900">
        <v>0.88077793745283905</v>
      </c>
      <c r="E5900">
        <v>0.85855313118632104</v>
      </c>
    </row>
    <row r="5901" spans="1:5" x14ac:dyDescent="0.2">
      <c r="A5901">
        <v>0.47308</v>
      </c>
      <c r="B5901">
        <v>0.78848190661554096</v>
      </c>
      <c r="C5901">
        <v>0.76199821792458999</v>
      </c>
      <c r="D5901">
        <v>0.88086806576727805</v>
      </c>
      <c r="E5901">
        <v>0.85864938507753197</v>
      </c>
    </row>
    <row r="5902" spans="1:5" x14ac:dyDescent="0.2">
      <c r="A5902">
        <v>0.47334666666666703</v>
      </c>
      <c r="B5902">
        <v>0.788622993352047</v>
      </c>
      <c r="C5902">
        <v>0.76215416991506701</v>
      </c>
      <c r="D5902">
        <v>0.88095814674393302</v>
      </c>
      <c r="E5902">
        <v>0.858745624794368</v>
      </c>
    </row>
    <row r="5903" spans="1:5" x14ac:dyDescent="0.2">
      <c r="A5903">
        <v>0.473613333333333</v>
      </c>
      <c r="B5903">
        <v>0.78876402584817595</v>
      </c>
      <c r="C5903">
        <v>0.76231006596003104</v>
      </c>
      <c r="D5903">
        <v>0.88104818041452004</v>
      </c>
      <c r="E5903">
        <v>0.85884185031955496</v>
      </c>
    </row>
    <row r="5904" spans="1:5" x14ac:dyDescent="0.2">
      <c r="A5904">
        <v>0.47388000000000002</v>
      </c>
      <c r="B5904">
        <v>0.78890500415484999</v>
      </c>
      <c r="C5904">
        <v>0.76246590611054099</v>
      </c>
      <c r="D5904">
        <v>0.88113816681075796</v>
      </c>
      <c r="E5904">
        <v>0.85893806163581599</v>
      </c>
    </row>
    <row r="5905" spans="1:5" x14ac:dyDescent="0.2">
      <c r="A5905">
        <v>0.47414666666666699</v>
      </c>
      <c r="B5905">
        <v>0.78904592832299203</v>
      </c>
      <c r="C5905">
        <v>0.76262169041765404</v>
      </c>
      <c r="D5905">
        <v>0.88122810596436396</v>
      </c>
      <c r="E5905">
        <v>0.85903425872587702</v>
      </c>
    </row>
    <row r="5906" spans="1:5" x14ac:dyDescent="0.2">
      <c r="A5906">
        <v>0.47441333333333302</v>
      </c>
      <c r="B5906">
        <v>0.78918679840352601</v>
      </c>
      <c r="C5906">
        <v>0.76277741893242601</v>
      </c>
      <c r="D5906">
        <v>0.88131799790705601</v>
      </c>
      <c r="E5906">
        <v>0.85913044157245999</v>
      </c>
    </row>
    <row r="5907" spans="1:5" x14ac:dyDescent="0.2">
      <c r="A5907">
        <v>0.47467999999999999</v>
      </c>
      <c r="B5907">
        <v>0.78932761444737398</v>
      </c>
      <c r="C5907">
        <v>0.76293309170591606</v>
      </c>
      <c r="D5907">
        <v>0.88140784267055305</v>
      </c>
      <c r="E5907">
        <v>0.85922661015829105</v>
      </c>
    </row>
    <row r="5908" spans="1:5" x14ac:dyDescent="0.2">
      <c r="A5908">
        <v>0.47494666666666702</v>
      </c>
      <c r="B5908">
        <v>0.78946837650545898</v>
      </c>
      <c r="C5908">
        <v>0.763088708789181</v>
      </c>
      <c r="D5908">
        <v>0.88149764028657096</v>
      </c>
      <c r="E5908">
        <v>0.85932276446609401</v>
      </c>
    </row>
    <row r="5909" spans="1:5" x14ac:dyDescent="0.2">
      <c r="A5909">
        <v>0.47521333333333299</v>
      </c>
      <c r="B5909">
        <v>0.78960908462870405</v>
      </c>
      <c r="C5909">
        <v>0.76324427023327801</v>
      </c>
      <c r="D5909">
        <v>0.88158739078682902</v>
      </c>
      <c r="E5909">
        <v>0.85941890447859204</v>
      </c>
    </row>
    <row r="5910" spans="1:5" x14ac:dyDescent="0.2">
      <c r="A5910">
        <v>0.47548000000000001</v>
      </c>
      <c r="B5910">
        <v>0.78974973886803301</v>
      </c>
      <c r="C5910">
        <v>0.76339977608926501</v>
      </c>
      <c r="D5910">
        <v>0.88167709420304397</v>
      </c>
      <c r="E5910">
        <v>0.85951503017851105</v>
      </c>
    </row>
    <row r="5911" spans="1:5" x14ac:dyDescent="0.2">
      <c r="A5911">
        <v>0.47574666666666698</v>
      </c>
      <c r="B5911">
        <v>0.78989033927436902</v>
      </c>
      <c r="C5911">
        <v>0.76355522640819795</v>
      </c>
      <c r="D5911">
        <v>0.88176675056693399</v>
      </c>
      <c r="E5911">
        <v>0.85961114154857499</v>
      </c>
    </row>
    <row r="5912" spans="1:5" x14ac:dyDescent="0.2">
      <c r="A5912">
        <v>0.47601333333333301</v>
      </c>
      <c r="B5912">
        <v>0.79003088589863402</v>
      </c>
      <c r="C5912">
        <v>0.76371062124113498</v>
      </c>
      <c r="D5912">
        <v>0.88185635991021805</v>
      </c>
      <c r="E5912">
        <v>0.85970723857150699</v>
      </c>
    </row>
    <row r="5913" spans="1:5" x14ac:dyDescent="0.2">
      <c r="A5913">
        <v>0.47627999999999998</v>
      </c>
      <c r="B5913">
        <v>0.79017137879175103</v>
      </c>
      <c r="C5913">
        <v>0.76386596063913303</v>
      </c>
      <c r="D5913">
        <v>0.88194592226461199</v>
      </c>
      <c r="E5913">
        <v>0.859803321230032</v>
      </c>
    </row>
    <row r="5914" spans="1:5" x14ac:dyDescent="0.2">
      <c r="A5914">
        <v>0.47654666666666701</v>
      </c>
      <c r="B5914">
        <v>0.79031181800464401</v>
      </c>
      <c r="C5914">
        <v>0.76402124465325105</v>
      </c>
      <c r="D5914">
        <v>0.88203543766183401</v>
      </c>
      <c r="E5914">
        <v>0.85989938950687494</v>
      </c>
    </row>
    <row r="5915" spans="1:5" x14ac:dyDescent="0.2">
      <c r="A5915">
        <v>0.47681333333333298</v>
      </c>
      <c r="B5915">
        <v>0.79045220358823498</v>
      </c>
      <c r="C5915">
        <v>0.76417647333454497</v>
      </c>
      <c r="D5915">
        <v>0.88212490613360295</v>
      </c>
      <c r="E5915">
        <v>0.85999544338475997</v>
      </c>
    </row>
    <row r="5916" spans="1:5" x14ac:dyDescent="0.2">
      <c r="A5916">
        <v>0.47708</v>
      </c>
      <c r="B5916">
        <v>0.790592535593448</v>
      </c>
      <c r="C5916">
        <v>0.76433164673407195</v>
      </c>
      <c r="D5916">
        <v>0.88221432771163499</v>
      </c>
      <c r="E5916">
        <v>0.86009148284641002</v>
      </c>
    </row>
    <row r="5917" spans="1:5" x14ac:dyDescent="0.2">
      <c r="A5917">
        <v>0.47734666666666697</v>
      </c>
      <c r="B5917">
        <v>0.79073281407120599</v>
      </c>
      <c r="C5917">
        <v>0.76448676490289003</v>
      </c>
      <c r="D5917">
        <v>0.88230370242764999</v>
      </c>
      <c r="E5917">
        <v>0.86018750787455101</v>
      </c>
    </row>
    <row r="5918" spans="1:5" x14ac:dyDescent="0.2">
      <c r="A5918">
        <v>0.477613333333333</v>
      </c>
      <c r="B5918">
        <v>0.79087303907243101</v>
      </c>
      <c r="C5918">
        <v>0.76464182789205604</v>
      </c>
      <c r="D5918">
        <v>0.88239303031336402</v>
      </c>
      <c r="E5918">
        <v>0.86028351845190698</v>
      </c>
    </row>
    <row r="5919" spans="1:5" x14ac:dyDescent="0.2">
      <c r="A5919">
        <v>0.47788000000000003</v>
      </c>
      <c r="B5919">
        <v>0.79101321064804697</v>
      </c>
      <c r="C5919">
        <v>0.76479683575262702</v>
      </c>
      <c r="D5919">
        <v>0.88248231140049505</v>
      </c>
      <c r="E5919">
        <v>0.86037951456120099</v>
      </c>
    </row>
    <row r="5920" spans="1:5" x14ac:dyDescent="0.2">
      <c r="A5920">
        <v>0.478146666666667</v>
      </c>
      <c r="B5920">
        <v>0.79115332884897704</v>
      </c>
      <c r="C5920">
        <v>0.76495178853566204</v>
      </c>
      <c r="D5920">
        <v>0.88257154572076202</v>
      </c>
      <c r="E5920">
        <v>0.86047549618515895</v>
      </c>
    </row>
    <row r="5921" spans="1:5" x14ac:dyDescent="0.2">
      <c r="A5921">
        <v>0.47841333333333302</v>
      </c>
      <c r="B5921">
        <v>0.79129339372614305</v>
      </c>
      <c r="C5921">
        <v>0.76510668629221601</v>
      </c>
      <c r="D5921">
        <v>0.88266073330588102</v>
      </c>
      <c r="E5921">
        <v>0.86057146330650403</v>
      </c>
    </row>
    <row r="5922" spans="1:5" x14ac:dyDescent="0.2">
      <c r="A5922">
        <v>0.47867999999999999</v>
      </c>
      <c r="B5922">
        <v>0.79143340533046902</v>
      </c>
      <c r="C5922">
        <v>0.76526152907334799</v>
      </c>
      <c r="D5922">
        <v>0.882749874187571</v>
      </c>
      <c r="E5922">
        <v>0.86066741590796003</v>
      </c>
    </row>
    <row r="5923" spans="1:5" x14ac:dyDescent="0.2">
      <c r="A5923">
        <v>0.47894666666666702</v>
      </c>
      <c r="B5923">
        <v>0.79157336371287801</v>
      </c>
      <c r="C5923">
        <v>0.76541631693011503</v>
      </c>
      <c r="D5923">
        <v>0.88283896839754905</v>
      </c>
      <c r="E5923">
        <v>0.86076335397225301</v>
      </c>
    </row>
    <row r="5924" spans="1:5" x14ac:dyDescent="0.2">
      <c r="A5924">
        <v>0.47921333333333299</v>
      </c>
      <c r="B5924">
        <v>0.79171326892429295</v>
      </c>
      <c r="C5924">
        <v>0.76557104991357505</v>
      </c>
      <c r="D5924">
        <v>0.88292801596753401</v>
      </c>
      <c r="E5924">
        <v>0.860859277482106</v>
      </c>
    </row>
    <row r="5925" spans="1:5" x14ac:dyDescent="0.2">
      <c r="A5925">
        <v>0.47948000000000002</v>
      </c>
      <c r="B5925">
        <v>0.79185312101563599</v>
      </c>
      <c r="C5925">
        <v>0.76572572807478301</v>
      </c>
      <c r="D5925">
        <v>0.88301701692924295</v>
      </c>
      <c r="E5925">
        <v>0.86095518642024305</v>
      </c>
    </row>
    <row r="5926" spans="1:5" x14ac:dyDescent="0.2">
      <c r="A5926">
        <v>0.47974666666666699</v>
      </c>
      <c r="B5926">
        <v>0.79199292003783195</v>
      </c>
      <c r="C5926">
        <v>0.76588035146479905</v>
      </c>
      <c r="D5926">
        <v>0.88310597131439394</v>
      </c>
      <c r="E5926">
        <v>0.86105108076938897</v>
      </c>
    </row>
    <row r="5927" spans="1:5" x14ac:dyDescent="0.2">
      <c r="A5927">
        <v>0.48001333333333301</v>
      </c>
      <c r="B5927">
        <v>0.79213266604180199</v>
      </c>
      <c r="C5927">
        <v>0.766034920134679</v>
      </c>
      <c r="D5927">
        <v>0.88319487915470396</v>
      </c>
      <c r="E5927">
        <v>0.86114696051226902</v>
      </c>
    </row>
    <row r="5928" spans="1:5" x14ac:dyDescent="0.2">
      <c r="A5928">
        <v>0.48027999999999998</v>
      </c>
      <c r="B5928">
        <v>0.79227235907794002</v>
      </c>
      <c r="C5928">
        <v>0.76618943413497498</v>
      </c>
      <c r="D5928">
        <v>0.88328374048189195</v>
      </c>
      <c r="E5928">
        <v>0.86124282563160603</v>
      </c>
    </row>
    <row r="5929" spans="1:5" x14ac:dyDescent="0.2">
      <c r="A5929">
        <v>0.48054666666666701</v>
      </c>
      <c r="B5929">
        <v>0.79241199919481398</v>
      </c>
      <c r="C5929">
        <v>0.76634389351450005</v>
      </c>
      <c r="D5929">
        <v>0.883372555327674</v>
      </c>
      <c r="E5929">
        <v>0.86133867611012405</v>
      </c>
    </row>
    <row r="5930" spans="1:5" x14ac:dyDescent="0.2">
      <c r="A5930">
        <v>0.48081333333333298</v>
      </c>
      <c r="B5930">
        <v>0.79255158644059898</v>
      </c>
      <c r="C5930">
        <v>0.76649829832169303</v>
      </c>
      <c r="D5930">
        <v>0.88346132372376995</v>
      </c>
      <c r="E5930">
        <v>0.86143451193054899</v>
      </c>
    </row>
    <row r="5931" spans="1:5" x14ac:dyDescent="0.2">
      <c r="A5931">
        <v>0.48108000000000001</v>
      </c>
      <c r="B5931">
        <v>0.79269112086347004</v>
      </c>
      <c r="C5931">
        <v>0.76665264860499105</v>
      </c>
      <c r="D5931">
        <v>0.88355004570189599</v>
      </c>
      <c r="E5931">
        <v>0.861530333075604</v>
      </c>
    </row>
    <row r="5932" spans="1:5" x14ac:dyDescent="0.2">
      <c r="A5932">
        <v>0.48134666666666698</v>
      </c>
      <c r="B5932">
        <v>0.79283060251160198</v>
      </c>
      <c r="C5932">
        <v>0.76680694441283404</v>
      </c>
      <c r="D5932">
        <v>0.88363872129377097</v>
      </c>
      <c r="E5932">
        <v>0.86162613952801304</v>
      </c>
    </row>
    <row r="5933" spans="1:5" x14ac:dyDescent="0.2">
      <c r="A5933">
        <v>0.481613333333333</v>
      </c>
      <c r="B5933">
        <v>0.79297003143317102</v>
      </c>
      <c r="C5933">
        <v>0.76696118579365802</v>
      </c>
      <c r="D5933">
        <v>0.88372735053111195</v>
      </c>
      <c r="E5933">
        <v>0.86172193127050101</v>
      </c>
    </row>
    <row r="5934" spans="1:5" x14ac:dyDescent="0.2">
      <c r="A5934">
        <v>0.48187999999999998</v>
      </c>
      <c r="B5934">
        <v>0.79310940767635096</v>
      </c>
      <c r="C5934">
        <v>0.76711537279590403</v>
      </c>
      <c r="D5934">
        <v>0.88381593344563703</v>
      </c>
      <c r="E5934">
        <v>0.86181770828579296</v>
      </c>
    </row>
    <row r="5935" spans="1:5" x14ac:dyDescent="0.2">
      <c r="A5935">
        <v>0.482146666666667</v>
      </c>
      <c r="B5935">
        <v>0.79324873128931805</v>
      </c>
      <c r="C5935">
        <v>0.76726950546800798</v>
      </c>
      <c r="D5935">
        <v>0.88390447006906403</v>
      </c>
      <c r="E5935">
        <v>0.86191347055661105</v>
      </c>
    </row>
    <row r="5936" spans="1:5" x14ac:dyDescent="0.2">
      <c r="A5936">
        <v>0.48241333333333303</v>
      </c>
      <c r="B5936">
        <v>0.79338800232024798</v>
      </c>
      <c r="C5936">
        <v>0.76742358385841003</v>
      </c>
      <c r="D5936">
        <v>0.88399296043311004</v>
      </c>
      <c r="E5936">
        <v>0.86200921806568198</v>
      </c>
    </row>
    <row r="5937" spans="1:5" x14ac:dyDescent="0.2">
      <c r="A5937">
        <v>0.48268</v>
      </c>
      <c r="B5937">
        <v>0.79352722081731397</v>
      </c>
      <c r="C5937">
        <v>0.76757760801554797</v>
      </c>
      <c r="D5937">
        <v>0.88408140456949402</v>
      </c>
      <c r="E5937">
        <v>0.86210495079572802</v>
      </c>
    </row>
    <row r="5938" spans="1:5" x14ac:dyDescent="0.2">
      <c r="A5938">
        <v>0.48294666666666702</v>
      </c>
      <c r="B5938">
        <v>0.79366638682869295</v>
      </c>
      <c r="C5938">
        <v>0.76773157798785896</v>
      </c>
      <c r="D5938">
        <v>0.88416980250993304</v>
      </c>
      <c r="E5938">
        <v>0.86220066872947498</v>
      </c>
    </row>
    <row r="5939" spans="1:5" x14ac:dyDescent="0.2">
      <c r="A5939">
        <v>0.48321333333333299</v>
      </c>
      <c r="B5939">
        <v>0.79380550040256004</v>
      </c>
      <c r="C5939">
        <v>0.76788549382378302</v>
      </c>
      <c r="D5939">
        <v>0.88425815428614496</v>
      </c>
      <c r="E5939">
        <v>0.86229637184964603</v>
      </c>
    </row>
    <row r="5940" spans="1:5" x14ac:dyDescent="0.2">
      <c r="A5940">
        <v>0.48348000000000002</v>
      </c>
      <c r="B5940">
        <v>0.79394456158708904</v>
      </c>
      <c r="C5940">
        <v>0.76803935557175795</v>
      </c>
      <c r="D5940">
        <v>0.88434645992984695</v>
      </c>
      <c r="E5940">
        <v>0.86239206013896597</v>
      </c>
    </row>
    <row r="5941" spans="1:5" x14ac:dyDescent="0.2">
      <c r="A5941">
        <v>0.48374666666666699</v>
      </c>
      <c r="B5941">
        <v>0.79408357043045597</v>
      </c>
      <c r="C5941">
        <v>0.76819316328022202</v>
      </c>
      <c r="D5941">
        <v>0.88443471947275798</v>
      </c>
      <c r="E5941">
        <v>0.86248773358015896</v>
      </c>
    </row>
    <row r="5942" spans="1:5" x14ac:dyDescent="0.2">
      <c r="A5942">
        <v>0.48401333333333302</v>
      </c>
      <c r="B5942">
        <v>0.79422252698083695</v>
      </c>
      <c r="C5942">
        <v>0.76834691699761404</v>
      </c>
      <c r="D5942">
        <v>0.88452293294659501</v>
      </c>
      <c r="E5942">
        <v>0.86258339215595004</v>
      </c>
    </row>
    <row r="5943" spans="1:5" x14ac:dyDescent="0.2">
      <c r="A5943">
        <v>0.48427999999999999</v>
      </c>
      <c r="B5943">
        <v>0.79436143128640602</v>
      </c>
      <c r="C5943">
        <v>0.76850061677237202</v>
      </c>
      <c r="D5943">
        <v>0.884611100383077</v>
      </c>
      <c r="E5943">
        <v>0.86267903584906203</v>
      </c>
    </row>
    <row r="5944" spans="1:5" x14ac:dyDescent="0.2">
      <c r="A5944">
        <v>0.48454666666666701</v>
      </c>
      <c r="B5944">
        <v>0.79450028339533796</v>
      </c>
      <c r="C5944">
        <v>0.76865426265293302</v>
      </c>
      <c r="D5944">
        <v>0.88469922181392002</v>
      </c>
      <c r="E5944">
        <v>0.86277466464222097</v>
      </c>
    </row>
    <row r="5945" spans="1:5" x14ac:dyDescent="0.2">
      <c r="A5945">
        <v>0.48481333333333299</v>
      </c>
      <c r="B5945">
        <v>0.79463908335581002</v>
      </c>
      <c r="C5945">
        <v>0.76880785468773705</v>
      </c>
      <c r="D5945">
        <v>0.88478729727084204</v>
      </c>
      <c r="E5945">
        <v>0.86287027851814901</v>
      </c>
    </row>
    <row r="5946" spans="1:5" x14ac:dyDescent="0.2">
      <c r="A5946">
        <v>0.48508000000000001</v>
      </c>
      <c r="B5946">
        <v>0.79477783121599499</v>
      </c>
      <c r="C5946">
        <v>0.76896139292522203</v>
      </c>
      <c r="D5946">
        <v>0.88487532678556202</v>
      </c>
      <c r="E5946">
        <v>0.86296587745957198</v>
      </c>
    </row>
    <row r="5947" spans="1:5" x14ac:dyDescent="0.2">
      <c r="A5947">
        <v>0.48534666666666698</v>
      </c>
      <c r="B5947">
        <v>0.79491652702406901</v>
      </c>
      <c r="C5947">
        <v>0.769114877413827</v>
      </c>
      <c r="D5947">
        <v>0.88496331038979803</v>
      </c>
      <c r="E5947">
        <v>0.86306146144921403</v>
      </c>
    </row>
    <row r="5948" spans="1:5" x14ac:dyDescent="0.2">
      <c r="A5948">
        <v>0.48561333333333301</v>
      </c>
      <c r="B5948">
        <v>0.79505517082820798</v>
      </c>
      <c r="C5948">
        <v>0.76926830820198899</v>
      </c>
      <c r="D5948">
        <v>0.88505124811526603</v>
      </c>
      <c r="E5948">
        <v>0.86315703046979897</v>
      </c>
    </row>
    <row r="5949" spans="1:5" x14ac:dyDescent="0.2">
      <c r="A5949">
        <v>0.48587999999999998</v>
      </c>
      <c r="B5949">
        <v>0.79519376267658604</v>
      </c>
      <c r="C5949">
        <v>0.76942168533814603</v>
      </c>
      <c r="D5949">
        <v>0.88513913999368499</v>
      </c>
      <c r="E5949">
        <v>0.86325258450405096</v>
      </c>
    </row>
    <row r="5950" spans="1:5" x14ac:dyDescent="0.2">
      <c r="A5950">
        <v>0.486146666666667</v>
      </c>
      <c r="B5950">
        <v>0.79533230261737897</v>
      </c>
      <c r="C5950">
        <v>0.76957500887073904</v>
      </c>
      <c r="D5950">
        <v>0.88522698605677197</v>
      </c>
      <c r="E5950">
        <v>0.86334812353469503</v>
      </c>
    </row>
    <row r="5951" spans="1:5" x14ac:dyDescent="0.2">
      <c r="A5951">
        <v>0.48641333333333298</v>
      </c>
      <c r="B5951">
        <v>0.79547079069876203</v>
      </c>
      <c r="C5951">
        <v>0.76972827884820305</v>
      </c>
      <c r="D5951">
        <v>0.88531478633624505</v>
      </c>
      <c r="E5951">
        <v>0.86344364754445502</v>
      </c>
    </row>
    <row r="5952" spans="1:5" x14ac:dyDescent="0.2">
      <c r="A5952">
        <v>0.48668</v>
      </c>
      <c r="B5952">
        <v>0.79560922696890901</v>
      </c>
      <c r="C5952">
        <v>0.76988149531897898</v>
      </c>
      <c r="D5952">
        <v>0.88540254086382297</v>
      </c>
      <c r="E5952">
        <v>0.86353915651605595</v>
      </c>
    </row>
    <row r="5953" spans="1:5" x14ac:dyDescent="0.2">
      <c r="A5953">
        <v>0.48694666666666703</v>
      </c>
      <c r="B5953">
        <v>0.79574761147599704</v>
      </c>
      <c r="C5953">
        <v>0.77003465833150397</v>
      </c>
      <c r="D5953">
        <v>0.88549024967122203</v>
      </c>
      <c r="E5953">
        <v>0.86363465043222098</v>
      </c>
    </row>
    <row r="5954" spans="1:5" x14ac:dyDescent="0.2">
      <c r="A5954">
        <v>0.487213333333333</v>
      </c>
      <c r="B5954">
        <v>0.79588594426820103</v>
      </c>
      <c r="C5954">
        <v>0.77018776793421695</v>
      </c>
      <c r="D5954">
        <v>0.88557791279016096</v>
      </c>
      <c r="E5954">
        <v>0.86373012927567405</v>
      </c>
    </row>
    <row r="5955" spans="1:5" x14ac:dyDescent="0.2">
      <c r="A5955">
        <v>0.48748000000000002</v>
      </c>
      <c r="B5955">
        <v>0.796024225393695</v>
      </c>
      <c r="C5955">
        <v>0.77034082417555505</v>
      </c>
      <c r="D5955">
        <v>0.88566553025235795</v>
      </c>
      <c r="E5955">
        <v>0.86382559302914097</v>
      </c>
    </row>
    <row r="5956" spans="1:5" x14ac:dyDescent="0.2">
      <c r="A5956">
        <v>0.48774666666666699</v>
      </c>
      <c r="B5956">
        <v>0.79616245490065496</v>
      </c>
      <c r="C5956">
        <v>0.77049382710395797</v>
      </c>
      <c r="D5956">
        <v>0.88575310208952895</v>
      </c>
      <c r="E5956">
        <v>0.863921041675345</v>
      </c>
    </row>
    <row r="5957" spans="1:5" x14ac:dyDescent="0.2">
      <c r="A5957">
        <v>0.48801333333333302</v>
      </c>
      <c r="B5957">
        <v>0.79630063283725605</v>
      </c>
      <c r="C5957">
        <v>0.77064677676786397</v>
      </c>
      <c r="D5957">
        <v>0.88584062833339305</v>
      </c>
      <c r="E5957">
        <v>0.86401647519701097</v>
      </c>
    </row>
    <row r="5958" spans="1:5" x14ac:dyDescent="0.2">
      <c r="A5958">
        <v>0.48827999999999999</v>
      </c>
      <c r="B5958">
        <v>0.79643875925167296</v>
      </c>
      <c r="C5958">
        <v>0.77079967321571097</v>
      </c>
      <c r="D5958">
        <v>0.88592810901566899</v>
      </c>
      <c r="E5958">
        <v>0.86411189357686302</v>
      </c>
    </row>
    <row r="5959" spans="1:5" x14ac:dyDescent="0.2">
      <c r="A5959">
        <v>0.48854666666666702</v>
      </c>
      <c r="B5959">
        <v>0.79657683419208203</v>
      </c>
      <c r="C5959">
        <v>0.77095251649593699</v>
      </c>
      <c r="D5959">
        <v>0.88601554416807204</v>
      </c>
      <c r="E5959">
        <v>0.86420729679762498</v>
      </c>
    </row>
    <row r="5960" spans="1:5" x14ac:dyDescent="0.2">
      <c r="A5960">
        <v>0.48881333333333299</v>
      </c>
      <c r="B5960">
        <v>0.79671485770665695</v>
      </c>
      <c r="C5960">
        <v>0.77110530665698096</v>
      </c>
      <c r="D5960">
        <v>0.88610293382232197</v>
      </c>
      <c r="E5960">
        <v>0.864302684842021</v>
      </c>
    </row>
    <row r="5961" spans="1:5" x14ac:dyDescent="0.2">
      <c r="A5961">
        <v>0.48908000000000001</v>
      </c>
      <c r="B5961">
        <v>0.79685282984357397</v>
      </c>
      <c r="C5961">
        <v>0.77125804374728102</v>
      </c>
      <c r="D5961">
        <v>0.88619027801013595</v>
      </c>
      <c r="E5961">
        <v>0.864398057692777</v>
      </c>
    </row>
    <row r="5962" spans="1:5" x14ac:dyDescent="0.2">
      <c r="A5962">
        <v>0.48934666666666699</v>
      </c>
      <c r="B5962">
        <v>0.796990750651008</v>
      </c>
      <c r="C5962">
        <v>0.77141072781527598</v>
      </c>
      <c r="D5962">
        <v>0.88627757676323204</v>
      </c>
      <c r="E5962">
        <v>0.86449341533261503</v>
      </c>
    </row>
    <row r="5963" spans="1:5" x14ac:dyDescent="0.2">
      <c r="A5963">
        <v>0.48961333333333301</v>
      </c>
      <c r="B5963">
        <v>0.79712862017713404</v>
      </c>
      <c r="C5963">
        <v>0.77156335890940297</v>
      </c>
      <c r="D5963">
        <v>0.88636483011332701</v>
      </c>
      <c r="E5963">
        <v>0.86458875774426103</v>
      </c>
    </row>
    <row r="5964" spans="1:5" x14ac:dyDescent="0.2">
      <c r="A5964">
        <v>0.48987999999999998</v>
      </c>
      <c r="B5964">
        <v>0.79726643847012701</v>
      </c>
      <c r="C5964">
        <v>0.77171593707810104</v>
      </c>
      <c r="D5964">
        <v>0.88645203809214002</v>
      </c>
      <c r="E5964">
        <v>0.86468408491043902</v>
      </c>
    </row>
    <row r="5965" spans="1:5" x14ac:dyDescent="0.2">
      <c r="A5965">
        <v>0.49014666666666701</v>
      </c>
      <c r="B5965">
        <v>0.797404205578091</v>
      </c>
      <c r="C5965">
        <v>0.77186846236973505</v>
      </c>
      <c r="D5965">
        <v>0.88653920073138803</v>
      </c>
      <c r="E5965">
        <v>0.86477939681387195</v>
      </c>
    </row>
    <row r="5966" spans="1:5" x14ac:dyDescent="0.2">
      <c r="A5966">
        <v>0.49041333333333298</v>
      </c>
      <c r="B5966">
        <v>0.797541921547818</v>
      </c>
      <c r="C5966">
        <v>0.77202093483131295</v>
      </c>
      <c r="D5966">
        <v>0.88662631806278802</v>
      </c>
      <c r="E5966">
        <v>0.86487469343728596</v>
      </c>
    </row>
    <row r="5967" spans="1:5" x14ac:dyDescent="0.2">
      <c r="A5967">
        <v>0.49068000000000001</v>
      </c>
      <c r="B5967">
        <v>0.79767958642494396</v>
      </c>
      <c r="C5967">
        <v>0.77217335450865399</v>
      </c>
      <c r="D5967">
        <v>0.88671339011806005</v>
      </c>
      <c r="E5967">
        <v>0.86496997476340398</v>
      </c>
    </row>
    <row r="5968" spans="1:5" x14ac:dyDescent="0.2">
      <c r="A5968">
        <v>0.49094666666666698</v>
      </c>
      <c r="B5968">
        <v>0.79781720025506997</v>
      </c>
      <c r="C5968">
        <v>0.77232572144753397</v>
      </c>
      <c r="D5968">
        <v>0.88680041692891998</v>
      </c>
      <c r="E5968">
        <v>0.86506524077495095</v>
      </c>
    </row>
    <row r="5969" spans="1:5" x14ac:dyDescent="0.2">
      <c r="A5969">
        <v>0.491213333333333</v>
      </c>
      <c r="B5969">
        <v>0.79795476308379598</v>
      </c>
      <c r="C5969">
        <v>0.77247803569373197</v>
      </c>
      <c r="D5969">
        <v>0.88688739852708598</v>
      </c>
      <c r="E5969">
        <v>0.86516049145465101</v>
      </c>
    </row>
    <row r="5970" spans="1:5" x14ac:dyDescent="0.2">
      <c r="A5970">
        <v>0.49147999999999997</v>
      </c>
      <c r="B5970">
        <v>0.79809227495671897</v>
      </c>
      <c r="C5970">
        <v>0.77263029729302501</v>
      </c>
      <c r="D5970">
        <v>0.88697433494427602</v>
      </c>
      <c r="E5970">
        <v>0.865255726785229</v>
      </c>
    </row>
    <row r="5971" spans="1:5" x14ac:dyDescent="0.2">
      <c r="A5971">
        <v>0.491746666666667</v>
      </c>
      <c r="B5971">
        <v>0.79822973591944002</v>
      </c>
      <c r="C5971">
        <v>0.77278250629119105</v>
      </c>
      <c r="D5971">
        <v>0.88706122621220895</v>
      </c>
      <c r="E5971">
        <v>0.86535094674940805</v>
      </c>
    </row>
    <row r="5972" spans="1:5" x14ac:dyDescent="0.2">
      <c r="A5972">
        <v>0.49201333333333302</v>
      </c>
      <c r="B5972">
        <v>0.79836714601755798</v>
      </c>
      <c r="C5972">
        <v>0.77293466273400802</v>
      </c>
      <c r="D5972">
        <v>0.88714807236259996</v>
      </c>
      <c r="E5972">
        <v>0.86544615132991298</v>
      </c>
    </row>
    <row r="5973" spans="1:5" x14ac:dyDescent="0.2">
      <c r="A5973">
        <v>0.49228</v>
      </c>
      <c r="B5973">
        <v>0.79850450529667305</v>
      </c>
      <c r="C5973">
        <v>0.77308676666725396</v>
      </c>
      <c r="D5973">
        <v>0.887234873427169</v>
      </c>
      <c r="E5973">
        <v>0.86554134050946896</v>
      </c>
    </row>
    <row r="5974" spans="1:5" x14ac:dyDescent="0.2">
      <c r="A5974">
        <v>0.49254666666666702</v>
      </c>
      <c r="B5974">
        <v>0.79864181380238297</v>
      </c>
      <c r="C5974">
        <v>0.77323881813670603</v>
      </c>
      <c r="D5974">
        <v>0.88732162943763404</v>
      </c>
      <c r="E5974">
        <v>0.86563651427079802</v>
      </c>
    </row>
    <row r="5975" spans="1:5" x14ac:dyDescent="0.2">
      <c r="A5975">
        <v>0.49281333333333299</v>
      </c>
      <c r="B5975">
        <v>0.79877907158028705</v>
      </c>
      <c r="C5975">
        <v>0.77339081718814096</v>
      </c>
      <c r="D5975">
        <v>0.88740834042571104</v>
      </c>
      <c r="E5975">
        <v>0.86573167259662698</v>
      </c>
    </row>
    <row r="5976" spans="1:5" x14ac:dyDescent="0.2">
      <c r="A5976">
        <v>0.49308000000000002</v>
      </c>
      <c r="B5976">
        <v>0.79891627867598702</v>
      </c>
      <c r="C5976">
        <v>0.773542763867339</v>
      </c>
      <c r="D5976">
        <v>0.88749500642311896</v>
      </c>
      <c r="E5976">
        <v>0.86582681546967899</v>
      </c>
    </row>
    <row r="5977" spans="1:5" x14ac:dyDescent="0.2">
      <c r="A5977">
        <v>0.49334666666666699</v>
      </c>
      <c r="B5977">
        <v>0.79905343513507898</v>
      </c>
      <c r="C5977">
        <v>0.77369465822007499</v>
      </c>
      <c r="D5977">
        <v>0.88758162746157498</v>
      </c>
      <c r="E5977">
        <v>0.86592194287267799</v>
      </c>
    </row>
    <row r="5978" spans="1:5" x14ac:dyDescent="0.2">
      <c r="A5978">
        <v>0.49361333333333302</v>
      </c>
      <c r="B5978">
        <v>0.799190541003165</v>
      </c>
      <c r="C5978">
        <v>0.77384650029212898</v>
      </c>
      <c r="D5978">
        <v>0.88766820357279796</v>
      </c>
      <c r="E5978">
        <v>0.86601705478834901</v>
      </c>
    </row>
    <row r="5979" spans="1:5" x14ac:dyDescent="0.2">
      <c r="A5979">
        <v>0.49387999999999999</v>
      </c>
      <c r="B5979">
        <v>0.79932759632584305</v>
      </c>
      <c r="C5979">
        <v>0.77399829012927701</v>
      </c>
      <c r="D5979">
        <v>0.88775473478850397</v>
      </c>
      <c r="E5979">
        <v>0.86611215119941498</v>
      </c>
    </row>
    <row r="5980" spans="1:5" x14ac:dyDescent="0.2">
      <c r="A5980">
        <v>0.49414666666666701</v>
      </c>
      <c r="B5980">
        <v>0.79946460114871198</v>
      </c>
      <c r="C5980">
        <v>0.77415002777729802</v>
      </c>
      <c r="D5980">
        <v>0.88784122114041297</v>
      </c>
      <c r="E5980">
        <v>0.86620723208860195</v>
      </c>
    </row>
    <row r="5981" spans="1:5" x14ac:dyDescent="0.2">
      <c r="A5981">
        <v>0.49441333333333298</v>
      </c>
      <c r="B5981">
        <v>0.799601555517373</v>
      </c>
      <c r="C5981">
        <v>0.77430171328196895</v>
      </c>
      <c r="D5981">
        <v>0.88792766266024103</v>
      </c>
      <c r="E5981">
        <v>0.86630229743863396</v>
      </c>
    </row>
    <row r="5982" spans="1:5" x14ac:dyDescent="0.2">
      <c r="A5982">
        <v>0.49468000000000001</v>
      </c>
      <c r="B5982">
        <v>0.79973845947742295</v>
      </c>
      <c r="C5982">
        <v>0.77445334668906796</v>
      </c>
      <c r="D5982">
        <v>0.88801405937970701</v>
      </c>
      <c r="E5982">
        <v>0.86639734723223405</v>
      </c>
    </row>
    <row r="5983" spans="1:5" x14ac:dyDescent="0.2">
      <c r="A5983">
        <v>0.49494666666666698</v>
      </c>
      <c r="B5983">
        <v>0.79987531307446302</v>
      </c>
      <c r="C5983">
        <v>0.77460492804437198</v>
      </c>
      <c r="D5983">
        <v>0.88810041133052697</v>
      </c>
      <c r="E5983">
        <v>0.86649238145212704</v>
      </c>
    </row>
    <row r="5984" spans="1:5" x14ac:dyDescent="0.2">
      <c r="A5984">
        <v>0.49521333333333301</v>
      </c>
      <c r="B5984">
        <v>0.80001211635409197</v>
      </c>
      <c r="C5984">
        <v>0.77475645739365995</v>
      </c>
      <c r="D5984">
        <v>0.88818671854442099</v>
      </c>
      <c r="E5984">
        <v>0.86658740008103796</v>
      </c>
    </row>
    <row r="5985" spans="1:5" x14ac:dyDescent="0.2">
      <c r="A5985">
        <v>0.49547999999999998</v>
      </c>
      <c r="B5985">
        <v>0.80014886936190899</v>
      </c>
      <c r="C5985">
        <v>0.77490793478270903</v>
      </c>
      <c r="D5985">
        <v>0.88827298105310504</v>
      </c>
      <c r="E5985">
        <v>0.86668240310169098</v>
      </c>
    </row>
    <row r="5986" spans="1:5" x14ac:dyDescent="0.2">
      <c r="A5986">
        <v>0.495746666666667</v>
      </c>
      <c r="B5986">
        <v>0.80028557214351403</v>
      </c>
      <c r="C5986">
        <v>0.77505936025729705</v>
      </c>
      <c r="D5986">
        <v>0.88835919888829795</v>
      </c>
      <c r="E5986">
        <v>0.86677739049680902</v>
      </c>
    </row>
    <row r="5987" spans="1:5" x14ac:dyDescent="0.2">
      <c r="A5987">
        <v>0.49601333333333297</v>
      </c>
      <c r="B5987">
        <v>0.80042222474450597</v>
      </c>
      <c r="C5987">
        <v>0.77521073386320105</v>
      </c>
      <c r="D5987">
        <v>0.88844537208171703</v>
      </c>
      <c r="E5987">
        <v>0.86687236224911701</v>
      </c>
    </row>
    <row r="5988" spans="1:5" x14ac:dyDescent="0.2">
      <c r="A5988">
        <v>0.49628</v>
      </c>
      <c r="B5988">
        <v>0.80055882721048399</v>
      </c>
      <c r="C5988">
        <v>0.77536205564619898</v>
      </c>
      <c r="D5988">
        <v>0.88853150066508002</v>
      </c>
      <c r="E5988">
        <v>0.86696731834134</v>
      </c>
    </row>
    <row r="5989" spans="1:5" x14ac:dyDescent="0.2">
      <c r="A5989">
        <v>0.49654666666666702</v>
      </c>
      <c r="B5989">
        <v>0.80069537958704695</v>
      </c>
      <c r="C5989">
        <v>0.77551332565206899</v>
      </c>
      <c r="D5989">
        <v>0.88861758467010499</v>
      </c>
      <c r="E5989">
        <v>0.86706225875620202</v>
      </c>
    </row>
    <row r="5990" spans="1:5" x14ac:dyDescent="0.2">
      <c r="A5990">
        <v>0.496813333333333</v>
      </c>
      <c r="B5990">
        <v>0.80083188191979504</v>
      </c>
      <c r="C5990">
        <v>0.77566454392658901</v>
      </c>
      <c r="D5990">
        <v>0.88870362412851001</v>
      </c>
      <c r="E5990">
        <v>0.86715718347642701</v>
      </c>
    </row>
    <row r="5991" spans="1:5" x14ac:dyDescent="0.2">
      <c r="A5991">
        <v>0.49708000000000002</v>
      </c>
      <c r="B5991">
        <v>0.80096833425432701</v>
      </c>
      <c r="C5991">
        <v>0.77581571051553599</v>
      </c>
      <c r="D5991">
        <v>0.88878961907201204</v>
      </c>
      <c r="E5991">
        <v>0.867252092484739</v>
      </c>
    </row>
    <row r="5992" spans="1:5" x14ac:dyDescent="0.2">
      <c r="A5992">
        <v>0.49734666666666699</v>
      </c>
      <c r="B5992">
        <v>0.80110473663624304</v>
      </c>
      <c r="C5992">
        <v>0.77596682546468798</v>
      </c>
      <c r="D5992">
        <v>0.88887556953232905</v>
      </c>
      <c r="E5992">
        <v>0.86734698576386304</v>
      </c>
    </row>
    <row r="5993" spans="1:5" x14ac:dyDescent="0.2">
      <c r="A5993">
        <v>0.49761333333333302</v>
      </c>
      <c r="B5993">
        <v>0.801241089111142</v>
      </c>
      <c r="C5993">
        <v>0.77611788881982302</v>
      </c>
      <c r="D5993">
        <v>0.88896147554117899</v>
      </c>
      <c r="E5993">
        <v>0.86744186329652295</v>
      </c>
    </row>
    <row r="5994" spans="1:5" x14ac:dyDescent="0.2">
      <c r="A5994">
        <v>0.49787999999999999</v>
      </c>
      <c r="B5994">
        <v>0.80137739172462197</v>
      </c>
      <c r="C5994">
        <v>0.77626890062671805</v>
      </c>
      <c r="D5994">
        <v>0.88904733713027995</v>
      </c>
      <c r="E5994">
        <v>0.86753672506544299</v>
      </c>
    </row>
    <row r="5995" spans="1:5" x14ac:dyDescent="0.2">
      <c r="A5995">
        <v>0.49814666666666702</v>
      </c>
      <c r="B5995">
        <v>0.80151364452228402</v>
      </c>
      <c r="C5995">
        <v>0.77641986093115201</v>
      </c>
      <c r="D5995">
        <v>0.88913315433134898</v>
      </c>
      <c r="E5995">
        <v>0.86763157105334698</v>
      </c>
    </row>
    <row r="5996" spans="1:5" x14ac:dyDescent="0.2">
      <c r="A5996">
        <v>0.49841333333333299</v>
      </c>
      <c r="B5996">
        <v>0.80164984754972801</v>
      </c>
      <c r="C5996">
        <v>0.77657076977890105</v>
      </c>
      <c r="D5996">
        <v>0.88921892717610496</v>
      </c>
      <c r="E5996">
        <v>0.86772640124295997</v>
      </c>
    </row>
    <row r="5997" spans="1:5" x14ac:dyDescent="0.2">
      <c r="A5997">
        <v>0.49868000000000001</v>
      </c>
      <c r="B5997">
        <v>0.80178600085255103</v>
      </c>
      <c r="C5997">
        <v>0.776721627215744</v>
      </c>
      <c r="D5997">
        <v>0.88930465569626405</v>
      </c>
      <c r="E5997">
        <v>0.86782121561700698</v>
      </c>
    </row>
    <row r="5998" spans="1:5" x14ac:dyDescent="0.2">
      <c r="A5998">
        <v>0.49894666666666698</v>
      </c>
      <c r="B5998">
        <v>0.80192210447635304</v>
      </c>
      <c r="C5998">
        <v>0.77687243328745803</v>
      </c>
      <c r="D5998">
        <v>0.88939033992354599</v>
      </c>
      <c r="E5998">
        <v>0.86791601415820996</v>
      </c>
    </row>
    <row r="5999" spans="1:5" x14ac:dyDescent="0.2">
      <c r="A5999">
        <v>0.49921333333333301</v>
      </c>
      <c r="B5999">
        <v>0.80205815846673501</v>
      </c>
      <c r="C5999">
        <v>0.77702318803982096</v>
      </c>
      <c r="D5999">
        <v>0.88947597988966698</v>
      </c>
      <c r="E5999">
        <v>0.86801079684929605</v>
      </c>
    </row>
    <row r="6000" spans="1:5" x14ac:dyDescent="0.2">
      <c r="A6000">
        <v>0.49947999999999998</v>
      </c>
      <c r="B6000">
        <v>0.80219416286929401</v>
      </c>
      <c r="C6000">
        <v>0.77717389151861105</v>
      </c>
      <c r="D6000">
        <v>0.88956157562634497</v>
      </c>
      <c r="E6000">
        <v>0.86810556367298697</v>
      </c>
    </row>
    <row r="6001" spans="1:5" x14ac:dyDescent="0.2">
      <c r="A6001">
        <v>0.49974666666666701</v>
      </c>
      <c r="B6001">
        <v>0.80233011772963103</v>
      </c>
      <c r="C6001">
        <v>0.77732454376960602</v>
      </c>
      <c r="D6001">
        <v>0.88964712716529903</v>
      </c>
      <c r="E6001">
        <v>0.86820031461200797</v>
      </c>
    </row>
    <row r="6002" spans="1:5" x14ac:dyDescent="0.2">
      <c r="A6002">
        <v>0.500016666666667</v>
      </c>
      <c r="B6002">
        <v>0.80246772159736401</v>
      </c>
      <c r="C6002">
        <v>0.77747702702825305</v>
      </c>
      <c r="D6002">
        <v>0.88973370310105404</v>
      </c>
      <c r="E6002">
        <v>0.86829623373634501</v>
      </c>
    </row>
    <row r="6003" spans="1:5" x14ac:dyDescent="0.2">
      <c r="A6003">
        <v>0.50034999999999996</v>
      </c>
      <c r="B6003">
        <v>0.80263753299371199</v>
      </c>
      <c r="C6003">
        <v>0.77766520566011499</v>
      </c>
      <c r="D6003">
        <v>0.88984052456782503</v>
      </c>
      <c r="E6003">
        <v>0.86841462989535201</v>
      </c>
    </row>
    <row r="6004" spans="1:5" x14ac:dyDescent="0.2">
      <c r="A6004">
        <v>0.50068333333333304</v>
      </c>
      <c r="B6004">
        <v>0.80280726720781903</v>
      </c>
      <c r="C6004">
        <v>0.777853304477368</v>
      </c>
      <c r="D6004">
        <v>0.88994727713733601</v>
      </c>
      <c r="E6004">
        <v>0.86853300114649701</v>
      </c>
    </row>
    <row r="6005" spans="1:5" x14ac:dyDescent="0.2">
      <c r="A6005">
        <v>0.501016666666667</v>
      </c>
      <c r="B6005">
        <v>0.80297692432401502</v>
      </c>
      <c r="C6005">
        <v>0.77804132356510203</v>
      </c>
      <c r="D6005">
        <v>0.89005396087153799</v>
      </c>
      <c r="E6005">
        <v>0.868651347456039</v>
      </c>
    </row>
    <row r="6006" spans="1:5" x14ac:dyDescent="0.2">
      <c r="A6006">
        <v>0.50134999999999996</v>
      </c>
      <c r="B6006">
        <v>0.80314650442662905</v>
      </c>
      <c r="C6006">
        <v>0.778229263008406</v>
      </c>
      <c r="D6006">
        <v>0.89016057583237895</v>
      </c>
      <c r="E6006">
        <v>0.86876966879023398</v>
      </c>
    </row>
    <row r="6007" spans="1:5" x14ac:dyDescent="0.2">
      <c r="A6007">
        <v>0.50168333333333304</v>
      </c>
      <c r="B6007">
        <v>0.803316007599992</v>
      </c>
      <c r="C6007">
        <v>0.77841712289236697</v>
      </c>
      <c r="D6007">
        <v>0.89026712208180703</v>
      </c>
      <c r="E6007">
        <v>0.86888796511534305</v>
      </c>
    </row>
    <row r="6008" spans="1:5" x14ac:dyDescent="0.2">
      <c r="A6008">
        <v>0.502016666666667</v>
      </c>
      <c r="B6008">
        <v>0.80348543392843197</v>
      </c>
      <c r="C6008">
        <v>0.77860490330207499</v>
      </c>
      <c r="D6008">
        <v>0.89037359968177199</v>
      </c>
      <c r="E6008">
        <v>0.86900623639762298</v>
      </c>
    </row>
    <row r="6009" spans="1:5" x14ac:dyDescent="0.2">
      <c r="A6009">
        <v>0.50234999999999996</v>
      </c>
      <c r="B6009">
        <v>0.80365478349628106</v>
      </c>
      <c r="C6009">
        <v>0.77879260432261899</v>
      </c>
      <c r="D6009">
        <v>0.89048000869422195</v>
      </c>
      <c r="E6009">
        <v>0.86912448260333297</v>
      </c>
    </row>
    <row r="6010" spans="1:5" x14ac:dyDescent="0.2">
      <c r="A6010">
        <v>0.50268333333333304</v>
      </c>
      <c r="B6010">
        <v>0.80382405638786603</v>
      </c>
      <c r="C6010">
        <v>0.77898022603908801</v>
      </c>
      <c r="D6010">
        <v>0.89058634918110602</v>
      </c>
      <c r="E6010">
        <v>0.86924270369873002</v>
      </c>
    </row>
    <row r="6011" spans="1:5" x14ac:dyDescent="0.2">
      <c r="A6011">
        <v>0.503016666666667</v>
      </c>
      <c r="B6011">
        <v>0.80399325268751898</v>
      </c>
      <c r="C6011">
        <v>0.77916776853656899</v>
      </c>
      <c r="D6011">
        <v>0.89069262120437298</v>
      </c>
      <c r="E6011">
        <v>0.86936089965007401</v>
      </c>
    </row>
    <row r="6012" spans="1:5" x14ac:dyDescent="0.2">
      <c r="A6012">
        <v>0.50334999999999996</v>
      </c>
      <c r="B6012">
        <v>0.80416237247956901</v>
      </c>
      <c r="C6012">
        <v>0.77935523190015299</v>
      </c>
      <c r="D6012">
        <v>0.89079882482597095</v>
      </c>
      <c r="E6012">
        <v>0.86947907042362305</v>
      </c>
    </row>
    <row r="6013" spans="1:5" x14ac:dyDescent="0.2">
      <c r="A6013">
        <v>0.50368333333333304</v>
      </c>
      <c r="B6013">
        <v>0.804331415848346</v>
      </c>
      <c r="C6013">
        <v>0.77954261621492804</v>
      </c>
      <c r="D6013">
        <v>0.89090496010784903</v>
      </c>
      <c r="E6013">
        <v>0.869597215985634</v>
      </c>
    </row>
    <row r="6014" spans="1:5" x14ac:dyDescent="0.2">
      <c r="A6014">
        <v>0.504016666666667</v>
      </c>
      <c r="B6014">
        <v>0.80450038287817904</v>
      </c>
      <c r="C6014">
        <v>0.77972992156598198</v>
      </c>
      <c r="D6014">
        <v>0.89101102711195701</v>
      </c>
      <c r="E6014">
        <v>0.86971533630236797</v>
      </c>
    </row>
    <row r="6015" spans="1:5" x14ac:dyDescent="0.2">
      <c r="A6015">
        <v>0.50434999999999997</v>
      </c>
      <c r="B6015">
        <v>0.80466927365339902</v>
      </c>
      <c r="C6015">
        <v>0.77991714803840495</v>
      </c>
      <c r="D6015">
        <v>0.891117025900243</v>
      </c>
      <c r="E6015">
        <v>0.86983343134008095</v>
      </c>
    </row>
    <row r="6016" spans="1:5" x14ac:dyDescent="0.2">
      <c r="A6016">
        <v>0.50468333333333304</v>
      </c>
      <c r="B6016">
        <v>0.80483808825833403</v>
      </c>
      <c r="C6016">
        <v>0.78010429571728501</v>
      </c>
      <c r="D6016">
        <v>0.891222956534655</v>
      </c>
      <c r="E6016">
        <v>0.86995150106503205</v>
      </c>
    </row>
    <row r="6017" spans="1:5" x14ac:dyDescent="0.2">
      <c r="A6017">
        <v>0.505016666666667</v>
      </c>
      <c r="B6017">
        <v>0.80500682677731505</v>
      </c>
      <c r="C6017">
        <v>0.78029136468771099</v>
      </c>
      <c r="D6017">
        <v>0.89132881907714301</v>
      </c>
      <c r="E6017">
        <v>0.87006954544348003</v>
      </c>
    </row>
    <row r="6018" spans="1:5" x14ac:dyDescent="0.2">
      <c r="A6018">
        <v>0.50534999999999997</v>
      </c>
      <c r="B6018">
        <v>0.80517548929467198</v>
      </c>
      <c r="C6018">
        <v>0.78047835503477203</v>
      </c>
      <c r="D6018">
        <v>0.89143461358965603</v>
      </c>
      <c r="E6018">
        <v>0.87018756444168299</v>
      </c>
    </row>
    <row r="6019" spans="1:5" x14ac:dyDescent="0.2">
      <c r="A6019">
        <v>0.50568333333333304</v>
      </c>
      <c r="B6019">
        <v>0.805344075894734</v>
      </c>
      <c r="C6019">
        <v>0.78066526684355597</v>
      </c>
      <c r="D6019">
        <v>0.89154034013414096</v>
      </c>
      <c r="E6019">
        <v>0.87030555802589904</v>
      </c>
    </row>
    <row r="6020" spans="1:5" x14ac:dyDescent="0.2">
      <c r="A6020">
        <v>0.506016666666667</v>
      </c>
      <c r="B6020">
        <v>0.80551258666183201</v>
      </c>
      <c r="C6020">
        <v>0.78085210019915396</v>
      </c>
      <c r="D6020">
        <v>0.89164599877254802</v>
      </c>
      <c r="E6020">
        <v>0.87042352616238605</v>
      </c>
    </row>
    <row r="6021" spans="1:5" x14ac:dyDescent="0.2">
      <c r="A6021">
        <v>0.50634999999999997</v>
      </c>
      <c r="B6021">
        <v>0.80568102168029399</v>
      </c>
      <c r="C6021">
        <v>0.78103885518665195</v>
      </c>
      <c r="D6021">
        <v>0.89175158956682599</v>
      </c>
      <c r="E6021">
        <v>0.87054146881740402</v>
      </c>
    </row>
    <row r="6022" spans="1:5" x14ac:dyDescent="0.2">
      <c r="A6022">
        <v>0.50668333333333304</v>
      </c>
      <c r="B6022">
        <v>0.80584938103445003</v>
      </c>
      <c r="C6022">
        <v>0.78122553189113997</v>
      </c>
      <c r="D6022">
        <v>0.89185711257892297</v>
      </c>
      <c r="E6022">
        <v>0.87065938595721104</v>
      </c>
    </row>
    <row r="6023" spans="1:5" x14ac:dyDescent="0.2">
      <c r="A6023">
        <v>0.507016666666667</v>
      </c>
      <c r="B6023">
        <v>0.80601766480863102</v>
      </c>
      <c r="C6023">
        <v>0.78141213039770796</v>
      </c>
      <c r="D6023">
        <v>0.89196256787078798</v>
      </c>
      <c r="E6023">
        <v>0.870777277548064</v>
      </c>
    </row>
    <row r="6024" spans="1:5" x14ac:dyDescent="0.2">
      <c r="A6024">
        <v>0.50734999999999997</v>
      </c>
      <c r="B6024">
        <v>0.80618587308716605</v>
      </c>
      <c r="C6024">
        <v>0.78159865079144297</v>
      </c>
      <c r="D6024">
        <v>0.89206795550437101</v>
      </c>
      <c r="E6024">
        <v>0.870895143556222</v>
      </c>
    </row>
    <row r="6025" spans="1:5" x14ac:dyDescent="0.2">
      <c r="A6025">
        <v>0.50768333333333304</v>
      </c>
      <c r="B6025">
        <v>0.806354005954385</v>
      </c>
      <c r="C6025">
        <v>0.78178509315743405</v>
      </c>
      <c r="D6025">
        <v>0.89217327554161896</v>
      </c>
      <c r="E6025">
        <v>0.87101298394794402</v>
      </c>
    </row>
    <row r="6026" spans="1:5" x14ac:dyDescent="0.2">
      <c r="A6026">
        <v>0.50801666666666701</v>
      </c>
      <c r="B6026">
        <v>0.80652206349461797</v>
      </c>
      <c r="C6026">
        <v>0.78197145758077102</v>
      </c>
      <c r="D6026">
        <v>0.89227852804448204</v>
      </c>
      <c r="E6026">
        <v>0.87113079868948695</v>
      </c>
    </row>
    <row r="6027" spans="1:5" x14ac:dyDescent="0.2">
      <c r="A6027">
        <v>0.50834999999999997</v>
      </c>
      <c r="B6027">
        <v>0.80669004579219405</v>
      </c>
      <c r="C6027">
        <v>0.78215774414654105</v>
      </c>
      <c r="D6027">
        <v>0.89238371307490805</v>
      </c>
      <c r="E6027">
        <v>0.871248587747111</v>
      </c>
    </row>
    <row r="6028" spans="1:5" x14ac:dyDescent="0.2">
      <c r="A6028">
        <v>0.50868333333333304</v>
      </c>
      <c r="B6028">
        <v>0.80685795293144302</v>
      </c>
      <c r="C6028">
        <v>0.78234395293983505</v>
      </c>
      <c r="D6028">
        <v>0.89248883069484597</v>
      </c>
      <c r="E6028">
        <v>0.87136635108707405</v>
      </c>
    </row>
    <row r="6029" spans="1:5" x14ac:dyDescent="0.2">
      <c r="A6029">
        <v>0.50901666666666701</v>
      </c>
      <c r="B6029">
        <v>0.80702578499669397</v>
      </c>
      <c r="C6029">
        <v>0.78253008404573998</v>
      </c>
      <c r="D6029">
        <v>0.89259388096624503</v>
      </c>
      <c r="E6029">
        <v>0.87148408867563298</v>
      </c>
    </row>
    <row r="6030" spans="1:5" x14ac:dyDescent="0.2">
      <c r="A6030">
        <v>0.50934999999999997</v>
      </c>
      <c r="B6030">
        <v>0.807193542072279</v>
      </c>
      <c r="C6030">
        <v>0.78271613754934599</v>
      </c>
      <c r="D6030">
        <v>0.89269886395105402</v>
      </c>
      <c r="E6030">
        <v>0.87160180047904801</v>
      </c>
    </row>
    <row r="6031" spans="1:5" x14ac:dyDescent="0.2">
      <c r="A6031">
        <v>0.50968333333333304</v>
      </c>
      <c r="B6031">
        <v>0.80736122424252599</v>
      </c>
      <c r="C6031">
        <v>0.78290211353574102</v>
      </c>
      <c r="D6031">
        <v>0.89280377971122205</v>
      </c>
      <c r="E6031">
        <v>0.871719486463577</v>
      </c>
    </row>
    <row r="6032" spans="1:5" x14ac:dyDescent="0.2">
      <c r="A6032">
        <v>0.51001666666666701</v>
      </c>
      <c r="B6032">
        <v>0.80752883159176503</v>
      </c>
      <c r="C6032">
        <v>0.783088012090014</v>
      </c>
      <c r="D6032">
        <v>0.892908628308696</v>
      </c>
      <c r="E6032">
        <v>0.87183714659547695</v>
      </c>
    </row>
    <row r="6033" spans="1:5" x14ac:dyDescent="0.2">
      <c r="A6033">
        <v>0.51034999999999997</v>
      </c>
      <c r="B6033">
        <v>0.80769636420350299</v>
      </c>
      <c r="C6033">
        <v>0.78327383329636102</v>
      </c>
      <c r="D6033">
        <v>0.89301340980542698</v>
      </c>
      <c r="E6033">
        <v>0.87195478084100897</v>
      </c>
    </row>
    <row r="6034" spans="1:5" x14ac:dyDescent="0.2">
      <c r="A6034">
        <v>0.51068333333333304</v>
      </c>
      <c r="B6034">
        <v>0.80786382215841401</v>
      </c>
      <c r="C6034">
        <v>0.78345957723589998</v>
      </c>
      <c r="D6034">
        <v>0.89311812426336301</v>
      </c>
      <c r="E6034">
        <v>0.87207238916642904</v>
      </c>
    </row>
    <row r="6035" spans="1:5" x14ac:dyDescent="0.2">
      <c r="A6035">
        <v>0.51101666666666701</v>
      </c>
      <c r="B6035">
        <v>0.80803120553656205</v>
      </c>
      <c r="C6035">
        <v>0.78364524398908897</v>
      </c>
      <c r="D6035">
        <v>0.89322277174445197</v>
      </c>
      <c r="E6035">
        <v>0.87218997153799604</v>
      </c>
    </row>
    <row r="6036" spans="1:5" x14ac:dyDescent="0.2">
      <c r="A6036">
        <v>0.51134999999999997</v>
      </c>
      <c r="B6036">
        <v>0.80819851441801105</v>
      </c>
      <c r="C6036">
        <v>0.78383083363638595</v>
      </c>
      <c r="D6036">
        <v>0.89332735231064397</v>
      </c>
      <c r="E6036">
        <v>0.87230752792196897</v>
      </c>
    </row>
    <row r="6037" spans="1:5" x14ac:dyDescent="0.2">
      <c r="A6037">
        <v>0.51168333333333305</v>
      </c>
      <c r="B6037">
        <v>0.80836574888282597</v>
      </c>
      <c r="C6037">
        <v>0.78401634625824801</v>
      </c>
      <c r="D6037">
        <v>0.89343186602388602</v>
      </c>
      <c r="E6037">
        <v>0.87242505828460604</v>
      </c>
    </row>
    <row r="6038" spans="1:5" x14ac:dyDescent="0.2">
      <c r="A6038">
        <v>0.51201666666666701</v>
      </c>
      <c r="B6038">
        <v>0.80853290901107</v>
      </c>
      <c r="C6038">
        <v>0.78420178193513301</v>
      </c>
      <c r="D6038">
        <v>0.89353631294612901</v>
      </c>
      <c r="E6038">
        <v>0.87254256259216501</v>
      </c>
    </row>
    <row r="6039" spans="1:5" x14ac:dyDescent="0.2">
      <c r="A6039">
        <v>0.51234999999999997</v>
      </c>
      <c r="B6039">
        <v>0.80869999488280897</v>
      </c>
      <c r="C6039">
        <v>0.78438714074749705</v>
      </c>
      <c r="D6039">
        <v>0.89364069313932104</v>
      </c>
      <c r="E6039">
        <v>0.87266004081090398</v>
      </c>
    </row>
    <row r="6040" spans="1:5" x14ac:dyDescent="0.2">
      <c r="A6040">
        <v>0.51268333333333305</v>
      </c>
      <c r="B6040">
        <v>0.80886700657810595</v>
      </c>
      <c r="C6040">
        <v>0.78457242277579897</v>
      </c>
      <c r="D6040">
        <v>0.89374500666541001</v>
      </c>
      <c r="E6040">
        <v>0.87277749290708295</v>
      </c>
    </row>
    <row r="6041" spans="1:5" x14ac:dyDescent="0.2">
      <c r="A6041">
        <v>0.51301666666666701</v>
      </c>
      <c r="B6041">
        <v>0.80903394417702501</v>
      </c>
      <c r="C6041">
        <v>0.78475762810049499</v>
      </c>
      <c r="D6041">
        <v>0.89384925358634604</v>
      </c>
      <c r="E6041">
        <v>0.87289491884696002</v>
      </c>
    </row>
    <row r="6042" spans="1:5" x14ac:dyDescent="0.2">
      <c r="A6042">
        <v>0.51334999999999997</v>
      </c>
      <c r="B6042">
        <v>0.80920080775963099</v>
      </c>
      <c r="C6042">
        <v>0.78494275680204295</v>
      </c>
      <c r="D6042">
        <v>0.89395343396407601</v>
      </c>
      <c r="E6042">
        <v>0.87301231859679196</v>
      </c>
    </row>
    <row r="6043" spans="1:5" x14ac:dyDescent="0.2">
      <c r="A6043">
        <v>0.51368333333333305</v>
      </c>
      <c r="B6043">
        <v>0.80936759740598796</v>
      </c>
      <c r="C6043">
        <v>0.78512780896090095</v>
      </c>
      <c r="D6043">
        <v>0.89405754786055103</v>
      </c>
      <c r="E6043">
        <v>0.87312969212283797</v>
      </c>
    </row>
    <row r="6044" spans="1:5" x14ac:dyDescent="0.2">
      <c r="A6044">
        <v>0.51401666666666701</v>
      </c>
      <c r="B6044">
        <v>0.80953431319615998</v>
      </c>
      <c r="C6044">
        <v>0.78531278465752596</v>
      </c>
      <c r="D6044">
        <v>0.894161595337718</v>
      </c>
      <c r="E6044">
        <v>0.87324703939135695</v>
      </c>
    </row>
    <row r="6045" spans="1:5" x14ac:dyDescent="0.2">
      <c r="A6045">
        <v>0.51434999999999997</v>
      </c>
      <c r="B6045">
        <v>0.80970095521021201</v>
      </c>
      <c r="C6045">
        <v>0.78549768397237496</v>
      </c>
      <c r="D6045">
        <v>0.89426557645752702</v>
      </c>
      <c r="E6045">
        <v>0.87336436036860599</v>
      </c>
    </row>
    <row r="6046" spans="1:5" x14ac:dyDescent="0.2">
      <c r="A6046">
        <v>0.51468333333333305</v>
      </c>
      <c r="B6046">
        <v>0.80986752352820701</v>
      </c>
      <c r="C6046">
        <v>0.78568250698590603</v>
      </c>
      <c r="D6046">
        <v>0.894369491281926</v>
      </c>
      <c r="E6046">
        <v>0.87348165502084496</v>
      </c>
    </row>
    <row r="6047" spans="1:5" x14ac:dyDescent="0.2">
      <c r="A6047">
        <v>0.51501666666666701</v>
      </c>
      <c r="B6047">
        <v>0.81003401823021004</v>
      </c>
      <c r="C6047">
        <v>0.78586725377857702</v>
      </c>
      <c r="D6047">
        <v>0.89447333987286504</v>
      </c>
      <c r="E6047">
        <v>0.87359892331433198</v>
      </c>
    </row>
    <row r="6048" spans="1:5" x14ac:dyDescent="0.2">
      <c r="A6048">
        <v>0.51534999999999997</v>
      </c>
      <c r="B6048">
        <v>0.81020043939628505</v>
      </c>
      <c r="C6048">
        <v>0.78605192443084404</v>
      </c>
      <c r="D6048">
        <v>0.89457712229229103</v>
      </c>
      <c r="E6048">
        <v>0.87371616521532403</v>
      </c>
    </row>
    <row r="6049" spans="1:5" x14ac:dyDescent="0.2">
      <c r="A6049">
        <v>0.51568333333333305</v>
      </c>
      <c r="B6049">
        <v>0.81036678710649601</v>
      </c>
      <c r="C6049">
        <v>0.78623651902316505</v>
      </c>
      <c r="D6049">
        <v>0.89468083860215297</v>
      </c>
      <c r="E6049">
        <v>0.87383338069008099</v>
      </c>
    </row>
    <row r="6050" spans="1:5" x14ac:dyDescent="0.2">
      <c r="A6050">
        <v>0.51601666666666701</v>
      </c>
      <c r="B6050">
        <v>0.81053306144090798</v>
      </c>
      <c r="C6050">
        <v>0.78642103763599802</v>
      </c>
      <c r="D6050">
        <v>0.89478448886440098</v>
      </c>
      <c r="E6050">
        <v>0.87395056970486096</v>
      </c>
    </row>
    <row r="6051" spans="1:5" x14ac:dyDescent="0.2">
      <c r="A6051">
        <v>0.51634999999999998</v>
      </c>
      <c r="B6051">
        <v>0.81069926247958402</v>
      </c>
      <c r="C6051">
        <v>0.78660548034979905</v>
      </c>
      <c r="D6051">
        <v>0.89488807314098395</v>
      </c>
      <c r="E6051">
        <v>0.87406773222592204</v>
      </c>
    </row>
    <row r="6052" spans="1:5" x14ac:dyDescent="0.2">
      <c r="A6052">
        <v>0.51668333333333305</v>
      </c>
      <c r="B6052">
        <v>0.81086539030258997</v>
      </c>
      <c r="C6052">
        <v>0.78678984724502699</v>
      </c>
      <c r="D6052">
        <v>0.89499159149384899</v>
      </c>
      <c r="E6052">
        <v>0.87418486821952202</v>
      </c>
    </row>
    <row r="6053" spans="1:5" x14ac:dyDescent="0.2">
      <c r="A6053">
        <v>0.51701666666666701</v>
      </c>
      <c r="B6053">
        <v>0.81103144498998903</v>
      </c>
      <c r="C6053">
        <v>0.78697413840213903</v>
      </c>
      <c r="D6053">
        <v>0.89509504398494599</v>
      </c>
      <c r="E6053">
        <v>0.87430197765191997</v>
      </c>
    </row>
    <row r="6054" spans="1:5" x14ac:dyDescent="0.2">
      <c r="A6054">
        <v>0.51734999999999998</v>
      </c>
      <c r="B6054">
        <v>0.81119742662184502</v>
      </c>
      <c r="C6054">
        <v>0.78715835390159195</v>
      </c>
      <c r="D6054">
        <v>0.89519843067622396</v>
      </c>
      <c r="E6054">
        <v>0.87441906048937401</v>
      </c>
    </row>
    <row r="6055" spans="1:5" x14ac:dyDescent="0.2">
      <c r="A6055">
        <v>0.51768333333333305</v>
      </c>
      <c r="B6055">
        <v>0.81136333527822302</v>
      </c>
      <c r="C6055">
        <v>0.78734249382384403</v>
      </c>
      <c r="D6055">
        <v>0.89530175162963099</v>
      </c>
      <c r="E6055">
        <v>0.87453611669814302</v>
      </c>
    </row>
    <row r="6056" spans="1:5" x14ac:dyDescent="0.2">
      <c r="A6056">
        <v>0.51801666666666701</v>
      </c>
      <c r="B6056">
        <v>0.81152917103918698</v>
      </c>
      <c r="C6056">
        <v>0.78752655824935203</v>
      </c>
      <c r="D6056">
        <v>0.895405006907116</v>
      </c>
      <c r="E6056">
        <v>0.87465314624448498</v>
      </c>
    </row>
    <row r="6057" spans="1:5" x14ac:dyDescent="0.2">
      <c r="A6057">
        <v>0.51834999999999998</v>
      </c>
      <c r="B6057">
        <v>0.81169493398480097</v>
      </c>
      <c r="C6057">
        <v>0.78771054725857304</v>
      </c>
      <c r="D6057">
        <v>0.89550819657062797</v>
      </c>
      <c r="E6057">
        <v>0.874770149094658</v>
      </c>
    </row>
    <row r="6058" spans="1:5" x14ac:dyDescent="0.2">
      <c r="A6058">
        <v>0.51868333333333305</v>
      </c>
      <c r="B6058">
        <v>0.81186062419512905</v>
      </c>
      <c r="C6058">
        <v>0.78789446093196502</v>
      </c>
      <c r="D6058">
        <v>0.89561132068211602</v>
      </c>
      <c r="E6058">
        <v>0.87488712521492096</v>
      </c>
    </row>
    <row r="6059" spans="1:5" x14ac:dyDescent="0.2">
      <c r="A6059">
        <v>0.51901666666666701</v>
      </c>
      <c r="B6059">
        <v>0.81202624175023597</v>
      </c>
      <c r="C6059">
        <v>0.78807829934998597</v>
      </c>
      <c r="D6059">
        <v>0.89571437930352804</v>
      </c>
      <c r="E6059">
        <v>0.87500407457153195</v>
      </c>
    </row>
    <row r="6060" spans="1:5" x14ac:dyDescent="0.2">
      <c r="A6060">
        <v>0.51934999999999998</v>
      </c>
      <c r="B6060">
        <v>0.81219178673018599</v>
      </c>
      <c r="C6060">
        <v>0.78826206259309195</v>
      </c>
      <c r="D6060">
        <v>0.89581737249681404</v>
      </c>
      <c r="E6060">
        <v>0.87512099713074998</v>
      </c>
    </row>
    <row r="6061" spans="1:5" x14ac:dyDescent="0.2">
      <c r="A6061">
        <v>0.51968333333333305</v>
      </c>
      <c r="B6061">
        <v>0.81235725921504198</v>
      </c>
      <c r="C6061">
        <v>0.78844575074174195</v>
      </c>
      <c r="D6061">
        <v>0.895920300323921</v>
      </c>
      <c r="E6061">
        <v>0.87523789285883202</v>
      </c>
    </row>
    <row r="6062" spans="1:5" x14ac:dyDescent="0.2">
      <c r="A6062">
        <v>0.52001666666666702</v>
      </c>
      <c r="B6062">
        <v>0.81252265928487</v>
      </c>
      <c r="C6062">
        <v>0.78862936387639204</v>
      </c>
      <c r="D6062">
        <v>0.89602316284679995</v>
      </c>
      <c r="E6062">
        <v>0.87535476172203697</v>
      </c>
    </row>
    <row r="6063" spans="1:5" x14ac:dyDescent="0.2">
      <c r="A6063">
        <v>0.52034999999999998</v>
      </c>
      <c r="B6063">
        <v>0.81268798701896505</v>
      </c>
      <c r="C6063">
        <v>0.78881290207680599</v>
      </c>
      <c r="D6063">
        <v>0.89612596012739798</v>
      </c>
      <c r="E6063">
        <v>0.87547160368662402</v>
      </c>
    </row>
    <row r="6064" spans="1:5" x14ac:dyDescent="0.2">
      <c r="A6064">
        <v>0.52068333333333305</v>
      </c>
      <c r="B6064">
        <v>0.81285324249397695</v>
      </c>
      <c r="C6064">
        <v>0.788996365420358</v>
      </c>
      <c r="D6064">
        <v>0.89622869222766499</v>
      </c>
      <c r="E6064">
        <v>0.87558841871885096</v>
      </c>
    </row>
    <row r="6065" spans="1:5" x14ac:dyDescent="0.2">
      <c r="A6065">
        <v>0.52101666666666702</v>
      </c>
      <c r="B6065">
        <v>0.81301842578598404</v>
      </c>
      <c r="C6065">
        <v>0.78917975398390605</v>
      </c>
      <c r="D6065">
        <v>0.89633135920954798</v>
      </c>
      <c r="E6065">
        <v>0.87570520678497599</v>
      </c>
    </row>
    <row r="6066" spans="1:5" x14ac:dyDescent="0.2">
      <c r="A6066">
        <v>0.52134999999999998</v>
      </c>
      <c r="B6066">
        <v>0.81318353697106804</v>
      </c>
      <c r="C6066">
        <v>0.78936306784430998</v>
      </c>
      <c r="D6066">
        <v>0.89643396113499796</v>
      </c>
      <c r="E6066">
        <v>0.87582196785125699</v>
      </c>
    </row>
    <row r="6067" spans="1:5" x14ac:dyDescent="0.2">
      <c r="A6067">
        <v>0.52168333333333305</v>
      </c>
      <c r="B6067">
        <v>0.81334857612530798</v>
      </c>
      <c r="C6067">
        <v>0.78954630707842999</v>
      </c>
      <c r="D6067">
        <v>0.89653649806596303</v>
      </c>
      <c r="E6067">
        <v>0.87593870188395395</v>
      </c>
    </row>
    <row r="6068" spans="1:5" x14ac:dyDescent="0.2">
      <c r="A6068">
        <v>0.52201666666666702</v>
      </c>
      <c r="B6068">
        <v>0.81351354332478398</v>
      </c>
      <c r="C6068">
        <v>0.78972947176312402</v>
      </c>
      <c r="D6068">
        <v>0.89663897006439097</v>
      </c>
      <c r="E6068">
        <v>0.87605540884932398</v>
      </c>
    </row>
    <row r="6069" spans="1:5" x14ac:dyDescent="0.2">
      <c r="A6069">
        <v>0.52234999999999998</v>
      </c>
      <c r="B6069">
        <v>0.81367843864557698</v>
      </c>
      <c r="C6069">
        <v>0.78991256197525095</v>
      </c>
      <c r="D6069">
        <v>0.89674137719223102</v>
      </c>
      <c r="E6069">
        <v>0.87617208871362595</v>
      </c>
    </row>
    <row r="6070" spans="1:5" x14ac:dyDescent="0.2">
      <c r="A6070">
        <v>0.52268333333333294</v>
      </c>
      <c r="B6070">
        <v>0.81384326216376601</v>
      </c>
      <c r="C6070">
        <v>0.79009557779167205</v>
      </c>
      <c r="D6070">
        <v>0.89684371951143305</v>
      </c>
      <c r="E6070">
        <v>0.87628874144311797</v>
      </c>
    </row>
    <row r="6071" spans="1:5" x14ac:dyDescent="0.2">
      <c r="A6071">
        <v>0.52301666666666702</v>
      </c>
      <c r="B6071">
        <v>0.81400801395543099</v>
      </c>
      <c r="C6071">
        <v>0.79027851928924597</v>
      </c>
      <c r="D6071">
        <v>0.89694599708394396</v>
      </c>
      <c r="E6071">
        <v>0.87640536700405802</v>
      </c>
    </row>
    <row r="6072" spans="1:5" x14ac:dyDescent="0.2">
      <c r="A6072">
        <v>0.52334999999999998</v>
      </c>
      <c r="B6072">
        <v>0.81417269409665205</v>
      </c>
      <c r="C6072">
        <v>0.79046138654483</v>
      </c>
      <c r="D6072">
        <v>0.89704820997171497</v>
      </c>
      <c r="E6072">
        <v>0.87652196536270499</v>
      </c>
    </row>
    <row r="6073" spans="1:5" x14ac:dyDescent="0.2">
      <c r="A6073">
        <v>0.52368333333333295</v>
      </c>
      <c r="B6073">
        <v>0.81433730266351001</v>
      </c>
      <c r="C6073">
        <v>0.79064417963528599</v>
      </c>
      <c r="D6073">
        <v>0.89715035823669198</v>
      </c>
      <c r="E6073">
        <v>0.87663853648531798</v>
      </c>
    </row>
    <row r="6074" spans="1:5" x14ac:dyDescent="0.2">
      <c r="A6074">
        <v>0.52401666666666702</v>
      </c>
      <c r="B6074">
        <v>0.81450183973208301</v>
      </c>
      <c r="C6074">
        <v>0.79082689863747202</v>
      </c>
      <c r="D6074">
        <v>0.89725244194082598</v>
      </c>
      <c r="E6074">
        <v>0.87675508033815397</v>
      </c>
    </row>
    <row r="6075" spans="1:5" x14ac:dyDescent="0.2">
      <c r="A6075">
        <v>0.52434999999999998</v>
      </c>
      <c r="B6075">
        <v>0.81466630537845297</v>
      </c>
      <c r="C6075">
        <v>0.79100954362824805</v>
      </c>
      <c r="D6075">
        <v>0.89735446114606598</v>
      </c>
      <c r="E6075">
        <v>0.87687159688747196</v>
      </c>
    </row>
    <row r="6076" spans="1:5" x14ac:dyDescent="0.2">
      <c r="A6076">
        <v>0.52468333333333295</v>
      </c>
      <c r="B6076">
        <v>0.81483069967869903</v>
      </c>
      <c r="C6076">
        <v>0.79119211468447204</v>
      </c>
      <c r="D6076">
        <v>0.89745641591435799</v>
      </c>
      <c r="E6076">
        <v>0.87698808609953005</v>
      </c>
    </row>
    <row r="6077" spans="1:5" x14ac:dyDescent="0.2">
      <c r="A6077">
        <v>0.52501666666666702</v>
      </c>
      <c r="B6077">
        <v>0.81499502270890201</v>
      </c>
      <c r="C6077">
        <v>0.79137461188300395</v>
      </c>
      <c r="D6077">
        <v>0.89755830630765399</v>
      </c>
      <c r="E6077">
        <v>0.87710454794058701</v>
      </c>
    </row>
    <row r="6078" spans="1:5" x14ac:dyDescent="0.2">
      <c r="A6078">
        <v>0.52534999999999998</v>
      </c>
      <c r="B6078">
        <v>0.81515927454514003</v>
      </c>
      <c r="C6078">
        <v>0.79155703530070398</v>
      </c>
      <c r="D6078">
        <v>0.89766013238790099</v>
      </c>
      <c r="E6078">
        <v>0.87722098237690105</v>
      </c>
    </row>
    <row r="6079" spans="1:5" x14ac:dyDescent="0.2">
      <c r="A6079">
        <v>0.52568333333333295</v>
      </c>
      <c r="B6079">
        <v>0.81532345526349503</v>
      </c>
      <c r="C6079">
        <v>0.79173938501442997</v>
      </c>
      <c r="D6079">
        <v>0.897761894217048</v>
      </c>
      <c r="E6079">
        <v>0.87733738937473105</v>
      </c>
    </row>
    <row r="6080" spans="1:5" x14ac:dyDescent="0.2">
      <c r="A6080">
        <v>0.52601666666666702</v>
      </c>
      <c r="B6080">
        <v>0.81548756494004504</v>
      </c>
      <c r="C6080">
        <v>0.79192166110104201</v>
      </c>
      <c r="D6080">
        <v>0.89786359185704401</v>
      </c>
      <c r="E6080">
        <v>0.877453768900334</v>
      </c>
    </row>
    <row r="6081" spans="1:5" x14ac:dyDescent="0.2">
      <c r="A6081">
        <v>0.52634999999999998</v>
      </c>
      <c r="B6081">
        <v>0.81565160365087197</v>
      </c>
      <c r="C6081">
        <v>0.79210386363739904</v>
      </c>
      <c r="D6081">
        <v>0.89796522536983803</v>
      </c>
      <c r="E6081">
        <v>0.87757012091997</v>
      </c>
    </row>
    <row r="6082" spans="1:5" x14ac:dyDescent="0.2">
      <c r="A6082">
        <v>0.52668333333333295</v>
      </c>
      <c r="B6082">
        <v>0.81581557147205497</v>
      </c>
      <c r="C6082">
        <v>0.79228599270036104</v>
      </c>
      <c r="D6082">
        <v>0.89806679481737905</v>
      </c>
      <c r="E6082">
        <v>0.87768644539989604</v>
      </c>
    </row>
    <row r="6083" spans="1:5" x14ac:dyDescent="0.2">
      <c r="A6083">
        <v>0.52701666666666702</v>
      </c>
      <c r="B6083">
        <v>0.81597946847967495</v>
      </c>
      <c r="C6083">
        <v>0.79246804836678597</v>
      </c>
      <c r="D6083">
        <v>0.89816830026161498</v>
      </c>
      <c r="E6083">
        <v>0.87780274230637101</v>
      </c>
    </row>
    <row r="6084" spans="1:5" x14ac:dyDescent="0.2">
      <c r="A6084">
        <v>0.52734999999999999</v>
      </c>
      <c r="B6084">
        <v>0.81614329474980996</v>
      </c>
      <c r="C6084">
        <v>0.79265003071353501</v>
      </c>
      <c r="D6084">
        <v>0.89826974176449503</v>
      </c>
      <c r="E6084">
        <v>0.877919011605653</v>
      </c>
    </row>
    <row r="6085" spans="1:5" x14ac:dyDescent="0.2">
      <c r="A6085">
        <v>0.52768333333333295</v>
      </c>
      <c r="B6085">
        <v>0.81630705035854101</v>
      </c>
      <c r="C6085">
        <v>0.79283193981746503</v>
      </c>
      <c r="D6085">
        <v>0.89837111938796799</v>
      </c>
      <c r="E6085">
        <v>0.878035253264001</v>
      </c>
    </row>
    <row r="6086" spans="1:5" x14ac:dyDescent="0.2">
      <c r="A6086">
        <v>0.52801666666666702</v>
      </c>
      <c r="B6086">
        <v>0.81647073538194903</v>
      </c>
      <c r="C6086">
        <v>0.79301377575543697</v>
      </c>
      <c r="D6086">
        <v>0.89847243319398296</v>
      </c>
      <c r="E6086">
        <v>0.87815146724767201</v>
      </c>
    </row>
    <row r="6087" spans="1:5" x14ac:dyDescent="0.2">
      <c r="A6087">
        <v>0.52834999999999999</v>
      </c>
      <c r="B6087">
        <v>0.81663434989611206</v>
      </c>
      <c r="C6087">
        <v>0.79319553860431002</v>
      </c>
      <c r="D6087">
        <v>0.89857368324448805</v>
      </c>
      <c r="E6087">
        <v>0.87826765352292702</v>
      </c>
    </row>
    <row r="6088" spans="1:5" x14ac:dyDescent="0.2">
      <c r="A6088">
        <v>0.52868333333333295</v>
      </c>
      <c r="B6088">
        <v>0.816797893977112</v>
      </c>
      <c r="C6088">
        <v>0.79337722844094305</v>
      </c>
      <c r="D6088">
        <v>0.89867486960143195</v>
      </c>
      <c r="E6088">
        <v>0.87838381205602201</v>
      </c>
    </row>
    <row r="6089" spans="1:5" x14ac:dyDescent="0.2">
      <c r="A6089">
        <v>0.52901666666666702</v>
      </c>
      <c r="B6089">
        <v>0.81696136770102801</v>
      </c>
      <c r="C6089">
        <v>0.79355884534219501</v>
      </c>
      <c r="D6089">
        <v>0.89877599232676497</v>
      </c>
      <c r="E6089">
        <v>0.87849994281321597</v>
      </c>
    </row>
    <row r="6090" spans="1:5" x14ac:dyDescent="0.2">
      <c r="A6090">
        <v>0.52934999999999999</v>
      </c>
      <c r="B6090">
        <v>0.81712477114394</v>
      </c>
      <c r="C6090">
        <v>0.79374038938492597</v>
      </c>
      <c r="D6090">
        <v>0.89887705148243402</v>
      </c>
      <c r="E6090">
        <v>0.87861604576076702</v>
      </c>
    </row>
    <row r="6091" spans="1:5" x14ac:dyDescent="0.2">
      <c r="A6091">
        <v>0.52968333333333295</v>
      </c>
      <c r="B6091">
        <v>0.817288104381928</v>
      </c>
      <c r="C6091">
        <v>0.79392186064599501</v>
      </c>
      <c r="D6091">
        <v>0.89897804713038898</v>
      </c>
      <c r="E6091">
        <v>0.87873212086493502</v>
      </c>
    </row>
    <row r="6092" spans="1:5" x14ac:dyDescent="0.2">
      <c r="A6092">
        <v>0.53001666666666702</v>
      </c>
      <c r="B6092">
        <v>0.81745136749107195</v>
      </c>
      <c r="C6092">
        <v>0.79410325920226099</v>
      </c>
      <c r="D6092">
        <v>0.89907897933257896</v>
      </c>
      <c r="E6092">
        <v>0.87884816809197597</v>
      </c>
    </row>
    <row r="6093" spans="1:5" x14ac:dyDescent="0.2">
      <c r="A6093">
        <v>0.53034999999999999</v>
      </c>
      <c r="B6093">
        <v>0.81761456054671899</v>
      </c>
      <c r="C6093">
        <v>0.79428458512979505</v>
      </c>
      <c r="D6093">
        <v>0.89917984815095098</v>
      </c>
      <c r="E6093">
        <v>0.87896418740815097</v>
      </c>
    </row>
    <row r="6094" spans="1:5" x14ac:dyDescent="0.2">
      <c r="A6094">
        <v>0.53068333333333295</v>
      </c>
      <c r="B6094">
        <v>0.81777768362169501</v>
      </c>
      <c r="C6094">
        <v>0.79446583850195296</v>
      </c>
      <c r="D6094">
        <v>0.89928065364745602</v>
      </c>
      <c r="E6094">
        <v>0.879080178779716</v>
      </c>
    </row>
    <row r="6095" spans="1:5" x14ac:dyDescent="0.2">
      <c r="A6095">
        <v>0.53101666666666703</v>
      </c>
      <c r="B6095">
        <v>0.81794073678828205</v>
      </c>
      <c r="C6095">
        <v>0.79464701939150795</v>
      </c>
      <c r="D6095">
        <v>0.89938139588404098</v>
      </c>
      <c r="E6095">
        <v>0.87919614217292996</v>
      </c>
    </row>
    <row r="6096" spans="1:5" x14ac:dyDescent="0.2">
      <c r="A6096">
        <v>0.53134999999999999</v>
      </c>
      <c r="B6096">
        <v>0.81810372011876298</v>
      </c>
      <c r="C6096">
        <v>0.79482812787123103</v>
      </c>
      <c r="D6096">
        <v>0.89948207492265597</v>
      </c>
      <c r="E6096">
        <v>0.87931207755405305</v>
      </c>
    </row>
    <row r="6097" spans="1:5" x14ac:dyDescent="0.2">
      <c r="A6097">
        <v>0.53168333333333295</v>
      </c>
      <c r="B6097">
        <v>0.81826663368541996</v>
      </c>
      <c r="C6097">
        <v>0.79500916401389399</v>
      </c>
      <c r="D6097">
        <v>0.899582690825249</v>
      </c>
      <c r="E6097">
        <v>0.87942798488934104</v>
      </c>
    </row>
    <row r="6098" spans="1:5" x14ac:dyDescent="0.2">
      <c r="A6098">
        <v>0.53201666666666703</v>
      </c>
      <c r="B6098">
        <v>0.81842947756053497</v>
      </c>
      <c r="C6098">
        <v>0.79519012789227095</v>
      </c>
      <c r="D6098">
        <v>0.89968324365376995</v>
      </c>
      <c r="E6098">
        <v>0.87954386414505403</v>
      </c>
    </row>
    <row r="6099" spans="1:5" x14ac:dyDescent="0.2">
      <c r="A6099">
        <v>0.53234999999999999</v>
      </c>
      <c r="B6099">
        <v>0.81859225181639095</v>
      </c>
      <c r="C6099">
        <v>0.79537101957913203</v>
      </c>
      <c r="D6099">
        <v>0.89978373347016605</v>
      </c>
      <c r="E6099">
        <v>0.87965971528744902</v>
      </c>
    </row>
    <row r="6100" spans="1:5" x14ac:dyDescent="0.2">
      <c r="A6100">
        <v>0.53268333333333295</v>
      </c>
      <c r="B6100">
        <v>0.81875495652527097</v>
      </c>
      <c r="C6100">
        <v>0.79555183914725103</v>
      </c>
      <c r="D6100">
        <v>0.89988416033638696</v>
      </c>
      <c r="E6100">
        <v>0.87977553828278598</v>
      </c>
    </row>
    <row r="6101" spans="1:5" x14ac:dyDescent="0.2">
      <c r="A6101">
        <v>0.53301666666666703</v>
      </c>
      <c r="B6101">
        <v>0.818917591759457</v>
      </c>
      <c r="C6101">
        <v>0.79573258666939795</v>
      </c>
      <c r="D6101">
        <v>0.89998452431438203</v>
      </c>
      <c r="E6101">
        <v>0.87989133309732204</v>
      </c>
    </row>
    <row r="6102" spans="1:5" x14ac:dyDescent="0.2">
      <c r="A6102">
        <v>0.53334999999999999</v>
      </c>
      <c r="B6102">
        <v>0.81908015759123098</v>
      </c>
      <c r="C6102">
        <v>0.79591326221834702</v>
      </c>
      <c r="D6102">
        <v>0.90008482546609903</v>
      </c>
      <c r="E6102">
        <v>0.88000709969731605</v>
      </c>
    </row>
    <row r="6103" spans="1:5" x14ac:dyDescent="0.2">
      <c r="A6103">
        <v>0.53368333333333295</v>
      </c>
      <c r="B6103">
        <v>0.819242654092876</v>
      </c>
      <c r="C6103">
        <v>0.79609386586686903</v>
      </c>
      <c r="D6103">
        <v>0.90018506385348696</v>
      </c>
      <c r="E6103">
        <v>0.88012283804902702</v>
      </c>
    </row>
    <row r="6104" spans="1:5" x14ac:dyDescent="0.2">
      <c r="A6104">
        <v>0.53401666666666703</v>
      </c>
      <c r="B6104">
        <v>0.819405081336674</v>
      </c>
      <c r="C6104">
        <v>0.796274397687737</v>
      </c>
      <c r="D6104">
        <v>0.90028523953849504</v>
      </c>
      <c r="E6104">
        <v>0.88023854811871205</v>
      </c>
    </row>
    <row r="6105" spans="1:5" x14ac:dyDescent="0.2">
      <c r="A6105">
        <v>0.53434999999999999</v>
      </c>
      <c r="B6105">
        <v>0.81956743939490895</v>
      </c>
      <c r="C6105">
        <v>0.79645485775372304</v>
      </c>
      <c r="D6105">
        <v>0.90038535258307095</v>
      </c>
      <c r="E6105">
        <v>0.88035422987263001</v>
      </c>
    </row>
    <row r="6106" spans="1:5" x14ac:dyDescent="0.2">
      <c r="A6106">
        <v>0.53468333333333296</v>
      </c>
      <c r="B6106">
        <v>0.81972972833986102</v>
      </c>
      <c r="C6106">
        <v>0.79663524613759795</v>
      </c>
      <c r="D6106">
        <v>0.90048540304916502</v>
      </c>
      <c r="E6106">
        <v>0.88046988327703901</v>
      </c>
    </row>
    <row r="6107" spans="1:5" x14ac:dyDescent="0.2">
      <c r="A6107">
        <v>0.53501666666666703</v>
      </c>
      <c r="B6107">
        <v>0.81989194824381495</v>
      </c>
      <c r="C6107">
        <v>0.79681556291213596</v>
      </c>
      <c r="D6107">
        <v>0.90058539099872503</v>
      </c>
      <c r="E6107">
        <v>0.88058550829819904</v>
      </c>
    </row>
    <row r="6108" spans="1:5" x14ac:dyDescent="0.2">
      <c r="A6108">
        <v>0.53534999999999999</v>
      </c>
      <c r="B6108">
        <v>0.82005409917905103</v>
      </c>
      <c r="C6108">
        <v>0.79699580815010695</v>
      </c>
      <c r="D6108">
        <v>0.90068531649369998</v>
      </c>
      <c r="E6108">
        <v>0.88070110490236597</v>
      </c>
    </row>
    <row r="6109" spans="1:5" x14ac:dyDescent="0.2">
      <c r="A6109">
        <v>0.53568333333333296</v>
      </c>
      <c r="B6109">
        <v>0.820216181217853</v>
      </c>
      <c r="C6109">
        <v>0.79717598192428496</v>
      </c>
      <c r="D6109">
        <v>0.90078517959603899</v>
      </c>
      <c r="E6109">
        <v>0.88081667305580003</v>
      </c>
    </row>
    <row r="6110" spans="1:5" x14ac:dyDescent="0.2">
      <c r="A6110">
        <v>0.53601666666666703</v>
      </c>
      <c r="B6110">
        <v>0.82037819443250404</v>
      </c>
      <c r="C6110">
        <v>0.79735608430744098</v>
      </c>
      <c r="D6110">
        <v>0.90088498036769005</v>
      </c>
      <c r="E6110">
        <v>0.88093221272475897</v>
      </c>
    </row>
    <row r="6111" spans="1:5" x14ac:dyDescent="0.2">
      <c r="A6111">
        <v>0.53634999999999999</v>
      </c>
      <c r="B6111">
        <v>0.82054013889528499</v>
      </c>
      <c r="C6111">
        <v>0.79753611537234803</v>
      </c>
      <c r="D6111">
        <v>0.90098471887060305</v>
      </c>
      <c r="E6111">
        <v>0.88104772387550001</v>
      </c>
    </row>
    <row r="6112" spans="1:5" x14ac:dyDescent="0.2">
      <c r="A6112">
        <v>0.53668333333333296</v>
      </c>
      <c r="B6112">
        <v>0.82070201467847903</v>
      </c>
      <c r="C6112">
        <v>0.79771607519177701</v>
      </c>
      <c r="D6112">
        <v>0.901084395166726</v>
      </c>
      <c r="E6112">
        <v>0.88116320647428403</v>
      </c>
    </row>
    <row r="6113" spans="1:5" x14ac:dyDescent="0.2">
      <c r="A6113">
        <v>0.53701666666666703</v>
      </c>
      <c r="B6113">
        <v>0.82086382185436901</v>
      </c>
      <c r="C6113">
        <v>0.79789596383850103</v>
      </c>
      <c r="D6113">
        <v>0.90118400931800802</v>
      </c>
      <c r="E6113">
        <v>0.88127866048736703</v>
      </c>
    </row>
    <row r="6114" spans="1:5" x14ac:dyDescent="0.2">
      <c r="A6114">
        <v>0.53734999999999999</v>
      </c>
      <c r="B6114">
        <v>0.82102556049523601</v>
      </c>
      <c r="C6114">
        <v>0.798075781385292</v>
      </c>
      <c r="D6114">
        <v>0.90128356138639698</v>
      </c>
      <c r="E6114">
        <v>0.88139408588100898</v>
      </c>
    </row>
    <row r="6115" spans="1:5" x14ac:dyDescent="0.2">
      <c r="A6115">
        <v>0.53768333333333296</v>
      </c>
      <c r="B6115">
        <v>0.82118723067336497</v>
      </c>
      <c r="C6115">
        <v>0.79825552790492205</v>
      </c>
      <c r="D6115">
        <v>0.90138305143384301</v>
      </c>
      <c r="E6115">
        <v>0.881509482621468</v>
      </c>
    </row>
    <row r="6116" spans="1:5" x14ac:dyDescent="0.2">
      <c r="A6116">
        <v>0.53801666666666703</v>
      </c>
      <c r="B6116">
        <v>0.82134883246103596</v>
      </c>
      <c r="C6116">
        <v>0.79843520347016295</v>
      </c>
      <c r="D6116">
        <v>0.90148247952229499</v>
      </c>
      <c r="E6116">
        <v>0.88162485067500096</v>
      </c>
    </row>
    <row r="6117" spans="1:5" x14ac:dyDescent="0.2">
      <c r="A6117">
        <v>0.53835</v>
      </c>
      <c r="B6117">
        <v>0.82151036593053295</v>
      </c>
      <c r="C6117">
        <v>0.79861480815378705</v>
      </c>
      <c r="D6117">
        <v>0.90158184571370004</v>
      </c>
      <c r="E6117">
        <v>0.88174019000786796</v>
      </c>
    </row>
    <row r="6118" spans="1:5" x14ac:dyDescent="0.2">
      <c r="A6118">
        <v>0.53868333333333296</v>
      </c>
      <c r="B6118">
        <v>0.821671831154138</v>
      </c>
      <c r="C6118">
        <v>0.79879434202856703</v>
      </c>
      <c r="D6118">
        <v>0.90168115007000804</v>
      </c>
      <c r="E6118">
        <v>0.881855500586327</v>
      </c>
    </row>
    <row r="6119" spans="1:5" x14ac:dyDescent="0.2">
      <c r="A6119">
        <v>0.53901666666666703</v>
      </c>
      <c r="B6119">
        <v>0.82183322820413296</v>
      </c>
      <c r="C6119">
        <v>0.79897380516727401</v>
      </c>
      <c r="D6119">
        <v>0.90178039265316801</v>
      </c>
      <c r="E6119">
        <v>0.88197078237663595</v>
      </c>
    </row>
    <row r="6120" spans="1:5" x14ac:dyDescent="0.2">
      <c r="A6120">
        <v>0.53935</v>
      </c>
      <c r="B6120">
        <v>0.82199455715280101</v>
      </c>
      <c r="C6120">
        <v>0.799153197642681</v>
      </c>
      <c r="D6120">
        <v>0.90187957352512804</v>
      </c>
      <c r="E6120">
        <v>0.88208603534505403</v>
      </c>
    </row>
    <row r="6121" spans="1:5" x14ac:dyDescent="0.2">
      <c r="A6121">
        <v>0.53968333333333296</v>
      </c>
      <c r="B6121">
        <v>0.82215581807242399</v>
      </c>
      <c r="C6121">
        <v>0.79933251952756001</v>
      </c>
      <c r="D6121">
        <v>0.90197869274783804</v>
      </c>
      <c r="E6121">
        <v>0.88220125945783801</v>
      </c>
    </row>
    <row r="6122" spans="1:5" x14ac:dyDescent="0.2">
      <c r="A6122">
        <v>0.54001666666666703</v>
      </c>
      <c r="B6122">
        <v>0.82231701103528598</v>
      </c>
      <c r="C6122">
        <v>0.79951177089468295</v>
      </c>
      <c r="D6122">
        <v>0.902077750383245</v>
      </c>
      <c r="E6122">
        <v>0.88231645468124797</v>
      </c>
    </row>
    <row r="6123" spans="1:5" x14ac:dyDescent="0.2">
      <c r="A6123">
        <v>0.54035</v>
      </c>
      <c r="B6123">
        <v>0.82247813611299403</v>
      </c>
      <c r="C6123">
        <v>0.79969095181621097</v>
      </c>
      <c r="D6123">
        <v>0.90217674649330004</v>
      </c>
      <c r="E6123">
        <v>0.88243162098154104</v>
      </c>
    </row>
    <row r="6124" spans="1:5" x14ac:dyDescent="0.2">
      <c r="A6124">
        <v>0.54068333333333296</v>
      </c>
      <c r="B6124">
        <v>0.82263919337483704</v>
      </c>
      <c r="C6124">
        <v>0.79987006236220504</v>
      </c>
      <c r="D6124">
        <v>0.90227568113994905</v>
      </c>
      <c r="E6124">
        <v>0.88254675832497698</v>
      </c>
    </row>
    <row r="6125" spans="1:5" x14ac:dyDescent="0.2">
      <c r="A6125">
        <v>0.54101666666666703</v>
      </c>
      <c r="B6125">
        <v>0.82280018288960699</v>
      </c>
      <c r="C6125">
        <v>0.80004910260227302</v>
      </c>
      <c r="D6125">
        <v>0.90237455438514402</v>
      </c>
      <c r="E6125">
        <v>0.88266186667781199</v>
      </c>
    </row>
    <row r="6126" spans="1:5" x14ac:dyDescent="0.2">
      <c r="A6126">
        <v>0.54135</v>
      </c>
      <c r="B6126">
        <v>0.82296110472609296</v>
      </c>
      <c r="C6126">
        <v>0.80022807260602102</v>
      </c>
      <c r="D6126">
        <v>0.90247336629083097</v>
      </c>
      <c r="E6126">
        <v>0.88277694600630696</v>
      </c>
    </row>
    <row r="6127" spans="1:5" x14ac:dyDescent="0.2">
      <c r="A6127">
        <v>0.54168333333333296</v>
      </c>
      <c r="B6127">
        <v>0.82312195895308404</v>
      </c>
      <c r="C6127">
        <v>0.80040697244305803</v>
      </c>
      <c r="D6127">
        <v>0.90257211691896</v>
      </c>
      <c r="E6127">
        <v>0.88289199627671899</v>
      </c>
    </row>
    <row r="6128" spans="1:5" x14ac:dyDescent="0.2">
      <c r="A6128">
        <v>0.54201666666666704</v>
      </c>
      <c r="B6128">
        <v>0.82328274563937298</v>
      </c>
      <c r="C6128">
        <v>0.80058580218299202</v>
      </c>
      <c r="D6128">
        <v>0.90267080633148</v>
      </c>
      <c r="E6128">
        <v>0.88300701745530596</v>
      </c>
    </row>
    <row r="6129" spans="1:5" x14ac:dyDescent="0.2">
      <c r="A6129">
        <v>0.54235</v>
      </c>
      <c r="B6129">
        <v>0.82344346485374698</v>
      </c>
      <c r="C6129">
        <v>0.80076456189543099</v>
      </c>
      <c r="D6129">
        <v>0.90276943459033998</v>
      </c>
      <c r="E6129">
        <v>0.88312200950832698</v>
      </c>
    </row>
    <row r="6130" spans="1:5" x14ac:dyDescent="0.2">
      <c r="A6130">
        <v>0.54268333333333296</v>
      </c>
      <c r="B6130">
        <v>0.823604116664998</v>
      </c>
      <c r="C6130">
        <v>0.80094325164998104</v>
      </c>
      <c r="D6130">
        <v>0.90286800175748705</v>
      </c>
      <c r="E6130">
        <v>0.88323697240204002</v>
      </c>
    </row>
    <row r="6131" spans="1:5" x14ac:dyDescent="0.2">
      <c r="A6131">
        <v>0.54301666666666704</v>
      </c>
      <c r="B6131">
        <v>0.82376470114191602</v>
      </c>
      <c r="C6131">
        <v>0.80112187151625103</v>
      </c>
      <c r="D6131">
        <v>0.90296650789487198</v>
      </c>
      <c r="E6131">
        <v>0.88335190610270398</v>
      </c>
    </row>
    <row r="6132" spans="1:5" x14ac:dyDescent="0.2">
      <c r="A6132">
        <v>0.54335</v>
      </c>
      <c r="B6132">
        <v>0.82392521835329102</v>
      </c>
      <c r="C6132">
        <v>0.80130042156384895</v>
      </c>
      <c r="D6132">
        <v>0.90306495306444301</v>
      </c>
      <c r="E6132">
        <v>0.88346681057657706</v>
      </c>
    </row>
    <row r="6133" spans="1:5" x14ac:dyDescent="0.2">
      <c r="A6133">
        <v>0.54368333333333296</v>
      </c>
      <c r="B6133">
        <v>0.82408566836791197</v>
      </c>
      <c r="C6133">
        <v>0.80147890186238202</v>
      </c>
      <c r="D6133">
        <v>0.90316333732814802</v>
      </c>
      <c r="E6133">
        <v>0.88358168578991703</v>
      </c>
    </row>
    <row r="6134" spans="1:5" x14ac:dyDescent="0.2">
      <c r="A6134">
        <v>0.54401666666666704</v>
      </c>
      <c r="B6134">
        <v>0.82424605125457096</v>
      </c>
      <c r="C6134">
        <v>0.80165731248145899</v>
      </c>
      <c r="D6134">
        <v>0.90326166074793701</v>
      </c>
      <c r="E6134">
        <v>0.88369653170898299</v>
      </c>
    </row>
    <row r="6135" spans="1:5" x14ac:dyDescent="0.2">
      <c r="A6135">
        <v>0.54435</v>
      </c>
      <c r="B6135">
        <v>0.82440636708205695</v>
      </c>
      <c r="C6135">
        <v>0.80183565349068597</v>
      </c>
      <c r="D6135">
        <v>0.90335992338575699</v>
      </c>
      <c r="E6135">
        <v>0.88381134830003305</v>
      </c>
    </row>
    <row r="6136" spans="1:5" x14ac:dyDescent="0.2">
      <c r="A6136">
        <v>0.54468333333333296</v>
      </c>
      <c r="B6136">
        <v>0.82456661591916003</v>
      </c>
      <c r="C6136">
        <v>0.80201392495967205</v>
      </c>
      <c r="D6136">
        <v>0.90345812530355896</v>
      </c>
      <c r="E6136">
        <v>0.88392613552932497</v>
      </c>
    </row>
    <row r="6137" spans="1:5" x14ac:dyDescent="0.2">
      <c r="A6137">
        <v>0.54501666666666704</v>
      </c>
      <c r="B6137">
        <v>0.82472679783466996</v>
      </c>
      <c r="C6137">
        <v>0.802192126958024</v>
      </c>
      <c r="D6137">
        <v>0.90355626656329102</v>
      </c>
      <c r="E6137">
        <v>0.88404089336311797</v>
      </c>
    </row>
    <row r="6138" spans="1:5" x14ac:dyDescent="0.2">
      <c r="A6138">
        <v>0.54535</v>
      </c>
      <c r="B6138">
        <v>0.82488691289737803</v>
      </c>
      <c r="C6138">
        <v>0.80237025955535002</v>
      </c>
      <c r="D6138">
        <v>0.90365434722690097</v>
      </c>
      <c r="E6138">
        <v>0.88415562176767104</v>
      </c>
    </row>
    <row r="6139" spans="1:5" x14ac:dyDescent="0.2">
      <c r="A6139">
        <v>0.54568333333333296</v>
      </c>
      <c r="B6139">
        <v>0.82504696117607401</v>
      </c>
      <c r="C6139">
        <v>0.80254832282125799</v>
      </c>
      <c r="D6139">
        <v>0.90375236735633901</v>
      </c>
      <c r="E6139">
        <v>0.88427032070924105</v>
      </c>
    </row>
    <row r="6140" spans="1:5" x14ac:dyDescent="0.2">
      <c r="A6140">
        <v>0.54601666666666704</v>
      </c>
      <c r="B6140">
        <v>0.82520694273954798</v>
      </c>
      <c r="C6140">
        <v>0.802726316825355</v>
      </c>
      <c r="D6140">
        <v>0.90385032701355295</v>
      </c>
      <c r="E6140">
        <v>0.884384990154086</v>
      </c>
    </row>
    <row r="6141" spans="1:5" x14ac:dyDescent="0.2">
      <c r="A6141">
        <v>0.54635</v>
      </c>
      <c r="B6141">
        <v>0.82536685765658901</v>
      </c>
      <c r="C6141">
        <v>0.80290424163725005</v>
      </c>
      <c r="D6141">
        <v>0.90394822626049098</v>
      </c>
      <c r="E6141">
        <v>0.88449963006846699</v>
      </c>
    </row>
    <row r="6142" spans="1:5" x14ac:dyDescent="0.2">
      <c r="A6142">
        <v>0.54668333333333297</v>
      </c>
      <c r="B6142">
        <v>0.82552670599598799</v>
      </c>
      <c r="C6142">
        <v>0.80308209732655</v>
      </c>
      <c r="D6142">
        <v>0.90404606515910402</v>
      </c>
      <c r="E6142">
        <v>0.88461424041863901</v>
      </c>
    </row>
    <row r="6143" spans="1:5" x14ac:dyDescent="0.2">
      <c r="A6143">
        <v>0.54701666666666704</v>
      </c>
      <c r="B6143">
        <v>0.82568648782653598</v>
      </c>
      <c r="C6143">
        <v>0.80325988396286296</v>
      </c>
      <c r="D6143">
        <v>0.90414384377133805</v>
      </c>
      <c r="E6143">
        <v>0.88472882117086304</v>
      </c>
    </row>
    <row r="6144" spans="1:5" x14ac:dyDescent="0.2">
      <c r="A6144">
        <v>0.54735</v>
      </c>
      <c r="B6144">
        <v>0.82584620321702196</v>
      </c>
      <c r="C6144">
        <v>0.80343760161579603</v>
      </c>
      <c r="D6144">
        <v>0.90424156215914497</v>
      </c>
      <c r="E6144">
        <v>0.88484337229139598</v>
      </c>
    </row>
    <row r="6145" spans="1:5" x14ac:dyDescent="0.2">
      <c r="A6145">
        <v>0.54768333333333297</v>
      </c>
      <c r="B6145">
        <v>0.82600585223623602</v>
      </c>
      <c r="C6145">
        <v>0.80361525035495796</v>
      </c>
      <c r="D6145">
        <v>0.90433922038447101</v>
      </c>
      <c r="E6145">
        <v>0.88495789374649703</v>
      </c>
    </row>
    <row r="6146" spans="1:5" x14ac:dyDescent="0.2">
      <c r="A6146">
        <v>0.54801666666666704</v>
      </c>
      <c r="B6146">
        <v>0.82616543495296901</v>
      </c>
      <c r="C6146">
        <v>0.80379283024995596</v>
      </c>
      <c r="D6146">
        <v>0.90443681850926605</v>
      </c>
      <c r="E6146">
        <v>0.88507238550242395</v>
      </c>
    </row>
    <row r="6147" spans="1:5" x14ac:dyDescent="0.2">
      <c r="A6147">
        <v>0.54835</v>
      </c>
      <c r="B6147">
        <v>0.82632495143601103</v>
      </c>
      <c r="C6147">
        <v>0.80397034137039702</v>
      </c>
      <c r="D6147">
        <v>0.90453435659547798</v>
      </c>
      <c r="E6147">
        <v>0.88518684752543597</v>
      </c>
    </row>
    <row r="6148" spans="1:5" x14ac:dyDescent="0.2">
      <c r="A6148">
        <v>0.54868333333333297</v>
      </c>
      <c r="B6148">
        <v>0.82648440175415105</v>
      </c>
      <c r="C6148">
        <v>0.80414778378589002</v>
      </c>
      <c r="D6148">
        <v>0.90463183470505704</v>
      </c>
      <c r="E6148">
        <v>0.88530127978178996</v>
      </c>
    </row>
    <row r="6149" spans="1:5" x14ac:dyDescent="0.2">
      <c r="A6149">
        <v>0.54901666666666704</v>
      </c>
      <c r="B6149">
        <v>0.82664378597618005</v>
      </c>
      <c r="C6149">
        <v>0.80432515756604295</v>
      </c>
      <c r="D6149">
        <v>0.90472925289995199</v>
      </c>
      <c r="E6149">
        <v>0.88541568223774603</v>
      </c>
    </row>
    <row r="6150" spans="1:5" x14ac:dyDescent="0.2">
      <c r="A6150">
        <v>0.54935</v>
      </c>
      <c r="B6150">
        <v>0.82680310417088798</v>
      </c>
      <c r="C6150">
        <v>0.804502462780462</v>
      </c>
      <c r="D6150">
        <v>0.90482661124210995</v>
      </c>
      <c r="E6150">
        <v>0.88553005485956104</v>
      </c>
    </row>
    <row r="6151" spans="1:5" x14ac:dyDescent="0.2">
      <c r="A6151">
        <v>0.54968333333333297</v>
      </c>
      <c r="B6151">
        <v>0.82696235640706595</v>
      </c>
      <c r="C6151">
        <v>0.80467969949875695</v>
      </c>
      <c r="D6151">
        <v>0.90492390979348103</v>
      </c>
      <c r="E6151">
        <v>0.88564439761349401</v>
      </c>
    </row>
    <row r="6152" spans="1:5" x14ac:dyDescent="0.2">
      <c r="A6152">
        <v>0.55001666666666704</v>
      </c>
      <c r="B6152">
        <v>0.82712154275350203</v>
      </c>
      <c r="C6152">
        <v>0.804856867790534</v>
      </c>
      <c r="D6152">
        <v>0.90502114861601402</v>
      </c>
      <c r="E6152">
        <v>0.88575871046580401</v>
      </c>
    </row>
    <row r="6153" spans="1:5" x14ac:dyDescent="0.2">
      <c r="A6153">
        <v>0.55035000000000001</v>
      </c>
      <c r="B6153">
        <v>0.82728066327834304</v>
      </c>
      <c r="C6153">
        <v>0.80503396772473002</v>
      </c>
      <c r="D6153">
        <v>0.90511832777165702</v>
      </c>
      <c r="E6153">
        <v>0.88587299338274805</v>
      </c>
    </row>
    <row r="6154" spans="1:5" x14ac:dyDescent="0.2">
      <c r="A6154">
        <v>0.55068333333333297</v>
      </c>
      <c r="B6154">
        <v>0.82743971804751204</v>
      </c>
      <c r="C6154">
        <v>0.80521099936797302</v>
      </c>
      <c r="D6154">
        <v>0.90521544732235903</v>
      </c>
      <c r="E6154">
        <v>0.88598724633058601</v>
      </c>
    </row>
    <row r="6155" spans="1:5" x14ac:dyDescent="0.2">
      <c r="A6155">
        <v>0.55101666666666704</v>
      </c>
      <c r="B6155">
        <v>0.827598707126455</v>
      </c>
      <c r="C6155">
        <v>0.80538796278639302</v>
      </c>
      <c r="D6155">
        <v>0.90531250733006896</v>
      </c>
      <c r="E6155">
        <v>0.88610146927557498</v>
      </c>
    </row>
    <row r="6156" spans="1:5" x14ac:dyDescent="0.2">
      <c r="A6156">
        <v>0.55135000000000001</v>
      </c>
      <c r="B6156">
        <v>0.82775763058061802</v>
      </c>
      <c r="C6156">
        <v>0.80556485804611899</v>
      </c>
      <c r="D6156">
        <v>0.90540950785673602</v>
      </c>
      <c r="E6156">
        <v>0.88621566218397296</v>
      </c>
    </row>
    <row r="6157" spans="1:5" x14ac:dyDescent="0.2">
      <c r="A6157">
        <v>0.55168333333333297</v>
      </c>
      <c r="B6157">
        <v>0.82791648847544697</v>
      </c>
      <c r="C6157">
        <v>0.80574168521328304</v>
      </c>
      <c r="D6157">
        <v>0.90550644896430799</v>
      </c>
      <c r="E6157">
        <v>0.88632982502204005</v>
      </c>
    </row>
    <row r="6158" spans="1:5" x14ac:dyDescent="0.2">
      <c r="A6158">
        <v>0.55201666666666704</v>
      </c>
      <c r="B6158">
        <v>0.82807528087638804</v>
      </c>
      <c r="C6158">
        <v>0.80591844435401505</v>
      </c>
      <c r="D6158">
        <v>0.90560333071473498</v>
      </c>
      <c r="E6158">
        <v>0.88644395775603302</v>
      </c>
    </row>
    <row r="6159" spans="1:5" x14ac:dyDescent="0.2">
      <c r="A6159">
        <v>0.55235000000000001</v>
      </c>
      <c r="B6159">
        <v>0.82823400784888601</v>
      </c>
      <c r="C6159">
        <v>0.80609513553444401</v>
      </c>
      <c r="D6159">
        <v>0.905700153169964</v>
      </c>
      <c r="E6159">
        <v>0.88655806035221196</v>
      </c>
    </row>
    <row r="6160" spans="1:5" x14ac:dyDescent="0.2">
      <c r="A6160">
        <v>0.55268333333333297</v>
      </c>
      <c r="B6160">
        <v>0.82839266945838796</v>
      </c>
      <c r="C6160">
        <v>0.80627175882070101</v>
      </c>
      <c r="D6160">
        <v>0.90579691639194504</v>
      </c>
      <c r="E6160">
        <v>0.88667213277683299</v>
      </c>
    </row>
    <row r="6161" spans="1:5" x14ac:dyDescent="0.2">
      <c r="A6161">
        <v>0.55301666666666704</v>
      </c>
      <c r="B6161">
        <v>0.82855126577034</v>
      </c>
      <c r="C6161">
        <v>0.80644831427891694</v>
      </c>
      <c r="D6161">
        <v>0.905893620442628</v>
      </c>
      <c r="E6161">
        <v>0.88678617499615597</v>
      </c>
    </row>
    <row r="6162" spans="1:5" x14ac:dyDescent="0.2">
      <c r="A6162">
        <v>0.55335000000000001</v>
      </c>
      <c r="B6162">
        <v>0.82870979685018697</v>
      </c>
      <c r="C6162">
        <v>0.80662480197522002</v>
      </c>
      <c r="D6162">
        <v>0.90599026538395899</v>
      </c>
      <c r="E6162">
        <v>0.88690018697644002</v>
      </c>
    </row>
    <row r="6163" spans="1:5" x14ac:dyDescent="0.2">
      <c r="A6163">
        <v>0.55368333333333297</v>
      </c>
      <c r="B6163">
        <v>0.828868262763376</v>
      </c>
      <c r="C6163">
        <v>0.806801221975742</v>
      </c>
      <c r="D6163">
        <v>0.90608685127788902</v>
      </c>
      <c r="E6163">
        <v>0.88701416868394101</v>
      </c>
    </row>
    <row r="6164" spans="1:5" x14ac:dyDescent="0.2">
      <c r="A6164">
        <v>0.55401666666666705</v>
      </c>
      <c r="B6164">
        <v>0.82902666357535204</v>
      </c>
      <c r="C6164">
        <v>0.80697757434661299</v>
      </c>
      <c r="D6164">
        <v>0.90618337818636596</v>
      </c>
      <c r="E6164">
        <v>0.88712812008492004</v>
      </c>
    </row>
    <row r="6165" spans="1:5" x14ac:dyDescent="0.2">
      <c r="A6165">
        <v>0.55435000000000001</v>
      </c>
      <c r="B6165">
        <v>0.82918499935156098</v>
      </c>
      <c r="C6165">
        <v>0.80715385915396298</v>
      </c>
      <c r="D6165">
        <v>0.90627984617133805</v>
      </c>
      <c r="E6165">
        <v>0.88724204114563299</v>
      </c>
    </row>
    <row r="6166" spans="1:5" x14ac:dyDescent="0.2">
      <c r="A6166">
        <v>0.55468333333333297</v>
      </c>
      <c r="B6166">
        <v>0.82934327015744902</v>
      </c>
      <c r="C6166">
        <v>0.80733007646392196</v>
      </c>
      <c r="D6166">
        <v>0.90637625529475496</v>
      </c>
      <c r="E6166">
        <v>0.88735593183233996</v>
      </c>
    </row>
    <row r="6167" spans="1:5" x14ac:dyDescent="0.2">
      <c r="A6167">
        <v>0.55501666666666705</v>
      </c>
      <c r="B6167">
        <v>0.82950147605846303</v>
      </c>
      <c r="C6167">
        <v>0.80750622634262004</v>
      </c>
      <c r="D6167">
        <v>0.90647260561856502</v>
      </c>
      <c r="E6167">
        <v>0.88746979211129895</v>
      </c>
    </row>
    <row r="6168" spans="1:5" x14ac:dyDescent="0.2">
      <c r="A6168">
        <v>0.55535000000000001</v>
      </c>
      <c r="B6168">
        <v>0.82965961712004699</v>
      </c>
      <c r="C6168">
        <v>0.80768230885618797</v>
      </c>
      <c r="D6168">
        <v>0.906568897204718</v>
      </c>
      <c r="E6168">
        <v>0.88758362194876805</v>
      </c>
    </row>
    <row r="6169" spans="1:5" x14ac:dyDescent="0.2">
      <c r="A6169">
        <v>0.55568333333333297</v>
      </c>
      <c r="B6169">
        <v>0.82981769340764899</v>
      </c>
      <c r="C6169">
        <v>0.80785832407075497</v>
      </c>
      <c r="D6169">
        <v>0.90666513011516103</v>
      </c>
      <c r="E6169">
        <v>0.88769742131100604</v>
      </c>
    </row>
    <row r="6170" spans="1:5" x14ac:dyDescent="0.2">
      <c r="A6170">
        <v>0.55601666666666705</v>
      </c>
      <c r="B6170">
        <v>0.82997570498671303</v>
      </c>
      <c r="C6170">
        <v>0.80803427205245304</v>
      </c>
      <c r="D6170">
        <v>0.90676130441184499</v>
      </c>
      <c r="E6170">
        <v>0.88781119016427101</v>
      </c>
    </row>
    <row r="6171" spans="1:5" x14ac:dyDescent="0.2">
      <c r="A6171">
        <v>0.55635000000000001</v>
      </c>
      <c r="B6171">
        <v>0.83013365192268596</v>
      </c>
      <c r="C6171">
        <v>0.80821015286741005</v>
      </c>
      <c r="D6171">
        <v>0.906857420156716</v>
      </c>
      <c r="E6171">
        <v>0.88792492847482096</v>
      </c>
    </row>
    <row r="6172" spans="1:5" x14ac:dyDescent="0.2">
      <c r="A6172">
        <v>0.55668333333333297</v>
      </c>
      <c r="B6172">
        <v>0.83029153428101399</v>
      </c>
      <c r="C6172">
        <v>0.80838596658175899</v>
      </c>
      <c r="D6172">
        <v>0.90695347741172505</v>
      </c>
      <c r="E6172">
        <v>0.88803863620891499</v>
      </c>
    </row>
    <row r="6173" spans="1:5" x14ac:dyDescent="0.2">
      <c r="A6173">
        <v>0.55701666666666705</v>
      </c>
      <c r="B6173">
        <v>0.83044935212714199</v>
      </c>
      <c r="C6173">
        <v>0.80856171326162696</v>
      </c>
      <c r="D6173">
        <v>0.90704947623882004</v>
      </c>
      <c r="E6173">
        <v>0.88815231333280997</v>
      </c>
    </row>
    <row r="6174" spans="1:5" x14ac:dyDescent="0.2">
      <c r="A6174">
        <v>0.55735000000000001</v>
      </c>
      <c r="B6174">
        <v>0.83060710552651695</v>
      </c>
      <c r="C6174">
        <v>0.80873739297314695</v>
      </c>
      <c r="D6174">
        <v>0.90714541669994997</v>
      </c>
      <c r="E6174">
        <v>0.88826595981276701</v>
      </c>
    </row>
    <row r="6175" spans="1:5" x14ac:dyDescent="0.2">
      <c r="A6175">
        <v>0.55768333333333298</v>
      </c>
      <c r="B6175">
        <v>0.83076479454458496</v>
      </c>
      <c r="C6175">
        <v>0.80891300578244696</v>
      </c>
      <c r="D6175">
        <v>0.90724129885706295</v>
      </c>
      <c r="E6175">
        <v>0.88837957561504199</v>
      </c>
    </row>
    <row r="6176" spans="1:5" x14ac:dyDescent="0.2">
      <c r="A6176">
        <v>0.55801666666666705</v>
      </c>
      <c r="B6176">
        <v>0.830922419246791</v>
      </c>
      <c r="C6176">
        <v>0.80908855175565897</v>
      </c>
      <c r="D6176">
        <v>0.90733712277210898</v>
      </c>
      <c r="E6176">
        <v>0.88849316070589401</v>
      </c>
    </row>
    <row r="6177" spans="1:5" x14ac:dyDescent="0.2">
      <c r="A6177">
        <v>0.55835000000000001</v>
      </c>
      <c r="B6177">
        <v>0.83107997969858105</v>
      </c>
      <c r="C6177">
        <v>0.80926403095891297</v>
      </c>
      <c r="D6177">
        <v>0.90743288850703596</v>
      </c>
      <c r="E6177">
        <v>0.88860671505158195</v>
      </c>
    </row>
    <row r="6178" spans="1:5" x14ac:dyDescent="0.2">
      <c r="A6178">
        <v>0.55868333333333298</v>
      </c>
      <c r="B6178">
        <v>0.83123747596540198</v>
      </c>
      <c r="C6178">
        <v>0.80943944345833796</v>
      </c>
      <c r="D6178">
        <v>0.907528596123793</v>
      </c>
      <c r="E6178">
        <v>0.88872023861836402</v>
      </c>
    </row>
    <row r="6179" spans="1:5" x14ac:dyDescent="0.2">
      <c r="A6179">
        <v>0.55901666666666705</v>
      </c>
      <c r="B6179">
        <v>0.83139490811269801</v>
      </c>
      <c r="C6179">
        <v>0.80961478932006403</v>
      </c>
      <c r="D6179">
        <v>0.90762424568432898</v>
      </c>
      <c r="E6179">
        <v>0.88883373137249799</v>
      </c>
    </row>
    <row r="6180" spans="1:5" x14ac:dyDescent="0.2">
      <c r="A6180">
        <v>0.55935000000000001</v>
      </c>
      <c r="B6180">
        <v>0.83155227620591698</v>
      </c>
      <c r="C6180">
        <v>0.80979006861022296</v>
      </c>
      <c r="D6180">
        <v>0.90771983725059302</v>
      </c>
      <c r="E6180">
        <v>0.88894719328024296</v>
      </c>
    </row>
    <row r="6181" spans="1:5" x14ac:dyDescent="0.2">
      <c r="A6181">
        <v>0.55968333333333298</v>
      </c>
      <c r="B6181">
        <v>0.83170958031050402</v>
      </c>
      <c r="C6181">
        <v>0.80996528139494395</v>
      </c>
      <c r="D6181">
        <v>0.90781537088453201</v>
      </c>
      <c r="E6181">
        <v>0.88906062430785604</v>
      </c>
    </row>
    <row r="6182" spans="1:5" x14ac:dyDescent="0.2">
      <c r="A6182">
        <v>0.56001666666666705</v>
      </c>
      <c r="B6182">
        <v>0.83186682049190497</v>
      </c>
      <c r="C6182">
        <v>0.81014042774035799</v>
      </c>
      <c r="D6182">
        <v>0.90791084664809696</v>
      </c>
      <c r="E6182">
        <v>0.88917402442159799</v>
      </c>
    </row>
    <row r="6183" spans="1:5" x14ac:dyDescent="0.2">
      <c r="A6183">
        <v>0.56035000000000001</v>
      </c>
      <c r="B6183">
        <v>0.83202399681500405</v>
      </c>
      <c r="C6183">
        <v>0.81031550771202998</v>
      </c>
      <c r="D6183">
        <v>0.90800626460323597</v>
      </c>
      <c r="E6183">
        <v>0.88928739358772402</v>
      </c>
    </row>
    <row r="6184" spans="1:5" x14ac:dyDescent="0.2">
      <c r="A6184">
        <v>0.56068333333333298</v>
      </c>
      <c r="B6184">
        <v>0.83218110934275502</v>
      </c>
      <c r="C6184">
        <v>0.81049052137358302</v>
      </c>
      <c r="D6184">
        <v>0.90810162481189804</v>
      </c>
      <c r="E6184">
        <v>0.88940073177249501</v>
      </c>
    </row>
    <row r="6185" spans="1:5" x14ac:dyDescent="0.2">
      <c r="A6185">
        <v>0.56101666666666705</v>
      </c>
      <c r="B6185">
        <v>0.83233815813769596</v>
      </c>
      <c r="C6185">
        <v>0.81066546878822199</v>
      </c>
      <c r="D6185">
        <v>0.90819692733603097</v>
      </c>
      <c r="E6185">
        <v>0.88951403894216896</v>
      </c>
    </row>
    <row r="6186" spans="1:5" x14ac:dyDescent="0.2">
      <c r="A6186">
        <v>0.56135000000000002</v>
      </c>
      <c r="B6186">
        <v>0.83249514326236196</v>
      </c>
      <c r="C6186">
        <v>0.810840350019152</v>
      </c>
      <c r="D6186">
        <v>0.90829217223758396</v>
      </c>
      <c r="E6186">
        <v>0.88962731506300397</v>
      </c>
    </row>
    <row r="6187" spans="1:5" x14ac:dyDescent="0.2">
      <c r="A6187">
        <v>0.56168333333333298</v>
      </c>
      <c r="B6187">
        <v>0.83265206477929299</v>
      </c>
      <c r="C6187">
        <v>0.81101516512957705</v>
      </c>
      <c r="D6187">
        <v>0.90838735957850603</v>
      </c>
      <c r="E6187">
        <v>0.88974056010125702</v>
      </c>
    </row>
    <row r="6188" spans="1:5" x14ac:dyDescent="0.2">
      <c r="A6188">
        <v>0.56201666666666705</v>
      </c>
      <c r="B6188">
        <v>0.83280892275102403</v>
      </c>
      <c r="C6188">
        <v>0.81118991418270303</v>
      </c>
      <c r="D6188">
        <v>0.90848248942074705</v>
      </c>
      <c r="E6188">
        <v>0.88985377402318899</v>
      </c>
    </row>
    <row r="6189" spans="1:5" x14ac:dyDescent="0.2">
      <c r="A6189">
        <v>0.56235000000000002</v>
      </c>
      <c r="B6189">
        <v>0.83296571724009305</v>
      </c>
      <c r="C6189">
        <v>0.81136459724173304</v>
      </c>
      <c r="D6189">
        <v>0.90857756182625304</v>
      </c>
      <c r="E6189">
        <v>0.889966956795056</v>
      </c>
    </row>
    <row r="6190" spans="1:5" x14ac:dyDescent="0.2">
      <c r="A6190">
        <v>0.56268333333333298</v>
      </c>
      <c r="B6190">
        <v>0.83312244830903803</v>
      </c>
      <c r="C6190">
        <v>0.81153921436987297</v>
      </c>
      <c r="D6190">
        <v>0.908672576856976</v>
      </c>
      <c r="E6190">
        <v>0.89008010838311702</v>
      </c>
    </row>
    <row r="6191" spans="1:5" x14ac:dyDescent="0.2">
      <c r="A6191">
        <v>0.56301666666666705</v>
      </c>
      <c r="B6191">
        <v>0.83327911602039595</v>
      </c>
      <c r="C6191">
        <v>0.81171376563032704</v>
      </c>
      <c r="D6191">
        <v>0.90876753457486203</v>
      </c>
      <c r="E6191">
        <v>0.89019322875363205</v>
      </c>
    </row>
    <row r="6192" spans="1:5" x14ac:dyDescent="0.2">
      <c r="A6192">
        <v>0.56335000000000002</v>
      </c>
      <c r="B6192">
        <v>0.833435720436704</v>
      </c>
      <c r="C6192">
        <v>0.81188825108630103</v>
      </c>
      <c r="D6192">
        <v>0.90886243504186204</v>
      </c>
      <c r="E6192">
        <v>0.89030631787285697</v>
      </c>
    </row>
    <row r="6193" spans="1:5" x14ac:dyDescent="0.2">
      <c r="A6193">
        <v>0.56368333333333298</v>
      </c>
      <c r="B6193">
        <v>0.83359226162049904</v>
      </c>
      <c r="C6193">
        <v>0.81206267080099803</v>
      </c>
      <c r="D6193">
        <v>0.90895727831992301</v>
      </c>
      <c r="E6193">
        <v>0.89041937570705199</v>
      </c>
    </row>
    <row r="6194" spans="1:5" x14ac:dyDescent="0.2">
      <c r="A6194">
        <v>0.56401666666666705</v>
      </c>
      <c r="B6194">
        <v>0.83374873963431895</v>
      </c>
      <c r="C6194">
        <v>0.81223702483762406</v>
      </c>
      <c r="D6194">
        <v>0.90905206447099496</v>
      </c>
      <c r="E6194">
        <v>0.89053240222247498</v>
      </c>
    </row>
    <row r="6195" spans="1:5" x14ac:dyDescent="0.2">
      <c r="A6195">
        <v>0.56435000000000002</v>
      </c>
      <c r="B6195">
        <v>0.83390515454070102</v>
      </c>
      <c r="C6195">
        <v>0.81241131325938398</v>
      </c>
      <c r="D6195">
        <v>0.90914679355702599</v>
      </c>
      <c r="E6195">
        <v>0.89064539738538395</v>
      </c>
    </row>
    <row r="6196" spans="1:5" x14ac:dyDescent="0.2">
      <c r="A6196">
        <v>0.56468333333333298</v>
      </c>
      <c r="B6196">
        <v>0.83406150640218202</v>
      </c>
      <c r="C6196">
        <v>0.81258553612948203</v>
      </c>
      <c r="D6196">
        <v>0.909241465639965</v>
      </c>
      <c r="E6196">
        <v>0.89075836116203699</v>
      </c>
    </row>
    <row r="6197" spans="1:5" x14ac:dyDescent="0.2">
      <c r="A6197">
        <v>0.56501666666666694</v>
      </c>
      <c r="B6197">
        <v>0.83421779528130002</v>
      </c>
      <c r="C6197">
        <v>0.81275969351112198</v>
      </c>
      <c r="D6197">
        <v>0.90933608078176198</v>
      </c>
      <c r="E6197">
        <v>0.89087129351869299</v>
      </c>
    </row>
    <row r="6198" spans="1:5" x14ac:dyDescent="0.2">
      <c r="A6198">
        <v>0.56535000000000002</v>
      </c>
      <c r="B6198">
        <v>0.83437402124059201</v>
      </c>
      <c r="C6198">
        <v>0.81293378546751005</v>
      </c>
      <c r="D6198">
        <v>0.90943063904436305</v>
      </c>
      <c r="E6198">
        <v>0.89098419442161103</v>
      </c>
    </row>
    <row r="6199" spans="1:5" x14ac:dyDescent="0.2">
      <c r="A6199">
        <v>0.56568333333333298</v>
      </c>
      <c r="B6199">
        <v>0.83453018434259496</v>
      </c>
      <c r="C6199">
        <v>0.81310781206185101</v>
      </c>
      <c r="D6199">
        <v>0.90952514048972</v>
      </c>
      <c r="E6199">
        <v>0.89109706383704801</v>
      </c>
    </row>
    <row r="6200" spans="1:5" x14ac:dyDescent="0.2">
      <c r="A6200">
        <v>0.56601666666666695</v>
      </c>
      <c r="B6200">
        <v>0.83468628464984596</v>
      </c>
      <c r="C6200">
        <v>0.81328177335734897</v>
      </c>
      <c r="D6200">
        <v>0.90961958517977903</v>
      </c>
      <c r="E6200">
        <v>0.89120990173126402</v>
      </c>
    </row>
    <row r="6201" spans="1:5" x14ac:dyDescent="0.2">
      <c r="A6201">
        <v>0.56635000000000002</v>
      </c>
      <c r="B6201">
        <v>0.83484232222488297</v>
      </c>
      <c r="C6201">
        <v>0.81345566941720904</v>
      </c>
      <c r="D6201">
        <v>0.90971397317649105</v>
      </c>
      <c r="E6201">
        <v>0.89132270807051595</v>
      </c>
    </row>
    <row r="6202" spans="1:5" x14ac:dyDescent="0.2">
      <c r="A6202">
        <v>0.56668333333333298</v>
      </c>
      <c r="B6202">
        <v>0.83499829713024298</v>
      </c>
      <c r="C6202">
        <v>0.81362950030463499</v>
      </c>
      <c r="D6202">
        <v>0.90980830454180395</v>
      </c>
      <c r="E6202">
        <v>0.891435482821062</v>
      </c>
    </row>
    <row r="6203" spans="1:5" x14ac:dyDescent="0.2">
      <c r="A6203">
        <v>0.56701666666666695</v>
      </c>
      <c r="B6203">
        <v>0.83515420942846397</v>
      </c>
      <c r="C6203">
        <v>0.81380326608283304</v>
      </c>
      <c r="D6203">
        <v>0.90990257933766605</v>
      </c>
      <c r="E6203">
        <v>0.89154822594916205</v>
      </c>
    </row>
    <row r="6204" spans="1:5" x14ac:dyDescent="0.2">
      <c r="A6204">
        <v>0.56735000000000002</v>
      </c>
      <c r="B6204">
        <v>0.83531005918208201</v>
      </c>
      <c r="C6204">
        <v>0.81397696681500697</v>
      </c>
      <c r="D6204">
        <v>0.90999679762602703</v>
      </c>
      <c r="E6204">
        <v>0.891660937421073</v>
      </c>
    </row>
    <row r="6205" spans="1:5" x14ac:dyDescent="0.2">
      <c r="A6205">
        <v>0.56768333333333298</v>
      </c>
      <c r="B6205">
        <v>0.83546584645363597</v>
      </c>
      <c r="C6205">
        <v>0.814150602564362</v>
      </c>
      <c r="D6205">
        <v>0.910090959468835</v>
      </c>
      <c r="E6205">
        <v>0.89177361720305404</v>
      </c>
    </row>
    <row r="6206" spans="1:5" x14ac:dyDescent="0.2">
      <c r="A6206">
        <v>0.56801666666666695</v>
      </c>
      <c r="B6206">
        <v>0.83562157130566095</v>
      </c>
      <c r="C6206">
        <v>0.81432417339410201</v>
      </c>
      <c r="D6206">
        <v>0.91018506492803797</v>
      </c>
      <c r="E6206">
        <v>0.89188626526136305</v>
      </c>
    </row>
    <row r="6207" spans="1:5" x14ac:dyDescent="0.2">
      <c r="A6207">
        <v>0.56835000000000002</v>
      </c>
      <c r="B6207">
        <v>0.83577723380069602</v>
      </c>
      <c r="C6207">
        <v>0.814497679367433</v>
      </c>
      <c r="D6207">
        <v>0.91027911406558704</v>
      </c>
      <c r="E6207">
        <v>0.89199888156225904</v>
      </c>
    </row>
    <row r="6208" spans="1:5" x14ac:dyDescent="0.2">
      <c r="A6208">
        <v>0.56868333333333299</v>
      </c>
      <c r="B6208">
        <v>0.83593283400127805</v>
      </c>
      <c r="C6208">
        <v>0.81467112054755897</v>
      </c>
      <c r="D6208">
        <v>0.91037310694342899</v>
      </c>
      <c r="E6208">
        <v>0.89211146607199998</v>
      </c>
    </row>
    <row r="6209" spans="1:5" x14ac:dyDescent="0.2">
      <c r="A6209">
        <v>0.56901666666666695</v>
      </c>
      <c r="B6209">
        <v>0.83608837196994401</v>
      </c>
      <c r="C6209">
        <v>0.81484449699768502</v>
      </c>
      <c r="D6209">
        <v>0.91046704362351405</v>
      </c>
      <c r="E6209">
        <v>0.89222401875684398</v>
      </c>
    </row>
    <row r="6210" spans="1:5" x14ac:dyDescent="0.2">
      <c r="A6210">
        <v>0.56935000000000002</v>
      </c>
      <c r="B6210">
        <v>0.836243847769232</v>
      </c>
      <c r="C6210">
        <v>0.81501780878101504</v>
      </c>
      <c r="D6210">
        <v>0.910560924167789</v>
      </c>
      <c r="E6210">
        <v>0.89233653958305004</v>
      </c>
    </row>
    <row r="6211" spans="1:5" x14ac:dyDescent="0.2">
      <c r="A6211">
        <v>0.56968333333333299</v>
      </c>
      <c r="B6211">
        <v>0.83639926146167798</v>
      </c>
      <c r="C6211">
        <v>0.81519105596075503</v>
      </c>
      <c r="D6211">
        <v>0.91065474863820495</v>
      </c>
      <c r="E6211">
        <v>0.89244902851687602</v>
      </c>
    </row>
    <row r="6212" spans="1:5" x14ac:dyDescent="0.2">
      <c r="A6212">
        <v>0.57001666666666695</v>
      </c>
      <c r="B6212">
        <v>0.83655461310982004</v>
      </c>
      <c r="C6212">
        <v>0.81536423860010898</v>
      </c>
      <c r="D6212">
        <v>0.91074851709670901</v>
      </c>
      <c r="E6212">
        <v>0.89256148552458103</v>
      </c>
    </row>
    <row r="6213" spans="1:5" x14ac:dyDescent="0.2">
      <c r="A6213">
        <v>0.57035000000000002</v>
      </c>
      <c r="B6213">
        <v>0.83670990277561297</v>
      </c>
      <c r="C6213">
        <v>0.815537356761738</v>
      </c>
      <c r="D6213">
        <v>0.91084222960525096</v>
      </c>
      <c r="E6213">
        <v>0.89267391057242196</v>
      </c>
    </row>
    <row r="6214" spans="1:5" x14ac:dyDescent="0.2">
      <c r="A6214">
        <v>0.57068333333333299</v>
      </c>
      <c r="B6214">
        <v>0.83686513051900402</v>
      </c>
      <c r="C6214">
        <v>0.81571041050642901</v>
      </c>
      <c r="D6214">
        <v>0.91093588622577903</v>
      </c>
      <c r="E6214">
        <v>0.89278630362665901</v>
      </c>
    </row>
    <row r="6215" spans="1:5" x14ac:dyDescent="0.2">
      <c r="A6215">
        <v>0.57101666666666695</v>
      </c>
      <c r="B6215">
        <v>0.83702029639951003</v>
      </c>
      <c r="C6215">
        <v>0.81588339989456604</v>
      </c>
      <c r="D6215">
        <v>0.911029487020242</v>
      </c>
      <c r="E6215">
        <v>0.89289866465354895</v>
      </c>
    </row>
    <row r="6216" spans="1:5" x14ac:dyDescent="0.2">
      <c r="A6216">
        <v>0.57135000000000002</v>
      </c>
      <c r="B6216">
        <v>0.83717540047664496</v>
      </c>
      <c r="C6216">
        <v>0.81605632498653302</v>
      </c>
      <c r="D6216">
        <v>0.91112303205058898</v>
      </c>
      <c r="E6216">
        <v>0.89301099361935099</v>
      </c>
    </row>
    <row r="6217" spans="1:5" x14ac:dyDescent="0.2">
      <c r="A6217">
        <v>0.57168333333333299</v>
      </c>
      <c r="B6217">
        <v>0.83733044280992697</v>
      </c>
      <c r="C6217">
        <v>0.81622918584271398</v>
      </c>
      <c r="D6217">
        <v>0.91121652137876896</v>
      </c>
      <c r="E6217">
        <v>0.89312329049032302</v>
      </c>
    </row>
    <row r="6218" spans="1:5" x14ac:dyDescent="0.2">
      <c r="A6218">
        <v>0.57201666666666695</v>
      </c>
      <c r="B6218">
        <v>0.837485423458871</v>
      </c>
      <c r="C6218">
        <v>0.81640198252349405</v>
      </c>
      <c r="D6218">
        <v>0.91130995506672996</v>
      </c>
      <c r="E6218">
        <v>0.89323555523272402</v>
      </c>
    </row>
    <row r="6219" spans="1:5" x14ac:dyDescent="0.2">
      <c r="A6219">
        <v>0.57235000000000003</v>
      </c>
      <c r="B6219">
        <v>0.83764034248299402</v>
      </c>
      <c r="C6219">
        <v>0.81657471508925705</v>
      </c>
      <c r="D6219">
        <v>0.91140333317642097</v>
      </c>
      <c r="E6219">
        <v>0.89334778781281199</v>
      </c>
    </row>
    <row r="6220" spans="1:5" x14ac:dyDescent="0.2">
      <c r="A6220">
        <v>0.57268333333333299</v>
      </c>
      <c r="B6220">
        <v>0.83779519994181095</v>
      </c>
      <c r="C6220">
        <v>0.81674738360038701</v>
      </c>
      <c r="D6220">
        <v>0.911496655769791</v>
      </c>
      <c r="E6220">
        <v>0.89345998819684502</v>
      </c>
    </row>
    <row r="6221" spans="1:5" x14ac:dyDescent="0.2">
      <c r="A6221">
        <v>0.57301666666666695</v>
      </c>
      <c r="B6221">
        <v>0.83794999589483798</v>
      </c>
      <c r="C6221">
        <v>0.81691998811726696</v>
      </c>
      <c r="D6221">
        <v>0.91158992290878904</v>
      </c>
      <c r="E6221">
        <v>0.893572156351083</v>
      </c>
    </row>
    <row r="6222" spans="1:5" x14ac:dyDescent="0.2">
      <c r="A6222">
        <v>0.57335000000000003</v>
      </c>
      <c r="B6222">
        <v>0.83810473040159095</v>
      </c>
      <c r="C6222">
        <v>0.81709252870028204</v>
      </c>
      <c r="D6222">
        <v>0.91168313465536399</v>
      </c>
      <c r="E6222">
        <v>0.89368429224178203</v>
      </c>
    </row>
    <row r="6223" spans="1:5" x14ac:dyDescent="0.2">
      <c r="A6223">
        <v>0.57368333333333299</v>
      </c>
      <c r="B6223">
        <v>0.83825940352158701</v>
      </c>
      <c r="C6223">
        <v>0.81726500540981695</v>
      </c>
      <c r="D6223">
        <v>0.91177629107146396</v>
      </c>
      <c r="E6223">
        <v>0.89379639583520198</v>
      </c>
    </row>
    <row r="6224" spans="1:5" x14ac:dyDescent="0.2">
      <c r="A6224">
        <v>0.57401666666666695</v>
      </c>
      <c r="B6224">
        <v>0.83841401531434101</v>
      </c>
      <c r="C6224">
        <v>0.81743741830625405</v>
      </c>
      <c r="D6224">
        <v>0.91186939221903796</v>
      </c>
      <c r="E6224">
        <v>0.89390846709759997</v>
      </c>
    </row>
    <row r="6225" spans="1:5" x14ac:dyDescent="0.2">
      <c r="A6225">
        <v>0.57435000000000003</v>
      </c>
      <c r="B6225">
        <v>0.83856856583936901</v>
      </c>
      <c r="C6225">
        <v>0.81760976744998004</v>
      </c>
      <c r="D6225">
        <v>0.91196243816003497</v>
      </c>
      <c r="E6225">
        <v>0.89402050599523597</v>
      </c>
    </row>
    <row r="6226" spans="1:5" x14ac:dyDescent="0.2">
      <c r="A6226">
        <v>0.57468333333333299</v>
      </c>
      <c r="B6226">
        <v>0.83872305515618795</v>
      </c>
      <c r="C6226">
        <v>0.81778205290137596</v>
      </c>
      <c r="D6226">
        <v>0.91205542895640401</v>
      </c>
      <c r="E6226">
        <v>0.89413251249436798</v>
      </c>
    </row>
    <row r="6227" spans="1:5" x14ac:dyDescent="0.2">
      <c r="A6227">
        <v>0.57501666666666695</v>
      </c>
      <c r="B6227">
        <v>0.838877483324313</v>
      </c>
      <c r="C6227">
        <v>0.81795427472082904</v>
      </c>
      <c r="D6227">
        <v>0.91214836467009297</v>
      </c>
      <c r="E6227">
        <v>0.89424448656125399</v>
      </c>
    </row>
    <row r="6228" spans="1:5" x14ac:dyDescent="0.2">
      <c r="A6228">
        <v>0.57535000000000003</v>
      </c>
      <c r="B6228">
        <v>0.83903185040326</v>
      </c>
      <c r="C6228">
        <v>0.81812643296872101</v>
      </c>
      <c r="D6228">
        <v>0.91224124536305096</v>
      </c>
      <c r="E6228">
        <v>0.894356428162152</v>
      </c>
    </row>
    <row r="6229" spans="1:5" x14ac:dyDescent="0.2">
      <c r="A6229">
        <v>0.57568333333333299</v>
      </c>
      <c r="B6229">
        <v>0.83918615645254502</v>
      </c>
      <c r="C6229">
        <v>0.81829852770543698</v>
      </c>
      <c r="D6229">
        <v>0.91233407109722797</v>
      </c>
      <c r="E6229">
        <v>0.89446833726331998</v>
      </c>
    </row>
    <row r="6230" spans="1:5" x14ac:dyDescent="0.2">
      <c r="A6230">
        <v>0.57601666666666695</v>
      </c>
      <c r="B6230">
        <v>0.83934040153168499</v>
      </c>
      <c r="C6230">
        <v>0.81847055899136101</v>
      </c>
      <c r="D6230">
        <v>0.91242684193457102</v>
      </c>
      <c r="E6230">
        <v>0.89458021383101805</v>
      </c>
    </row>
    <row r="6231" spans="1:5" x14ac:dyDescent="0.2">
      <c r="A6231">
        <v>0.57635000000000003</v>
      </c>
      <c r="B6231">
        <v>0.83949458570019497</v>
      </c>
      <c r="C6231">
        <v>0.818642526886878</v>
      </c>
      <c r="D6231">
        <v>0.91251955793702999</v>
      </c>
      <c r="E6231">
        <v>0.89469205783150296</v>
      </c>
    </row>
    <row r="6232" spans="1:5" x14ac:dyDescent="0.2">
      <c r="A6232">
        <v>0.57668333333333299</v>
      </c>
      <c r="B6232">
        <v>0.83964870901759103</v>
      </c>
      <c r="C6232">
        <v>0.81881443145237098</v>
      </c>
      <c r="D6232">
        <v>0.912612219166553</v>
      </c>
      <c r="E6232">
        <v>0.89480386923103405</v>
      </c>
    </row>
    <row r="6233" spans="1:5" x14ac:dyDescent="0.2">
      <c r="A6233">
        <v>0.57701666666666696</v>
      </c>
      <c r="B6233">
        <v>0.83980277154339</v>
      </c>
      <c r="C6233">
        <v>0.818986272748224</v>
      </c>
      <c r="D6233">
        <v>0.91270482568509004</v>
      </c>
      <c r="E6233">
        <v>0.89491564799586898</v>
      </c>
    </row>
    <row r="6234" spans="1:5" x14ac:dyDescent="0.2">
      <c r="A6234">
        <v>0.57735000000000003</v>
      </c>
      <c r="B6234">
        <v>0.83995677333710705</v>
      </c>
      <c r="C6234">
        <v>0.81915805083482196</v>
      </c>
      <c r="D6234">
        <v>0.91279737755458901</v>
      </c>
      <c r="E6234">
        <v>0.89502739409226695</v>
      </c>
    </row>
    <row r="6235" spans="1:5" x14ac:dyDescent="0.2">
      <c r="A6235">
        <v>0.57768333333333299</v>
      </c>
      <c r="B6235">
        <v>0.84011071445825802</v>
      </c>
      <c r="C6235">
        <v>0.81932976577254801</v>
      </c>
      <c r="D6235">
        <v>0.91288987483699802</v>
      </c>
      <c r="E6235">
        <v>0.89513910748648595</v>
      </c>
    </row>
    <row r="6236" spans="1:5" x14ac:dyDescent="0.2">
      <c r="A6236">
        <v>0.57801666666666696</v>
      </c>
      <c r="B6236">
        <v>0.84026459496635997</v>
      </c>
      <c r="C6236">
        <v>0.81950141762178697</v>
      </c>
      <c r="D6236">
        <v>0.91298231759426696</v>
      </c>
      <c r="E6236">
        <v>0.89525078814478398</v>
      </c>
    </row>
    <row r="6237" spans="1:5" x14ac:dyDescent="0.2">
      <c r="A6237">
        <v>0.57835000000000003</v>
      </c>
      <c r="B6237">
        <v>0.84041841492092795</v>
      </c>
      <c r="C6237">
        <v>0.81967300644292396</v>
      </c>
      <c r="D6237">
        <v>0.91307470588834405</v>
      </c>
      <c r="E6237">
        <v>0.89536243603342003</v>
      </c>
    </row>
    <row r="6238" spans="1:5" x14ac:dyDescent="0.2">
      <c r="A6238">
        <v>0.57868333333333299</v>
      </c>
      <c r="B6238">
        <v>0.84057217438147802</v>
      </c>
      <c r="C6238">
        <v>0.81984453229634102</v>
      </c>
      <c r="D6238">
        <v>0.91316703978117897</v>
      </c>
      <c r="E6238">
        <v>0.89547405111865097</v>
      </c>
    </row>
    <row r="6239" spans="1:5" x14ac:dyDescent="0.2">
      <c r="A6239">
        <v>0.57901666666666696</v>
      </c>
      <c r="B6239">
        <v>0.84072587340752603</v>
      </c>
      <c r="C6239">
        <v>0.82001599524242397</v>
      </c>
      <c r="D6239">
        <v>0.91325931933471904</v>
      </c>
      <c r="E6239">
        <v>0.89558563336673802</v>
      </c>
    </row>
    <row r="6240" spans="1:5" x14ac:dyDescent="0.2">
      <c r="A6240">
        <v>0.57935000000000003</v>
      </c>
      <c r="B6240">
        <v>0.84087951205858902</v>
      </c>
      <c r="C6240">
        <v>0.82018739534155605</v>
      </c>
      <c r="D6240">
        <v>0.91335154461091395</v>
      </c>
      <c r="E6240">
        <v>0.89569718274393695</v>
      </c>
    </row>
    <row r="6241" spans="1:5" x14ac:dyDescent="0.2">
      <c r="A6241">
        <v>0.579683333333333</v>
      </c>
      <c r="B6241">
        <v>0.84103309039418195</v>
      </c>
      <c r="C6241">
        <v>0.82035873265412096</v>
      </c>
      <c r="D6241">
        <v>0.91344371567171201</v>
      </c>
      <c r="E6241">
        <v>0.89580869921650697</v>
      </c>
    </row>
    <row r="6242" spans="1:5" x14ac:dyDescent="0.2">
      <c r="A6242">
        <v>0.58001666666666696</v>
      </c>
      <c r="B6242">
        <v>0.84118660847382198</v>
      </c>
      <c r="C6242">
        <v>0.82053000724050495</v>
      </c>
      <c r="D6242">
        <v>0.91353583257906301</v>
      </c>
      <c r="E6242">
        <v>0.89592018275070595</v>
      </c>
    </row>
    <row r="6243" spans="1:5" x14ac:dyDescent="0.2">
      <c r="A6243">
        <v>0.58035000000000003</v>
      </c>
      <c r="B6243">
        <v>0.84134006635652903</v>
      </c>
      <c r="C6243">
        <v>0.82070121916052896</v>
      </c>
      <c r="D6243">
        <v>0.91362789539491496</v>
      </c>
      <c r="E6243">
        <v>0.89603163331279401</v>
      </c>
    </row>
    <row r="6244" spans="1:5" x14ac:dyDescent="0.2">
      <c r="A6244">
        <v>0.580683333333333</v>
      </c>
      <c r="B6244">
        <v>0.841493464099625</v>
      </c>
      <c r="C6244">
        <v>0.820872368472092</v>
      </c>
      <c r="D6244">
        <v>0.91371990418121696</v>
      </c>
      <c r="E6244">
        <v>0.89614305086902701</v>
      </c>
    </row>
    <row r="6245" spans="1:5" x14ac:dyDescent="0.2">
      <c r="A6245">
        <v>0.58101666666666696</v>
      </c>
      <c r="B6245">
        <v>0.84164680176006401</v>
      </c>
      <c r="C6245">
        <v>0.82104345523267297</v>
      </c>
      <c r="D6245">
        <v>0.91381185899991701</v>
      </c>
      <c r="E6245">
        <v>0.89625443538566596</v>
      </c>
    </row>
    <row r="6246" spans="1:5" x14ac:dyDescent="0.2">
      <c r="A6246">
        <v>0.58135000000000003</v>
      </c>
      <c r="B6246">
        <v>0.84180007939479995</v>
      </c>
      <c r="C6246">
        <v>0.82121447949975301</v>
      </c>
      <c r="D6246">
        <v>0.91390375991296502</v>
      </c>
      <c r="E6246">
        <v>0.89636578682896695</v>
      </c>
    </row>
    <row r="6247" spans="1:5" x14ac:dyDescent="0.2">
      <c r="A6247">
        <v>0.581683333333333</v>
      </c>
      <c r="B6247">
        <v>0.84195329706078703</v>
      </c>
      <c r="C6247">
        <v>0.82138544133081404</v>
      </c>
      <c r="D6247">
        <v>0.91399560698230897</v>
      </c>
      <c r="E6247">
        <v>0.89647710516518997</v>
      </c>
    </row>
    <row r="6248" spans="1:5" x14ac:dyDescent="0.2">
      <c r="A6248">
        <v>0.58201666666666696</v>
      </c>
      <c r="B6248">
        <v>0.84210645481497903</v>
      </c>
      <c r="C6248">
        <v>0.82155634078333595</v>
      </c>
      <c r="D6248">
        <v>0.91408740026989799</v>
      </c>
      <c r="E6248">
        <v>0.89658839036059201</v>
      </c>
    </row>
    <row r="6249" spans="1:5" x14ac:dyDescent="0.2">
      <c r="A6249">
        <v>0.58235000000000003</v>
      </c>
      <c r="B6249">
        <v>0.84225955271433195</v>
      </c>
      <c r="C6249">
        <v>0.82172717791479999</v>
      </c>
      <c r="D6249">
        <v>0.91417913983768095</v>
      </c>
      <c r="E6249">
        <v>0.89669964238143296</v>
      </c>
    </row>
    <row r="6250" spans="1:5" x14ac:dyDescent="0.2">
      <c r="A6250">
        <v>0.582683333333333</v>
      </c>
      <c r="B6250">
        <v>0.842412590815798</v>
      </c>
      <c r="C6250">
        <v>0.82189795278268796</v>
      </c>
      <c r="D6250">
        <v>0.91427082574760599</v>
      </c>
      <c r="E6250">
        <v>0.89681086119397002</v>
      </c>
    </row>
    <row r="6251" spans="1:5" x14ac:dyDescent="0.2">
      <c r="A6251">
        <v>0.58301666666666696</v>
      </c>
      <c r="B6251">
        <v>0.84256556917633296</v>
      </c>
      <c r="C6251">
        <v>0.82206866544447998</v>
      </c>
      <c r="D6251">
        <v>0.91436245806162197</v>
      </c>
      <c r="E6251">
        <v>0.89692204676446097</v>
      </c>
    </row>
    <row r="6252" spans="1:5" x14ac:dyDescent="0.2">
      <c r="A6252">
        <v>0.58335000000000004</v>
      </c>
      <c r="B6252">
        <v>0.84271848785289005</v>
      </c>
      <c r="C6252">
        <v>0.82223931595765698</v>
      </c>
      <c r="D6252">
        <v>0.91445403684167903</v>
      </c>
      <c r="E6252">
        <v>0.89703319905916601</v>
      </c>
    </row>
    <row r="6253" spans="1:5" x14ac:dyDescent="0.2">
      <c r="A6253">
        <v>0.583683333333333</v>
      </c>
      <c r="B6253">
        <v>0.84287134690242305</v>
      </c>
      <c r="C6253">
        <v>0.82240990437969996</v>
      </c>
      <c r="D6253">
        <v>0.91454556214972504</v>
      </c>
      <c r="E6253">
        <v>0.89714431804434303</v>
      </c>
    </row>
    <row r="6254" spans="1:5" x14ac:dyDescent="0.2">
      <c r="A6254">
        <v>0.58401666666666696</v>
      </c>
      <c r="B6254">
        <v>0.84302414638188805</v>
      </c>
      <c r="C6254">
        <v>0.82258043076809095</v>
      </c>
      <c r="D6254">
        <v>0.91463703404770802</v>
      </c>
      <c r="E6254">
        <v>0.89725540368624901</v>
      </c>
    </row>
    <row r="6255" spans="1:5" x14ac:dyDescent="0.2">
      <c r="A6255">
        <v>0.58435000000000004</v>
      </c>
      <c r="B6255">
        <v>0.84317688634823795</v>
      </c>
      <c r="C6255">
        <v>0.82275089518030897</v>
      </c>
      <c r="D6255">
        <v>0.91472845259757796</v>
      </c>
      <c r="E6255">
        <v>0.89736645595114395</v>
      </c>
    </row>
    <row r="6256" spans="1:5" x14ac:dyDescent="0.2">
      <c r="A6256">
        <v>0.584683333333333</v>
      </c>
      <c r="B6256">
        <v>0.84332956685842797</v>
      </c>
      <c r="C6256">
        <v>0.82292129767383604</v>
      </c>
      <c r="D6256">
        <v>0.91481981786128297</v>
      </c>
      <c r="E6256">
        <v>0.89747747480528595</v>
      </c>
    </row>
    <row r="6257" spans="1:5" x14ac:dyDescent="0.2">
      <c r="A6257">
        <v>0.58501666666666696</v>
      </c>
      <c r="B6257">
        <v>0.84348218796941099</v>
      </c>
      <c r="C6257">
        <v>0.82309163830615395</v>
      </c>
      <c r="D6257">
        <v>0.91491112990077195</v>
      </c>
      <c r="E6257">
        <v>0.89758846021493199</v>
      </c>
    </row>
    <row r="6258" spans="1:5" x14ac:dyDescent="0.2">
      <c r="A6258">
        <v>0.58535000000000004</v>
      </c>
      <c r="B6258">
        <v>0.84363474973814301</v>
      </c>
      <c r="C6258">
        <v>0.82326191713474195</v>
      </c>
      <c r="D6258">
        <v>0.915002388777995</v>
      </c>
      <c r="E6258">
        <v>0.89769941214634197</v>
      </c>
    </row>
    <row r="6259" spans="1:5" x14ac:dyDescent="0.2">
      <c r="A6259">
        <v>0.585683333333333</v>
      </c>
      <c r="B6259">
        <v>0.84378725222157602</v>
      </c>
      <c r="C6259">
        <v>0.82343213421708195</v>
      </c>
      <c r="D6259">
        <v>0.91509359455489803</v>
      </c>
      <c r="E6259">
        <v>0.89781033056577397</v>
      </c>
    </row>
    <row r="6260" spans="1:5" x14ac:dyDescent="0.2">
      <c r="A6260">
        <v>0.58601666666666696</v>
      </c>
      <c r="B6260">
        <v>0.84393969547666703</v>
      </c>
      <c r="C6260">
        <v>0.82360228961065496</v>
      </c>
      <c r="D6260">
        <v>0.91518474729343202</v>
      </c>
      <c r="E6260">
        <v>0.897921215439486</v>
      </c>
    </row>
    <row r="6261" spans="1:5" x14ac:dyDescent="0.2">
      <c r="A6261">
        <v>0.58635000000000004</v>
      </c>
      <c r="B6261">
        <v>0.84409207956036802</v>
      </c>
      <c r="C6261">
        <v>0.82377238337294101</v>
      </c>
      <c r="D6261">
        <v>0.91527584705554599</v>
      </c>
      <c r="E6261">
        <v>0.89803206673373603</v>
      </c>
    </row>
    <row r="6262" spans="1:5" x14ac:dyDescent="0.2">
      <c r="A6262">
        <v>0.586683333333333</v>
      </c>
      <c r="B6262">
        <v>0.84424440452963401</v>
      </c>
      <c r="C6262">
        <v>0.823942415561423</v>
      </c>
      <c r="D6262">
        <v>0.91536689390318704</v>
      </c>
      <c r="E6262">
        <v>0.89814288441478396</v>
      </c>
    </row>
    <row r="6263" spans="1:5" x14ac:dyDescent="0.2">
      <c r="A6263">
        <v>0.58701666666666696</v>
      </c>
      <c r="B6263">
        <v>0.84439667044141897</v>
      </c>
      <c r="C6263">
        <v>0.82411238623357996</v>
      </c>
      <c r="D6263">
        <v>0.91545788789830496</v>
      </c>
      <c r="E6263">
        <v>0.89825366844888599</v>
      </c>
    </row>
    <row r="6264" spans="1:5" x14ac:dyDescent="0.2">
      <c r="A6264">
        <v>0.58735000000000004</v>
      </c>
      <c r="B6264">
        <v>0.84454887735267803</v>
      </c>
      <c r="C6264">
        <v>0.82428229544689302</v>
      </c>
      <c r="D6264">
        <v>0.91554882910284896</v>
      </c>
      <c r="E6264">
        <v>0.898364418802302</v>
      </c>
    </row>
    <row r="6265" spans="1:5" x14ac:dyDescent="0.2">
      <c r="A6265">
        <v>0.587683333333333</v>
      </c>
      <c r="B6265">
        <v>0.84470102532036495</v>
      </c>
      <c r="C6265">
        <v>0.82445214325884497</v>
      </c>
      <c r="D6265">
        <v>0.91563971757876705</v>
      </c>
      <c r="E6265">
        <v>0.89847513544129098</v>
      </c>
    </row>
    <row r="6266" spans="1:5" x14ac:dyDescent="0.2">
      <c r="A6266">
        <v>0.58801666666666697</v>
      </c>
      <c r="B6266">
        <v>0.84485311440143396</v>
      </c>
      <c r="C6266">
        <v>0.82462192972691395</v>
      </c>
      <c r="D6266">
        <v>0.91573055338800802</v>
      </c>
      <c r="E6266">
        <v>0.89858581833210904</v>
      </c>
    </row>
    <row r="6267" spans="1:5" x14ac:dyDescent="0.2">
      <c r="A6267">
        <v>0.58835000000000004</v>
      </c>
      <c r="B6267">
        <v>0.84500514465283905</v>
      </c>
      <c r="C6267">
        <v>0.82479165490858397</v>
      </c>
      <c r="D6267">
        <v>0.91582133659252096</v>
      </c>
      <c r="E6267">
        <v>0.89869646744101594</v>
      </c>
    </row>
    <row r="6268" spans="1:5" x14ac:dyDescent="0.2">
      <c r="A6268">
        <v>0.588683333333333</v>
      </c>
      <c r="B6268">
        <v>0.84515711613153499</v>
      </c>
      <c r="C6268">
        <v>0.82496131886133295</v>
      </c>
      <c r="D6268">
        <v>0.915912067254254</v>
      </c>
      <c r="E6268">
        <v>0.89880708273427101</v>
      </c>
    </row>
    <row r="6269" spans="1:5" x14ac:dyDescent="0.2">
      <c r="A6269">
        <v>0.58901666666666697</v>
      </c>
      <c r="B6269">
        <v>0.84530902889447501</v>
      </c>
      <c r="C6269">
        <v>0.82513092164264401</v>
      </c>
      <c r="D6269">
        <v>0.91600274543515803</v>
      </c>
      <c r="E6269">
        <v>0.89891766417813002</v>
      </c>
    </row>
    <row r="6270" spans="1:5" x14ac:dyDescent="0.2">
      <c r="A6270">
        <v>0.58935000000000004</v>
      </c>
      <c r="B6270">
        <v>0.84546088299861499</v>
      </c>
      <c r="C6270">
        <v>0.82530046330999796</v>
      </c>
      <c r="D6270">
        <v>0.91609337119717904</v>
      </c>
      <c r="E6270">
        <v>0.89902821173885406</v>
      </c>
    </row>
    <row r="6271" spans="1:5" x14ac:dyDescent="0.2">
      <c r="A6271">
        <v>0.589683333333333</v>
      </c>
      <c r="B6271">
        <v>0.84561267850090804</v>
      </c>
      <c r="C6271">
        <v>0.82546994392087403</v>
      </c>
      <c r="D6271">
        <v>0.91618394460226804</v>
      </c>
      <c r="E6271">
        <v>0.89913872538270001</v>
      </c>
    </row>
    <row r="6272" spans="1:5" x14ac:dyDescent="0.2">
      <c r="A6272">
        <v>0.59001666666666697</v>
      </c>
      <c r="B6272">
        <v>0.84576441545830805</v>
      </c>
      <c r="C6272">
        <v>0.82563936353275502</v>
      </c>
      <c r="D6272">
        <v>0.91627446571237203</v>
      </c>
      <c r="E6272">
        <v>0.89924920507592598</v>
      </c>
    </row>
    <row r="6273" spans="1:5" x14ac:dyDescent="0.2">
      <c r="A6273">
        <v>0.59035000000000004</v>
      </c>
      <c r="B6273">
        <v>0.84591609392724298</v>
      </c>
      <c r="C6273">
        <v>0.82580872220269097</v>
      </c>
      <c r="D6273">
        <v>0.91636493458944102</v>
      </c>
      <c r="E6273">
        <v>0.89935965078479196</v>
      </c>
    </row>
    <row r="6274" spans="1:5" x14ac:dyDescent="0.2">
      <c r="A6274">
        <v>0.590683333333333</v>
      </c>
      <c r="B6274">
        <v>0.84606771396232605</v>
      </c>
      <c r="C6274">
        <v>0.82597801998624698</v>
      </c>
      <c r="D6274">
        <v>0.91645535129542399</v>
      </c>
      <c r="E6274">
        <v>0.89947006247555406</v>
      </c>
    </row>
    <row r="6275" spans="1:5" x14ac:dyDescent="0.2">
      <c r="A6275">
        <v>0.59101666666666697</v>
      </c>
      <c r="B6275">
        <v>0.84621927561777999</v>
      </c>
      <c r="C6275">
        <v>0.82614725693867197</v>
      </c>
      <c r="D6275">
        <v>0.91654571589226796</v>
      </c>
      <c r="E6275">
        <v>0.89958044011447302</v>
      </c>
    </row>
    <row r="6276" spans="1:5" x14ac:dyDescent="0.2">
      <c r="A6276">
        <v>0.59135000000000004</v>
      </c>
      <c r="B6276">
        <v>0.84637077894782597</v>
      </c>
      <c r="C6276">
        <v>0.82631643311521397</v>
      </c>
      <c r="D6276">
        <v>0.91663602844192404</v>
      </c>
      <c r="E6276">
        <v>0.89969078366780497</v>
      </c>
    </row>
    <row r="6277" spans="1:5" x14ac:dyDescent="0.2">
      <c r="A6277">
        <v>0.59168333333333301</v>
      </c>
      <c r="B6277">
        <v>0.84652222400668797</v>
      </c>
      <c r="C6277">
        <v>0.826485548571119</v>
      </c>
      <c r="D6277">
        <v>0.91672628900633901</v>
      </c>
      <c r="E6277">
        <v>0.89980109310181</v>
      </c>
    </row>
    <row r="6278" spans="1:5" x14ac:dyDescent="0.2">
      <c r="A6278">
        <v>0.59201666666666697</v>
      </c>
      <c r="B6278">
        <v>0.84667361084858805</v>
      </c>
      <c r="C6278">
        <v>0.82665460336163699</v>
      </c>
      <c r="D6278">
        <v>0.91681649764746298</v>
      </c>
      <c r="E6278">
        <v>0.89991136838274599</v>
      </c>
    </row>
    <row r="6279" spans="1:5" x14ac:dyDescent="0.2">
      <c r="A6279">
        <v>0.59235000000000004</v>
      </c>
      <c r="B6279">
        <v>0.84682493952774796</v>
      </c>
      <c r="C6279">
        <v>0.82682359754201296</v>
      </c>
      <c r="D6279">
        <v>0.91690665442724495</v>
      </c>
      <c r="E6279">
        <v>0.90002160947687004</v>
      </c>
    </row>
    <row r="6280" spans="1:5" x14ac:dyDescent="0.2">
      <c r="A6280">
        <v>0.59268333333333301</v>
      </c>
      <c r="B6280">
        <v>0.84697621009839097</v>
      </c>
      <c r="C6280">
        <v>0.82699253116749605</v>
      </c>
      <c r="D6280">
        <v>0.91699675940763203</v>
      </c>
      <c r="E6280">
        <v>0.90013181635044304</v>
      </c>
    </row>
    <row r="6281" spans="1:5" x14ac:dyDescent="0.2">
      <c r="A6281">
        <v>0.59301666666666697</v>
      </c>
      <c r="B6281">
        <v>0.84712742261474006</v>
      </c>
      <c r="C6281">
        <v>0.82716140429333396</v>
      </c>
      <c r="D6281">
        <v>0.91708681265057501</v>
      </c>
      <c r="E6281">
        <v>0.90024198896972096</v>
      </c>
    </row>
    <row r="6282" spans="1:5" x14ac:dyDescent="0.2">
      <c r="A6282">
        <v>0.59335000000000004</v>
      </c>
      <c r="B6282">
        <v>0.84727857713101695</v>
      </c>
      <c r="C6282">
        <v>0.82733021697477305</v>
      </c>
      <c r="D6282">
        <v>0.917176814218021</v>
      </c>
      <c r="E6282">
        <v>0.90035212730096303</v>
      </c>
    </row>
    <row r="6283" spans="1:5" x14ac:dyDescent="0.2">
      <c r="A6283">
        <v>0.59368333333333301</v>
      </c>
      <c r="B6283">
        <v>0.84742967370144395</v>
      </c>
      <c r="C6283">
        <v>0.82749896926706301</v>
      </c>
      <c r="D6283">
        <v>0.91726676417191899</v>
      </c>
      <c r="E6283">
        <v>0.90046223131042802</v>
      </c>
    </row>
    <row r="6284" spans="1:5" x14ac:dyDescent="0.2">
      <c r="A6284">
        <v>0.59401666666666697</v>
      </c>
      <c r="B6284">
        <v>0.84758071238024502</v>
      </c>
      <c r="C6284">
        <v>0.82766766122544899</v>
      </c>
      <c r="D6284">
        <v>0.917356662574219</v>
      </c>
      <c r="E6284">
        <v>0.90057230096437402</v>
      </c>
    </row>
    <row r="6285" spans="1:5" x14ac:dyDescent="0.2">
      <c r="A6285">
        <v>0.59435000000000004</v>
      </c>
      <c r="B6285">
        <v>0.84773169322164199</v>
      </c>
      <c r="C6285">
        <v>0.82783629290518101</v>
      </c>
      <c r="D6285">
        <v>0.91744650948686901</v>
      </c>
      <c r="E6285">
        <v>0.90068233622906002</v>
      </c>
    </row>
    <row r="6286" spans="1:5" x14ac:dyDescent="0.2">
      <c r="A6286">
        <v>0.59468333333333301</v>
      </c>
      <c r="B6286">
        <v>0.84788261627985595</v>
      </c>
      <c r="C6286">
        <v>0.828004864361504</v>
      </c>
      <c r="D6286">
        <v>0.91753630497181804</v>
      </c>
      <c r="E6286">
        <v>0.90079233707074302</v>
      </c>
    </row>
    <row r="6287" spans="1:5" x14ac:dyDescent="0.2">
      <c r="A6287">
        <v>0.59501666666666697</v>
      </c>
      <c r="B6287">
        <v>0.84803348160911196</v>
      </c>
      <c r="C6287">
        <v>0.82817337564966798</v>
      </c>
      <c r="D6287">
        <v>0.91762604909101397</v>
      </c>
      <c r="E6287">
        <v>0.90090230345568201</v>
      </c>
    </row>
    <row r="6288" spans="1:5" x14ac:dyDescent="0.2">
      <c r="A6288">
        <v>0.59535000000000005</v>
      </c>
      <c r="B6288">
        <v>0.84818428926363099</v>
      </c>
      <c r="C6288">
        <v>0.82834182682491997</v>
      </c>
      <c r="D6288">
        <v>0.91771574190640703</v>
      </c>
      <c r="E6288">
        <v>0.90101223535013597</v>
      </c>
    </row>
    <row r="6289" spans="1:5" x14ac:dyDescent="0.2">
      <c r="A6289">
        <v>0.59568333333333301</v>
      </c>
      <c r="B6289">
        <v>0.84833503929763598</v>
      </c>
      <c r="C6289">
        <v>0.82851021794250701</v>
      </c>
      <c r="D6289">
        <v>0.917805383479945</v>
      </c>
      <c r="E6289">
        <v>0.90112213272036201</v>
      </c>
    </row>
    <row r="6290" spans="1:5" x14ac:dyDescent="0.2">
      <c r="A6290">
        <v>0.59601666666666697</v>
      </c>
      <c r="B6290">
        <v>0.84848573176534903</v>
      </c>
      <c r="C6290">
        <v>0.82867854905767702</v>
      </c>
      <c r="D6290">
        <v>0.91789497387357699</v>
      </c>
      <c r="E6290">
        <v>0.90123199553262001</v>
      </c>
    </row>
    <row r="6291" spans="1:5" x14ac:dyDescent="0.2">
      <c r="A6291">
        <v>0.59635000000000005</v>
      </c>
      <c r="B6291">
        <v>0.84863636672099296</v>
      </c>
      <c r="C6291">
        <v>0.82884682022567802</v>
      </c>
      <c r="D6291">
        <v>0.917984513149252</v>
      </c>
      <c r="E6291">
        <v>0.90134182375316796</v>
      </c>
    </row>
    <row r="6292" spans="1:5" x14ac:dyDescent="0.2">
      <c r="A6292">
        <v>0.59668333333333301</v>
      </c>
      <c r="B6292">
        <v>0.84878694421879097</v>
      </c>
      <c r="C6292">
        <v>0.82901503150175604</v>
      </c>
      <c r="D6292">
        <v>0.91807400136891804</v>
      </c>
      <c r="E6292">
        <v>0.90145161734826296</v>
      </c>
    </row>
    <row r="6293" spans="1:5" x14ac:dyDescent="0.2">
      <c r="A6293">
        <v>0.59701666666666697</v>
      </c>
      <c r="B6293">
        <v>0.84893746431296402</v>
      </c>
      <c r="C6293">
        <v>0.829183182941161</v>
      </c>
      <c r="D6293">
        <v>0.91816343859452498</v>
      </c>
      <c r="E6293">
        <v>0.901561376284164</v>
      </c>
    </row>
    <row r="6294" spans="1:5" x14ac:dyDescent="0.2">
      <c r="A6294">
        <v>0.59735000000000005</v>
      </c>
      <c r="B6294">
        <v>0.84908792705773695</v>
      </c>
      <c r="C6294">
        <v>0.82935127459913804</v>
      </c>
      <c r="D6294">
        <v>0.91825282488801996</v>
      </c>
      <c r="E6294">
        <v>0.90167110052713095</v>
      </c>
    </row>
    <row r="6295" spans="1:5" x14ac:dyDescent="0.2">
      <c r="A6295">
        <v>0.59768333333333301</v>
      </c>
      <c r="B6295">
        <v>0.84923833250733005</v>
      </c>
      <c r="C6295">
        <v>0.82951930653093697</v>
      </c>
      <c r="D6295">
        <v>0.91834216031135396</v>
      </c>
      <c r="E6295">
        <v>0.90178079004342004</v>
      </c>
    </row>
    <row r="6296" spans="1:5" x14ac:dyDescent="0.2">
      <c r="A6296">
        <v>0.59801666666666697</v>
      </c>
      <c r="B6296">
        <v>0.84938868071596796</v>
      </c>
      <c r="C6296">
        <v>0.82968727879180404</v>
      </c>
      <c r="D6296">
        <v>0.91843144492647499</v>
      </c>
      <c r="E6296">
        <v>0.90189044479929104</v>
      </c>
    </row>
    <row r="6297" spans="1:5" x14ac:dyDescent="0.2">
      <c r="A6297">
        <v>0.59835000000000005</v>
      </c>
      <c r="B6297">
        <v>0.84953897173787096</v>
      </c>
      <c r="C6297">
        <v>0.82985519143698805</v>
      </c>
      <c r="D6297">
        <v>0.91852067879532995</v>
      </c>
      <c r="E6297">
        <v>0.90200006476100103</v>
      </c>
    </row>
    <row r="6298" spans="1:5" x14ac:dyDescent="0.2">
      <c r="A6298">
        <v>0.59868333333333301</v>
      </c>
      <c r="B6298">
        <v>0.84968920562726302</v>
      </c>
      <c r="C6298">
        <v>0.83002304452173503</v>
      </c>
      <c r="D6298">
        <v>0.91860986197987105</v>
      </c>
      <c r="E6298">
        <v>0.90210964989481002</v>
      </c>
    </row>
    <row r="6299" spans="1:5" x14ac:dyDescent="0.2">
      <c r="A6299">
        <v>0.59901666666666697</v>
      </c>
      <c r="B6299">
        <v>0.84983938243836599</v>
      </c>
      <c r="C6299">
        <v>0.83019083810129402</v>
      </c>
      <c r="D6299">
        <v>0.91869899454204396</v>
      </c>
      <c r="E6299">
        <v>0.90221920016697499</v>
      </c>
    </row>
    <row r="6300" spans="1:5" x14ac:dyDescent="0.2">
      <c r="A6300">
        <v>0.59935000000000005</v>
      </c>
      <c r="B6300">
        <v>0.84998950222540404</v>
      </c>
      <c r="C6300">
        <v>0.83035857223091203</v>
      </c>
      <c r="D6300">
        <v>0.91878807654379901</v>
      </c>
      <c r="E6300">
        <v>0.90232871554375504</v>
      </c>
    </row>
    <row r="6301" spans="1:5" x14ac:dyDescent="0.2">
      <c r="A6301">
        <v>0.59968333333333301</v>
      </c>
      <c r="B6301">
        <v>0.85013956504259702</v>
      </c>
      <c r="C6301">
        <v>0.83052624696583599</v>
      </c>
      <c r="D6301">
        <v>0.918877108047085</v>
      </c>
      <c r="E6301">
        <v>0.90243819599140895</v>
      </c>
    </row>
    <row r="6302" spans="1:5" x14ac:dyDescent="0.2">
      <c r="A6302">
        <v>0.60001666666666698</v>
      </c>
      <c r="B6302">
        <v>0.85028957094417001</v>
      </c>
      <c r="C6302">
        <v>0.83069386236131504</v>
      </c>
      <c r="D6302">
        <v>0.91896608911385003</v>
      </c>
      <c r="E6302">
        <v>0.90254764147619404</v>
      </c>
    </row>
    <row r="6303" spans="1:5" x14ac:dyDescent="0.2">
      <c r="A6303">
        <v>0.60035000000000005</v>
      </c>
      <c r="B6303">
        <v>0.85043951998394496</v>
      </c>
      <c r="C6303">
        <v>0.83086141847209205</v>
      </c>
      <c r="D6303">
        <v>0.91905501980604298</v>
      </c>
      <c r="E6303">
        <v>0.90265705196436896</v>
      </c>
    </row>
    <row r="6304" spans="1:5" x14ac:dyDescent="0.2">
      <c r="A6304">
        <v>0.60068333333333301</v>
      </c>
      <c r="B6304">
        <v>0.85058941221437401</v>
      </c>
      <c r="C6304">
        <v>0.83102891535118095</v>
      </c>
      <c r="D6304">
        <v>0.91914390018561298</v>
      </c>
      <c r="E6304">
        <v>0.90276642742219204</v>
      </c>
    </row>
    <row r="6305" spans="1:5" x14ac:dyDescent="0.2">
      <c r="A6305">
        <v>0.60101666666666698</v>
      </c>
      <c r="B6305">
        <v>0.850739247687612</v>
      </c>
      <c r="C6305">
        <v>0.83119635305122097</v>
      </c>
      <c r="D6305">
        <v>0.91923273031451003</v>
      </c>
      <c r="E6305">
        <v>0.90287576781592205</v>
      </c>
    </row>
    <row r="6306" spans="1:5" x14ac:dyDescent="0.2">
      <c r="A6306">
        <v>0.60135000000000005</v>
      </c>
      <c r="B6306">
        <v>0.85088902645581499</v>
      </c>
      <c r="C6306">
        <v>0.831363731624851</v>
      </c>
      <c r="D6306">
        <v>0.91932151025468001</v>
      </c>
      <c r="E6306">
        <v>0.90298507311181797</v>
      </c>
    </row>
    <row r="6307" spans="1:5" x14ac:dyDescent="0.2">
      <c r="A6307">
        <v>0.60168333333333301</v>
      </c>
      <c r="B6307">
        <v>0.85103874857113904</v>
      </c>
      <c r="C6307">
        <v>0.83153105112471104</v>
      </c>
      <c r="D6307">
        <v>0.91941024006807404</v>
      </c>
      <c r="E6307">
        <v>0.90309434327613602</v>
      </c>
    </row>
    <row r="6308" spans="1:5" x14ac:dyDescent="0.2">
      <c r="A6308">
        <v>0.60201666666666698</v>
      </c>
      <c r="B6308">
        <v>0.85118841408573798</v>
      </c>
      <c r="C6308">
        <v>0.83169831160344199</v>
      </c>
      <c r="D6308">
        <v>0.91949891981664</v>
      </c>
      <c r="E6308">
        <v>0.90320357827513698</v>
      </c>
    </row>
    <row r="6309" spans="1:5" x14ac:dyDescent="0.2">
      <c r="A6309">
        <v>0.60235000000000005</v>
      </c>
      <c r="B6309">
        <v>0.85133802305176898</v>
      </c>
      <c r="C6309">
        <v>0.83186551311368195</v>
      </c>
      <c r="D6309">
        <v>0.91958754956232702</v>
      </c>
      <c r="E6309">
        <v>0.90331277807507804</v>
      </c>
    </row>
    <row r="6310" spans="1:5" x14ac:dyDescent="0.2">
      <c r="A6310">
        <v>0.60268333333333302</v>
      </c>
      <c r="B6310">
        <v>0.85148757552138798</v>
      </c>
      <c r="C6310">
        <v>0.83203265570807206</v>
      </c>
      <c r="D6310">
        <v>0.91967612936708398</v>
      </c>
      <c r="E6310">
        <v>0.90342194264221698</v>
      </c>
    </row>
    <row r="6311" spans="1:5" x14ac:dyDescent="0.2">
      <c r="A6311">
        <v>0.60301666666666698</v>
      </c>
      <c r="B6311">
        <v>0.85163707154674895</v>
      </c>
      <c r="C6311">
        <v>0.83219973943925096</v>
      </c>
      <c r="D6311">
        <v>0.919764659292859</v>
      </c>
      <c r="E6311">
        <v>0.90353107194281301</v>
      </c>
    </row>
    <row r="6312" spans="1:5" x14ac:dyDescent="0.2">
      <c r="A6312">
        <v>0.60335000000000005</v>
      </c>
      <c r="B6312">
        <v>0.85178651118000803</v>
      </c>
      <c r="C6312">
        <v>0.83236676435985901</v>
      </c>
      <c r="D6312">
        <v>0.91985313940160196</v>
      </c>
      <c r="E6312">
        <v>0.90364016594312502</v>
      </c>
    </row>
    <row r="6313" spans="1:5" x14ac:dyDescent="0.2">
      <c r="A6313">
        <v>0.60368333333333302</v>
      </c>
      <c r="B6313">
        <v>0.85193589447332196</v>
      </c>
      <c r="C6313">
        <v>0.83253373052253499</v>
      </c>
      <c r="D6313">
        <v>0.91994156975525998</v>
      </c>
      <c r="E6313">
        <v>0.90374922460940998</v>
      </c>
    </row>
    <row r="6314" spans="1:5" x14ac:dyDescent="0.2">
      <c r="A6314">
        <v>0.60401666666666698</v>
      </c>
      <c r="B6314">
        <v>0.85208522147884502</v>
      </c>
      <c r="C6314">
        <v>0.83270063797992</v>
      </c>
      <c r="D6314">
        <v>0.92002995041578395</v>
      </c>
      <c r="E6314">
        <v>0.90385824790792701</v>
      </c>
    </row>
    <row r="6315" spans="1:5" x14ac:dyDescent="0.2">
      <c r="A6315">
        <v>0.60435000000000005</v>
      </c>
      <c r="B6315">
        <v>0.85223449224873304</v>
      </c>
      <c r="C6315">
        <v>0.83286748678465305</v>
      </c>
      <c r="D6315">
        <v>0.92011828144512098</v>
      </c>
      <c r="E6315">
        <v>0.90396723580493499</v>
      </c>
    </row>
    <row r="6316" spans="1:5" x14ac:dyDescent="0.2">
      <c r="A6316">
        <v>0.60468333333333302</v>
      </c>
      <c r="B6316">
        <v>0.85238370683514197</v>
      </c>
      <c r="C6316">
        <v>0.83303427698937305</v>
      </c>
      <c r="D6316">
        <v>0.92020656290521996</v>
      </c>
      <c r="E6316">
        <v>0.904076188266692</v>
      </c>
    </row>
    <row r="6317" spans="1:5" x14ac:dyDescent="0.2">
      <c r="A6317">
        <v>0.60501666666666698</v>
      </c>
      <c r="B6317">
        <v>0.85253286529022698</v>
      </c>
      <c r="C6317">
        <v>0.83320100864672098</v>
      </c>
      <c r="D6317">
        <v>0.92029479485803101</v>
      </c>
      <c r="E6317">
        <v>0.90418510525945595</v>
      </c>
    </row>
    <row r="6318" spans="1:5" x14ac:dyDescent="0.2">
      <c r="A6318">
        <v>0.60535000000000005</v>
      </c>
      <c r="B6318">
        <v>0.85268196766614401</v>
      </c>
      <c r="C6318">
        <v>0.83336768180933696</v>
      </c>
      <c r="D6318">
        <v>0.92038297736550201</v>
      </c>
      <c r="E6318">
        <v>0.90429398674948502</v>
      </c>
    </row>
    <row r="6319" spans="1:5" x14ac:dyDescent="0.2">
      <c r="A6319">
        <v>0.60568333333333302</v>
      </c>
      <c r="B6319">
        <v>0.85283101401504902</v>
      </c>
      <c r="C6319">
        <v>0.833534296529859</v>
      </c>
      <c r="D6319">
        <v>0.92047111048958097</v>
      </c>
      <c r="E6319">
        <v>0.90440283270303801</v>
      </c>
    </row>
    <row r="6320" spans="1:5" x14ac:dyDescent="0.2">
      <c r="A6320">
        <v>0.60601666666666698</v>
      </c>
      <c r="B6320">
        <v>0.85298000438909705</v>
      </c>
      <c r="C6320">
        <v>0.83370085286092699</v>
      </c>
      <c r="D6320">
        <v>0.920559194292218</v>
      </c>
      <c r="E6320">
        <v>0.904511643086373</v>
      </c>
    </row>
    <row r="6321" spans="1:5" x14ac:dyDescent="0.2">
      <c r="A6321">
        <v>0.60634999999999994</v>
      </c>
      <c r="B6321">
        <v>0.85312893884044305</v>
      </c>
      <c r="C6321">
        <v>0.83386735085518204</v>
      </c>
      <c r="D6321">
        <v>0.92064722883536099</v>
      </c>
      <c r="E6321">
        <v>0.90462041786574898</v>
      </c>
    </row>
    <row r="6322" spans="1:5" x14ac:dyDescent="0.2">
      <c r="A6322">
        <v>0.60668333333333302</v>
      </c>
      <c r="B6322">
        <v>0.85327781742124398</v>
      </c>
      <c r="C6322">
        <v>0.83403379056526294</v>
      </c>
      <c r="D6322">
        <v>0.92073521418096005</v>
      </c>
      <c r="E6322">
        <v>0.90472915700742496</v>
      </c>
    </row>
    <row r="6323" spans="1:5" x14ac:dyDescent="0.2">
      <c r="A6323">
        <v>0.60701666666666698</v>
      </c>
      <c r="B6323">
        <v>0.853426640183654</v>
      </c>
      <c r="C6323">
        <v>0.83420017204381003</v>
      </c>
      <c r="D6323">
        <v>0.92082315039096196</v>
      </c>
      <c r="E6323">
        <v>0.90483786047765702</v>
      </c>
    </row>
    <row r="6324" spans="1:5" x14ac:dyDescent="0.2">
      <c r="A6324">
        <v>0.60734999999999995</v>
      </c>
      <c r="B6324">
        <v>0.85357540717983005</v>
      </c>
      <c r="C6324">
        <v>0.83436649534346197</v>
      </c>
      <c r="D6324">
        <v>0.92091103752731696</v>
      </c>
      <c r="E6324">
        <v>0.90494652824270505</v>
      </c>
    </row>
    <row r="6325" spans="1:5" x14ac:dyDescent="0.2">
      <c r="A6325">
        <v>0.60768333333333302</v>
      </c>
      <c r="B6325">
        <v>0.85372411846192697</v>
      </c>
      <c r="C6325">
        <v>0.83453276051685998</v>
      </c>
      <c r="D6325">
        <v>0.92099887565197402</v>
      </c>
      <c r="E6325">
        <v>0.90505516026882704</v>
      </c>
    </row>
    <row r="6326" spans="1:5" x14ac:dyDescent="0.2">
      <c r="A6326">
        <v>0.60801666666666698</v>
      </c>
      <c r="B6326">
        <v>0.85387277408210005</v>
      </c>
      <c r="C6326">
        <v>0.83469896761664197</v>
      </c>
      <c r="D6326">
        <v>0.92108666482688095</v>
      </c>
      <c r="E6326">
        <v>0.90516375652228198</v>
      </c>
    </row>
    <row r="6327" spans="1:5" x14ac:dyDescent="0.2">
      <c r="A6327">
        <v>0.60834999999999995</v>
      </c>
      <c r="B6327">
        <v>0.854021374092506</v>
      </c>
      <c r="C6327">
        <v>0.83486511669544905</v>
      </c>
      <c r="D6327">
        <v>0.92117440511398696</v>
      </c>
      <c r="E6327">
        <v>0.90527231696932797</v>
      </c>
    </row>
    <row r="6328" spans="1:5" x14ac:dyDescent="0.2">
      <c r="A6328">
        <v>0.60868333333333302</v>
      </c>
      <c r="B6328">
        <v>0.854169918545299</v>
      </c>
      <c r="C6328">
        <v>0.83503120780591999</v>
      </c>
      <c r="D6328">
        <v>0.92126209657524005</v>
      </c>
      <c r="E6328">
        <v>0.90538084157622201</v>
      </c>
    </row>
    <row r="6329" spans="1:5" x14ac:dyDescent="0.2">
      <c r="A6329">
        <v>0.60901666666666698</v>
      </c>
      <c r="B6329">
        <v>0.85431840749263599</v>
      </c>
      <c r="C6329">
        <v>0.83519724100069503</v>
      </c>
      <c r="D6329">
        <v>0.92134973927259101</v>
      </c>
      <c r="E6329">
        <v>0.90548933030922496</v>
      </c>
    </row>
    <row r="6330" spans="1:5" x14ac:dyDescent="0.2">
      <c r="A6330">
        <v>0.60934999999999995</v>
      </c>
      <c r="B6330">
        <v>0.85446684098667103</v>
      </c>
      <c r="C6330">
        <v>0.83536321633241395</v>
      </c>
      <c r="D6330">
        <v>0.92143733326798605</v>
      </c>
      <c r="E6330">
        <v>0.90559778313459305</v>
      </c>
    </row>
    <row r="6331" spans="1:5" x14ac:dyDescent="0.2">
      <c r="A6331">
        <v>0.60968333333333302</v>
      </c>
      <c r="B6331">
        <v>0.85461521907956195</v>
      </c>
      <c r="C6331">
        <v>0.83552913385371597</v>
      </c>
      <c r="D6331">
        <v>0.92152487862337595</v>
      </c>
      <c r="E6331">
        <v>0.90570620001858604</v>
      </c>
    </row>
    <row r="6332" spans="1:5" x14ac:dyDescent="0.2">
      <c r="A6332">
        <v>0.61001666666666698</v>
      </c>
      <c r="B6332">
        <v>0.85476354182346204</v>
      </c>
      <c r="C6332">
        <v>0.83569499361724198</v>
      </c>
      <c r="D6332">
        <v>0.92161237540070895</v>
      </c>
      <c r="E6332">
        <v>0.90581458092746103</v>
      </c>
    </row>
    <row r="6333" spans="1:5" x14ac:dyDescent="0.2">
      <c r="A6333">
        <v>0.61034999999999995</v>
      </c>
      <c r="B6333">
        <v>0.85491180927003396</v>
      </c>
      <c r="C6333">
        <v>0.83586079567524396</v>
      </c>
      <c r="D6333">
        <v>0.92169982366193404</v>
      </c>
      <c r="E6333">
        <v>0.90592292582747802</v>
      </c>
    </row>
    <row r="6334" spans="1:5" x14ac:dyDescent="0.2">
      <c r="A6334">
        <v>0.61068333333333302</v>
      </c>
      <c r="B6334">
        <v>0.85506002146924498</v>
      </c>
      <c r="C6334">
        <v>0.83602654007864696</v>
      </c>
      <c r="D6334">
        <v>0.921787223468999</v>
      </c>
      <c r="E6334">
        <v>0.90603123468489399</v>
      </c>
    </row>
    <row r="6335" spans="1:5" x14ac:dyDescent="0.2">
      <c r="A6335">
        <v>0.61101666666666699</v>
      </c>
      <c r="B6335">
        <v>0.85520817847069197</v>
      </c>
      <c r="C6335">
        <v>0.83619222687808803</v>
      </c>
      <c r="D6335">
        <v>0.92187457488385405</v>
      </c>
      <c r="E6335">
        <v>0.90613950746596705</v>
      </c>
    </row>
    <row r="6336" spans="1:5" x14ac:dyDescent="0.2">
      <c r="A6336">
        <v>0.61134999999999995</v>
      </c>
      <c r="B6336">
        <v>0.85535628032397604</v>
      </c>
      <c r="C6336">
        <v>0.83635785612420699</v>
      </c>
      <c r="D6336">
        <v>0.92196187796844697</v>
      </c>
      <c r="E6336">
        <v>0.90624774413695697</v>
      </c>
    </row>
    <row r="6337" spans="1:5" x14ac:dyDescent="0.2">
      <c r="A6337">
        <v>0.61168333333333302</v>
      </c>
      <c r="B6337">
        <v>0.85550432707869595</v>
      </c>
      <c r="C6337">
        <v>0.83652342786764</v>
      </c>
      <c r="D6337">
        <v>0.922049132784726</v>
      </c>
      <c r="E6337">
        <v>0.90635594466412095</v>
      </c>
    </row>
    <row r="6338" spans="1:5" x14ac:dyDescent="0.2">
      <c r="A6338">
        <v>0.61201666666666699</v>
      </c>
      <c r="B6338">
        <v>0.85565231878445103</v>
      </c>
      <c r="C6338">
        <v>0.83668894215902601</v>
      </c>
      <c r="D6338">
        <v>0.92213633939464201</v>
      </c>
      <c r="E6338">
        <v>0.90646410901371799</v>
      </c>
    </row>
    <row r="6339" spans="1:5" x14ac:dyDescent="0.2">
      <c r="A6339">
        <v>0.61234999999999995</v>
      </c>
      <c r="B6339">
        <v>0.85580025549084204</v>
      </c>
      <c r="C6339">
        <v>0.83685439904900205</v>
      </c>
      <c r="D6339">
        <v>0.92222349786014202</v>
      </c>
      <c r="E6339">
        <v>0.90657223715200697</v>
      </c>
    </row>
    <row r="6340" spans="1:5" x14ac:dyDescent="0.2">
      <c r="A6340">
        <v>0.61268333333333302</v>
      </c>
      <c r="B6340">
        <v>0.85594813724746799</v>
      </c>
      <c r="C6340">
        <v>0.83701979858820796</v>
      </c>
      <c r="D6340">
        <v>0.92231060824317501</v>
      </c>
      <c r="E6340">
        <v>0.90668032904524498</v>
      </c>
    </row>
    <row r="6341" spans="1:5" x14ac:dyDescent="0.2">
      <c r="A6341">
        <v>0.61301666666666699</v>
      </c>
      <c r="B6341">
        <v>0.85609596410392796</v>
      </c>
      <c r="C6341">
        <v>0.83718514082727902</v>
      </c>
      <c r="D6341">
        <v>0.92239767060569</v>
      </c>
      <c r="E6341">
        <v>0.90678838465969103</v>
      </c>
    </row>
    <row r="6342" spans="1:5" x14ac:dyDescent="0.2">
      <c r="A6342">
        <v>0.61334999999999995</v>
      </c>
      <c r="B6342">
        <v>0.85624373610982196</v>
      </c>
      <c r="C6342">
        <v>0.83735042581685604</v>
      </c>
      <c r="D6342">
        <v>0.92248468500963599</v>
      </c>
      <c r="E6342">
        <v>0.90689640396160398</v>
      </c>
    </row>
    <row r="6343" spans="1:5" x14ac:dyDescent="0.2">
      <c r="A6343">
        <v>0.61368333333333303</v>
      </c>
      <c r="B6343">
        <v>0.85639145331474997</v>
      </c>
      <c r="C6343">
        <v>0.83751565360757496</v>
      </c>
      <c r="D6343">
        <v>0.92257165151696197</v>
      </c>
      <c r="E6343">
        <v>0.90700438691724095</v>
      </c>
    </row>
    <row r="6344" spans="1:5" x14ac:dyDescent="0.2">
      <c r="A6344">
        <v>0.61401666666666699</v>
      </c>
      <c r="B6344">
        <v>0.85653911576830999</v>
      </c>
      <c r="C6344">
        <v>0.83768082425007395</v>
      </c>
      <c r="D6344">
        <v>0.92265857018961595</v>
      </c>
      <c r="E6344">
        <v>0.90711233349286102</v>
      </c>
    </row>
    <row r="6345" spans="1:5" x14ac:dyDescent="0.2">
      <c r="A6345">
        <v>0.61434999999999995</v>
      </c>
      <c r="B6345">
        <v>0.856686723520103</v>
      </c>
      <c r="C6345">
        <v>0.83784593779499195</v>
      </c>
      <c r="D6345">
        <v>0.92274544108954704</v>
      </c>
      <c r="E6345">
        <v>0.90722024365472298</v>
      </c>
    </row>
    <row r="6346" spans="1:5" x14ac:dyDescent="0.2">
      <c r="A6346">
        <v>0.61468333333333303</v>
      </c>
      <c r="B6346">
        <v>0.856834276619729</v>
      </c>
      <c r="C6346">
        <v>0.83801099429296699</v>
      </c>
      <c r="D6346">
        <v>0.92283226427870402</v>
      </c>
      <c r="E6346">
        <v>0.90732811736908503</v>
      </c>
    </row>
    <row r="6347" spans="1:5" x14ac:dyDescent="0.2">
      <c r="A6347">
        <v>0.61501666666666699</v>
      </c>
      <c r="B6347">
        <v>0.85698177511678597</v>
      </c>
      <c r="C6347">
        <v>0.83817599379463603</v>
      </c>
      <c r="D6347">
        <v>0.922919039819037</v>
      </c>
      <c r="E6347">
        <v>0.90743595460220505</v>
      </c>
    </row>
    <row r="6348" spans="1:5" x14ac:dyDescent="0.2">
      <c r="A6348">
        <v>0.61534999999999995</v>
      </c>
      <c r="B6348">
        <v>0.85712921906087403</v>
      </c>
      <c r="C6348">
        <v>0.838340936350638</v>
      </c>
      <c r="D6348">
        <v>0.92300576777249199</v>
      </c>
      <c r="E6348">
        <v>0.90754375532034204</v>
      </c>
    </row>
    <row r="6349" spans="1:5" x14ac:dyDescent="0.2">
      <c r="A6349">
        <v>0.61568333333333303</v>
      </c>
      <c r="B6349">
        <v>0.85727660850159304</v>
      </c>
      <c r="C6349">
        <v>0.83850582201160995</v>
      </c>
      <c r="D6349">
        <v>0.92309244820101999</v>
      </c>
      <c r="E6349">
        <v>0.90765151948975298</v>
      </c>
    </row>
    <row r="6350" spans="1:5" x14ac:dyDescent="0.2">
      <c r="A6350">
        <v>0.61601666666666699</v>
      </c>
      <c r="B6350">
        <v>0.85742394348854301</v>
      </c>
      <c r="C6350">
        <v>0.83867065082819003</v>
      </c>
      <c r="D6350">
        <v>0.92317908116656899</v>
      </c>
      <c r="E6350">
        <v>0.90775924707669797</v>
      </c>
    </row>
    <row r="6351" spans="1:5" x14ac:dyDescent="0.2">
      <c r="A6351">
        <v>0.61634999999999995</v>
      </c>
      <c r="B6351">
        <v>0.85757122407132202</v>
      </c>
      <c r="C6351">
        <v>0.83883542285101698</v>
      </c>
      <c r="D6351">
        <v>0.92326566673108801</v>
      </c>
      <c r="E6351">
        <v>0.90786693804743401</v>
      </c>
    </row>
    <row r="6352" spans="1:5" x14ac:dyDescent="0.2">
      <c r="A6352">
        <v>0.61668333333333303</v>
      </c>
      <c r="B6352">
        <v>0.85771845029953098</v>
      </c>
      <c r="C6352">
        <v>0.83900013813072905</v>
      </c>
      <c r="D6352">
        <v>0.92335220495652603</v>
      </c>
      <c r="E6352">
        <v>0.90797459236822098</v>
      </c>
    </row>
    <row r="6353" spans="1:5" x14ac:dyDescent="0.2">
      <c r="A6353">
        <v>0.61701666666666699</v>
      </c>
      <c r="B6353">
        <v>0.85786562222276896</v>
      </c>
      <c r="C6353">
        <v>0.83916479671796296</v>
      </c>
      <c r="D6353">
        <v>0.92343869590483096</v>
      </c>
      <c r="E6353">
        <v>0.90808221000531597</v>
      </c>
    </row>
    <row r="6354" spans="1:5" x14ac:dyDescent="0.2">
      <c r="A6354">
        <v>0.61734999999999995</v>
      </c>
      <c r="B6354">
        <v>0.85801273989063598</v>
      </c>
      <c r="C6354">
        <v>0.83932939866335698</v>
      </c>
      <c r="D6354">
        <v>0.92352513963795302</v>
      </c>
      <c r="E6354">
        <v>0.90818979092497798</v>
      </c>
    </row>
    <row r="6355" spans="1:5" x14ac:dyDescent="0.2">
      <c r="A6355">
        <v>0.61768333333333303</v>
      </c>
      <c r="B6355">
        <v>0.85815980335273101</v>
      </c>
      <c r="C6355">
        <v>0.83949394401754895</v>
      </c>
      <c r="D6355">
        <v>0.92361153621783898</v>
      </c>
      <c r="E6355">
        <v>0.908297335093465</v>
      </c>
    </row>
    <row r="6356" spans="1:5" x14ac:dyDescent="0.2">
      <c r="A6356">
        <v>0.61801666666666699</v>
      </c>
      <c r="B6356">
        <v>0.85830681265865405</v>
      </c>
      <c r="C6356">
        <v>0.83965843283117803</v>
      </c>
      <c r="D6356">
        <v>0.92369788570643896</v>
      </c>
      <c r="E6356">
        <v>0.90840484247703501</v>
      </c>
    </row>
    <row r="6357" spans="1:5" x14ac:dyDescent="0.2">
      <c r="A6357">
        <v>0.61834999999999996</v>
      </c>
      <c r="B6357">
        <v>0.85845376785800398</v>
      </c>
      <c r="C6357">
        <v>0.83982286515488103</v>
      </c>
      <c r="D6357">
        <v>0.92378418816570196</v>
      </c>
      <c r="E6357">
        <v>0.90851231304194702</v>
      </c>
    </row>
    <row r="6358" spans="1:5" x14ac:dyDescent="0.2">
      <c r="A6358">
        <v>0.61868333333333303</v>
      </c>
      <c r="B6358">
        <v>0.85860066900038101</v>
      </c>
      <c r="C6358">
        <v>0.83998724103929701</v>
      </c>
      <c r="D6358">
        <v>0.92387044365757698</v>
      </c>
      <c r="E6358">
        <v>0.90861974675446</v>
      </c>
    </row>
    <row r="6359" spans="1:5" x14ac:dyDescent="0.2">
      <c r="A6359">
        <v>0.61901666666666699</v>
      </c>
      <c r="B6359">
        <v>0.85874751613538403</v>
      </c>
      <c r="C6359">
        <v>0.84015156053506301</v>
      </c>
      <c r="D6359">
        <v>0.92395665224401102</v>
      </c>
      <c r="E6359">
        <v>0.90872714358083195</v>
      </c>
    </row>
    <row r="6360" spans="1:5" x14ac:dyDescent="0.2">
      <c r="A6360">
        <v>0.61934999999999996</v>
      </c>
      <c r="B6360">
        <v>0.85889430931261401</v>
      </c>
      <c r="C6360">
        <v>0.84031582369281699</v>
      </c>
      <c r="D6360">
        <v>0.92404281398695498</v>
      </c>
      <c r="E6360">
        <v>0.90883450348731998</v>
      </c>
    </row>
    <row r="6361" spans="1:5" x14ac:dyDescent="0.2">
      <c r="A6361">
        <v>0.61968333333333303</v>
      </c>
      <c r="B6361">
        <v>0.85904104858166896</v>
      </c>
      <c r="C6361">
        <v>0.84048003056319698</v>
      </c>
      <c r="D6361">
        <v>0.92412892894835597</v>
      </c>
      <c r="E6361">
        <v>0.90894182644018395</v>
      </c>
    </row>
    <row r="6362" spans="1:5" x14ac:dyDescent="0.2">
      <c r="A6362">
        <v>0.62001666666666699</v>
      </c>
      <c r="B6362">
        <v>0.85918773399214898</v>
      </c>
      <c r="C6362">
        <v>0.84064418119684103</v>
      </c>
      <c r="D6362">
        <v>0.92421499719016398</v>
      </c>
      <c r="E6362">
        <v>0.90904911240568098</v>
      </c>
    </row>
    <row r="6363" spans="1:5" x14ac:dyDescent="0.2">
      <c r="A6363">
        <v>0.62034999999999996</v>
      </c>
      <c r="B6363">
        <v>0.85933436559328102</v>
      </c>
      <c r="C6363">
        <v>0.840808275643949</v>
      </c>
      <c r="D6363">
        <v>0.92430101877432702</v>
      </c>
      <c r="E6363">
        <v>0.90915636135007005</v>
      </c>
    </row>
    <row r="6364" spans="1:5" x14ac:dyDescent="0.2">
      <c r="A6364">
        <v>0.62068333333333303</v>
      </c>
      <c r="B6364">
        <v>0.85948094343300996</v>
      </c>
      <c r="C6364">
        <v>0.84097231395321004</v>
      </c>
      <c r="D6364">
        <v>0.92438699376279498</v>
      </c>
      <c r="E6364">
        <v>0.90926357323961104</v>
      </c>
    </row>
    <row r="6365" spans="1:5" x14ac:dyDescent="0.2">
      <c r="A6365">
        <v>0.62101666666666699</v>
      </c>
      <c r="B6365">
        <v>0.85962746755900299</v>
      </c>
      <c r="C6365">
        <v>0.84113629617298602</v>
      </c>
      <c r="D6365">
        <v>0.92447292221751498</v>
      </c>
      <c r="E6365">
        <v>0.90937074804055995</v>
      </c>
    </row>
    <row r="6366" spans="1:5" x14ac:dyDescent="0.2">
      <c r="A6366">
        <v>0.62134999999999996</v>
      </c>
      <c r="B6366">
        <v>0.85977393801892998</v>
      </c>
      <c r="C6366">
        <v>0.84130022235164303</v>
      </c>
      <c r="D6366">
        <v>0.92455880420043701</v>
      </c>
      <c r="E6366">
        <v>0.90947788571917598</v>
      </c>
    </row>
    <row r="6367" spans="1:5" x14ac:dyDescent="0.2">
      <c r="A6367">
        <v>0.62168333333333303</v>
      </c>
      <c r="B6367">
        <v>0.85992035486045904</v>
      </c>
      <c r="C6367">
        <v>0.84146409253754495</v>
      </c>
      <c r="D6367">
        <v>0.92464463977350997</v>
      </c>
      <c r="E6367">
        <v>0.90958498624171702</v>
      </c>
    </row>
    <row r="6368" spans="1:5" x14ac:dyDescent="0.2">
      <c r="A6368">
        <v>0.622016666666667</v>
      </c>
      <c r="B6368">
        <v>0.86006671813125801</v>
      </c>
      <c r="C6368">
        <v>0.84162790677905397</v>
      </c>
      <c r="D6368">
        <v>0.92473042899868196</v>
      </c>
      <c r="E6368">
        <v>0.90969204957444305</v>
      </c>
    </row>
    <row r="6369" spans="1:5" x14ac:dyDescent="0.2">
      <c r="A6369">
        <v>0.62234999999999996</v>
      </c>
      <c r="B6369">
        <v>0.86021302787899501</v>
      </c>
      <c r="C6369">
        <v>0.84179166512453496</v>
      </c>
      <c r="D6369">
        <v>0.924816171937901</v>
      </c>
      <c r="E6369">
        <v>0.90979907568361096</v>
      </c>
    </row>
    <row r="6370" spans="1:5" x14ac:dyDescent="0.2">
      <c r="A6370">
        <v>0.62268333333333303</v>
      </c>
      <c r="B6370">
        <v>0.860359284151339</v>
      </c>
      <c r="C6370">
        <v>0.84195536762235201</v>
      </c>
      <c r="D6370">
        <v>0.92490186865311796</v>
      </c>
      <c r="E6370">
        <v>0.90990606453547995</v>
      </c>
    </row>
    <row r="6371" spans="1:5" x14ac:dyDescent="0.2">
      <c r="A6371">
        <v>0.623016666666667</v>
      </c>
      <c r="B6371">
        <v>0.86050548699595897</v>
      </c>
      <c r="C6371">
        <v>0.842119014320869</v>
      </c>
      <c r="D6371">
        <v>0.92498751920627997</v>
      </c>
      <c r="E6371">
        <v>0.91001301609630703</v>
      </c>
    </row>
    <row r="6372" spans="1:5" x14ac:dyDescent="0.2">
      <c r="A6372">
        <v>0.62334999999999996</v>
      </c>
      <c r="B6372">
        <v>0.86065163646052201</v>
      </c>
      <c r="C6372">
        <v>0.84228260526845</v>
      </c>
      <c r="D6372">
        <v>0.92507312365933703</v>
      </c>
      <c r="E6372">
        <v>0.91011993033235306</v>
      </c>
    </row>
    <row r="6373" spans="1:5" x14ac:dyDescent="0.2">
      <c r="A6373">
        <v>0.62368333333333303</v>
      </c>
      <c r="B6373">
        <v>0.86079773259269698</v>
      </c>
      <c r="C6373">
        <v>0.84244614051345901</v>
      </c>
      <c r="D6373">
        <v>0.92515868207423702</v>
      </c>
      <c r="E6373">
        <v>0.91022680720987403</v>
      </c>
    </row>
    <row r="6374" spans="1:5" x14ac:dyDescent="0.2">
      <c r="A6374">
        <v>0.624016666666667</v>
      </c>
      <c r="B6374">
        <v>0.86094377544015299</v>
      </c>
      <c r="C6374">
        <v>0.84260962010425899</v>
      </c>
      <c r="D6374">
        <v>0.92524419451292905</v>
      </c>
      <c r="E6374">
        <v>0.91033364669512895</v>
      </c>
    </row>
    <row r="6375" spans="1:5" x14ac:dyDescent="0.2">
      <c r="A6375">
        <v>0.62434999999999996</v>
      </c>
      <c r="B6375">
        <v>0.86108976505055701</v>
      </c>
      <c r="C6375">
        <v>0.84277304408921505</v>
      </c>
      <c r="D6375">
        <v>0.92532966103736103</v>
      </c>
      <c r="E6375">
        <v>0.91044044875437602</v>
      </c>
    </row>
    <row r="6376" spans="1:5" x14ac:dyDescent="0.2">
      <c r="A6376">
        <v>0.62468333333333304</v>
      </c>
      <c r="B6376">
        <v>0.86123570147157902</v>
      </c>
      <c r="C6376">
        <v>0.84293641251669005</v>
      </c>
      <c r="D6376">
        <v>0.92541508170948406</v>
      </c>
      <c r="E6376">
        <v>0.91054721335387501</v>
      </c>
    </row>
    <row r="6377" spans="1:5" x14ac:dyDescent="0.2">
      <c r="A6377">
        <v>0.625016666666667</v>
      </c>
      <c r="B6377">
        <v>0.861381584750887</v>
      </c>
      <c r="C6377">
        <v>0.84309972543504796</v>
      </c>
      <c r="D6377">
        <v>0.92550045659124403</v>
      </c>
      <c r="E6377">
        <v>0.91065394045988302</v>
      </c>
    </row>
    <row r="6378" spans="1:5" x14ac:dyDescent="0.2">
      <c r="A6378">
        <v>0.62534999999999996</v>
      </c>
      <c r="B6378">
        <v>0.86152741493614904</v>
      </c>
      <c r="C6378">
        <v>0.843262982892654</v>
      </c>
      <c r="D6378">
        <v>0.92558578574459205</v>
      </c>
      <c r="E6378">
        <v>0.91076063003865904</v>
      </c>
    </row>
    <row r="6379" spans="1:5" x14ac:dyDescent="0.2">
      <c r="A6379">
        <v>0.62568333333333304</v>
      </c>
      <c r="B6379">
        <v>0.86167319207503301</v>
      </c>
      <c r="C6379">
        <v>0.84342618493787103</v>
      </c>
      <c r="D6379">
        <v>0.92567106923147502</v>
      </c>
      <c r="E6379">
        <v>0.91086728205645995</v>
      </c>
    </row>
    <row r="6380" spans="1:5" x14ac:dyDescent="0.2">
      <c r="A6380">
        <v>0.626016666666667</v>
      </c>
      <c r="B6380">
        <v>0.86181891621520801</v>
      </c>
      <c r="C6380">
        <v>0.84358933161906402</v>
      </c>
      <c r="D6380">
        <v>0.92575630711384405</v>
      </c>
      <c r="E6380">
        <v>0.91097389647954596</v>
      </c>
    </row>
    <row r="6381" spans="1:5" x14ac:dyDescent="0.2">
      <c r="A6381">
        <v>0.62634999999999996</v>
      </c>
      <c r="B6381">
        <v>0.86196458740434201</v>
      </c>
      <c r="C6381">
        <v>0.84375242298459496</v>
      </c>
      <c r="D6381">
        <v>0.92584149945364502</v>
      </c>
      <c r="E6381">
        <v>0.91108047327417496</v>
      </c>
    </row>
    <row r="6382" spans="1:5" x14ac:dyDescent="0.2">
      <c r="A6382">
        <v>0.62668333333333304</v>
      </c>
      <c r="B6382">
        <v>0.86211020569010399</v>
      </c>
      <c r="C6382">
        <v>0.84391545908282894</v>
      </c>
      <c r="D6382">
        <v>0.92592664631282995</v>
      </c>
      <c r="E6382">
        <v>0.91118701240660505</v>
      </c>
    </row>
    <row r="6383" spans="1:5" x14ac:dyDescent="0.2">
      <c r="A6383">
        <v>0.627016666666667</v>
      </c>
      <c r="B6383">
        <v>0.86225577112016205</v>
      </c>
      <c r="C6383">
        <v>0.84407843996212994</v>
      </c>
      <c r="D6383">
        <v>0.92601174775334505</v>
      </c>
      <c r="E6383">
        <v>0.91129351384309398</v>
      </c>
    </row>
    <row r="6384" spans="1:5" x14ac:dyDescent="0.2">
      <c r="A6384">
        <v>0.62734999999999996</v>
      </c>
      <c r="B6384">
        <v>0.86240128374218505</v>
      </c>
      <c r="C6384">
        <v>0.84424136567086205</v>
      </c>
      <c r="D6384">
        <v>0.92609680383713999</v>
      </c>
      <c r="E6384">
        <v>0.91139997754990099</v>
      </c>
    </row>
    <row r="6385" spans="1:5" x14ac:dyDescent="0.2">
      <c r="A6385">
        <v>0.62768333333333304</v>
      </c>
      <c r="B6385">
        <v>0.86254674360383998</v>
      </c>
      <c r="C6385">
        <v>0.84440423625738903</v>
      </c>
      <c r="D6385">
        <v>0.926181814626163</v>
      </c>
      <c r="E6385">
        <v>0.91150640349328405</v>
      </c>
    </row>
    <row r="6386" spans="1:5" x14ac:dyDescent="0.2">
      <c r="A6386">
        <v>0.628016666666667</v>
      </c>
      <c r="B6386">
        <v>0.86269215075279604</v>
      </c>
      <c r="C6386">
        <v>0.84456705177007496</v>
      </c>
      <c r="D6386">
        <v>0.92626678018236397</v>
      </c>
      <c r="E6386">
        <v>0.91161279163950204</v>
      </c>
    </row>
    <row r="6387" spans="1:5" x14ac:dyDescent="0.2">
      <c r="A6387">
        <v>0.62834999999999996</v>
      </c>
      <c r="B6387">
        <v>0.86283750523672298</v>
      </c>
      <c r="C6387">
        <v>0.84472981225728305</v>
      </c>
      <c r="D6387">
        <v>0.92635170056769101</v>
      </c>
      <c r="E6387">
        <v>0.91171914195481296</v>
      </c>
    </row>
    <row r="6388" spans="1:5" x14ac:dyDescent="0.2">
      <c r="A6388">
        <v>0.62868333333333304</v>
      </c>
      <c r="B6388">
        <v>0.86298280710328701</v>
      </c>
      <c r="C6388">
        <v>0.84489251776737695</v>
      </c>
      <c r="D6388">
        <v>0.926436575844094</v>
      </c>
      <c r="E6388">
        <v>0.91182545440547602</v>
      </c>
    </row>
    <row r="6389" spans="1:5" x14ac:dyDescent="0.2">
      <c r="A6389">
        <v>0.629016666666667</v>
      </c>
      <c r="B6389">
        <v>0.863128056400157</v>
      </c>
      <c r="C6389">
        <v>0.84505516834872196</v>
      </c>
      <c r="D6389">
        <v>0.92652140607351996</v>
      </c>
      <c r="E6389">
        <v>0.91193172895774799</v>
      </c>
    </row>
    <row r="6390" spans="1:5" x14ac:dyDescent="0.2">
      <c r="A6390">
        <v>0.62934999999999997</v>
      </c>
      <c r="B6390">
        <v>0.86327325317500303</v>
      </c>
      <c r="C6390">
        <v>0.84521776404968096</v>
      </c>
      <c r="D6390">
        <v>0.92660619131791799</v>
      </c>
      <c r="E6390">
        <v>0.91203796557788797</v>
      </c>
    </row>
    <row r="6391" spans="1:5" x14ac:dyDescent="0.2">
      <c r="A6391">
        <v>0.62968333333333304</v>
      </c>
      <c r="B6391">
        <v>0.86341839747549198</v>
      </c>
      <c r="C6391">
        <v>0.84538030491861904</v>
      </c>
      <c r="D6391">
        <v>0.92669093163923799</v>
      </c>
      <c r="E6391">
        <v>0.91214416423215405</v>
      </c>
    </row>
    <row r="6392" spans="1:5" x14ac:dyDescent="0.2">
      <c r="A6392">
        <v>0.630016666666667</v>
      </c>
      <c r="B6392">
        <v>0.86356348934929195</v>
      </c>
      <c r="C6392">
        <v>0.84554279100389895</v>
      </c>
      <c r="D6392">
        <v>0.92677562709942796</v>
      </c>
      <c r="E6392">
        <v>0.91225032488680502</v>
      </c>
    </row>
    <row r="6393" spans="1:5" x14ac:dyDescent="0.2">
      <c r="A6393">
        <v>0.63034999999999997</v>
      </c>
      <c r="B6393">
        <v>0.86370852884369798</v>
      </c>
      <c r="C6393">
        <v>0.84570522235349599</v>
      </c>
      <c r="D6393">
        <v>0.926860277760437</v>
      </c>
      <c r="E6393">
        <v>0.91235644750809997</v>
      </c>
    </row>
    <row r="6394" spans="1:5" x14ac:dyDescent="0.2">
      <c r="A6394">
        <v>0.63068333333333304</v>
      </c>
      <c r="B6394">
        <v>0.86385351600471305</v>
      </c>
      <c r="C6394">
        <v>0.84586759901404995</v>
      </c>
      <c r="D6394">
        <v>0.92694488368421302</v>
      </c>
      <c r="E6394">
        <v>0.91246253206229599</v>
      </c>
    </row>
    <row r="6395" spans="1:5" x14ac:dyDescent="0.2">
      <c r="A6395">
        <v>0.631016666666667</v>
      </c>
      <c r="B6395">
        <v>0.86399845087806604</v>
      </c>
      <c r="C6395">
        <v>0.84602992103191099</v>
      </c>
      <c r="D6395">
        <v>0.927029444932706</v>
      </c>
      <c r="E6395">
        <v>0.91256857851565198</v>
      </c>
    </row>
    <row r="6396" spans="1:5" x14ac:dyDescent="0.2">
      <c r="A6396">
        <v>0.63134999999999997</v>
      </c>
      <c r="B6396">
        <v>0.86414333350948103</v>
      </c>
      <c r="C6396">
        <v>0.84619218845342903</v>
      </c>
      <c r="D6396">
        <v>0.92711396156786496</v>
      </c>
      <c r="E6396">
        <v>0.91267458683442604</v>
      </c>
    </row>
    <row r="6397" spans="1:5" x14ac:dyDescent="0.2">
      <c r="A6397">
        <v>0.63168333333333304</v>
      </c>
      <c r="B6397">
        <v>0.86428816394468799</v>
      </c>
      <c r="C6397">
        <v>0.84635440132495598</v>
      </c>
      <c r="D6397">
        <v>0.92719843365163701</v>
      </c>
      <c r="E6397">
        <v>0.91278055698487703</v>
      </c>
    </row>
    <row r="6398" spans="1:5" x14ac:dyDescent="0.2">
      <c r="A6398">
        <v>0.632016666666667</v>
      </c>
      <c r="B6398">
        <v>0.86443294222941103</v>
      </c>
      <c r="C6398">
        <v>0.84651655969284301</v>
      </c>
      <c r="D6398">
        <v>0.92728286124597203</v>
      </c>
      <c r="E6398">
        <v>0.91288648893326296</v>
      </c>
    </row>
    <row r="6399" spans="1:5" x14ac:dyDescent="0.2">
      <c r="A6399">
        <v>0.63234999999999997</v>
      </c>
      <c r="B6399">
        <v>0.864577668409378</v>
      </c>
      <c r="C6399">
        <v>0.84667866360344002</v>
      </c>
      <c r="D6399">
        <v>0.92736724441281904</v>
      </c>
      <c r="E6399">
        <v>0.91299238264584204</v>
      </c>
    </row>
    <row r="6400" spans="1:5" x14ac:dyDescent="0.2">
      <c r="A6400">
        <v>0.63268333333333304</v>
      </c>
      <c r="B6400">
        <v>0.86472234253031699</v>
      </c>
      <c r="C6400">
        <v>0.84684071310309705</v>
      </c>
      <c r="D6400">
        <v>0.92745158321412702</v>
      </c>
      <c r="E6400">
        <v>0.91309823808887303</v>
      </c>
    </row>
    <row r="6401" spans="1:5" x14ac:dyDescent="0.2">
      <c r="A6401">
        <v>0.63301666666666701</v>
      </c>
      <c r="B6401">
        <v>0.86486696463795298</v>
      </c>
      <c r="C6401">
        <v>0.84700270823816604</v>
      </c>
      <c r="D6401">
        <v>0.92753587771184298</v>
      </c>
      <c r="E6401">
        <v>0.91320405522861403</v>
      </c>
    </row>
    <row r="6402" spans="1:5" x14ac:dyDescent="0.2">
      <c r="A6402">
        <v>0.63334999999999997</v>
      </c>
      <c r="B6402">
        <v>0.86501153477801296</v>
      </c>
      <c r="C6402">
        <v>0.847164649054998</v>
      </c>
      <c r="D6402">
        <v>0.92762012796791804</v>
      </c>
      <c r="E6402">
        <v>0.91330983403132404</v>
      </c>
    </row>
    <row r="6403" spans="1:5" x14ac:dyDescent="0.2">
      <c r="A6403">
        <v>0.63368333333333304</v>
      </c>
      <c r="B6403">
        <v>0.865156052996226</v>
      </c>
      <c r="C6403">
        <v>0.84732653559994298</v>
      </c>
      <c r="D6403">
        <v>0.92770433404429897</v>
      </c>
      <c r="E6403">
        <v>0.91341557446326005</v>
      </c>
    </row>
    <row r="6404" spans="1:5" x14ac:dyDescent="0.2">
      <c r="A6404">
        <v>0.63401666666666701</v>
      </c>
      <c r="B6404">
        <v>0.86530051933831598</v>
      </c>
      <c r="C6404">
        <v>0.847488367919352</v>
      </c>
      <c r="D6404">
        <v>0.927788496002936</v>
      </c>
      <c r="E6404">
        <v>0.91352127649068204</v>
      </c>
    </row>
    <row r="6405" spans="1:5" x14ac:dyDescent="0.2">
      <c r="A6405">
        <v>0.63434999999999997</v>
      </c>
      <c r="B6405">
        <v>0.86544493385001198</v>
      </c>
      <c r="C6405">
        <v>0.847650146059576</v>
      </c>
      <c r="D6405">
        <v>0.92787261390577702</v>
      </c>
      <c r="E6405">
        <v>0.91362694007984702</v>
      </c>
    </row>
    <row r="6406" spans="1:5" x14ac:dyDescent="0.2">
      <c r="A6406">
        <v>0.63468333333333304</v>
      </c>
      <c r="B6406">
        <v>0.86558929657703998</v>
      </c>
      <c r="C6406">
        <v>0.84781187006696601</v>
      </c>
      <c r="D6406">
        <v>0.92795668781477103</v>
      </c>
      <c r="E6406">
        <v>0.91373256519701496</v>
      </c>
    </row>
    <row r="6407" spans="1:5" x14ac:dyDescent="0.2">
      <c r="A6407">
        <v>0.63501666666666701</v>
      </c>
      <c r="B6407">
        <v>0.86573360756512596</v>
      </c>
      <c r="C6407">
        <v>0.84797353998787195</v>
      </c>
      <c r="D6407">
        <v>0.92804071779186703</v>
      </c>
      <c r="E6407">
        <v>0.91383815180844197</v>
      </c>
    </row>
    <row r="6408" spans="1:5" x14ac:dyDescent="0.2">
      <c r="A6408">
        <v>0.63534999999999997</v>
      </c>
      <c r="B6408">
        <v>0.86587786685999901</v>
      </c>
      <c r="C6408">
        <v>0.84813515586864496</v>
      </c>
      <c r="D6408">
        <v>0.92812470389901403</v>
      </c>
      <c r="E6408">
        <v>0.91394369988038904</v>
      </c>
    </row>
    <row r="6409" spans="1:5" x14ac:dyDescent="0.2">
      <c r="A6409">
        <v>0.63568333333333304</v>
      </c>
      <c r="B6409">
        <v>0.866022074507384</v>
      </c>
      <c r="C6409">
        <v>0.84829671775563598</v>
      </c>
      <c r="D6409">
        <v>0.92820864619816001</v>
      </c>
      <c r="E6409">
        <v>0.91404920937911205</v>
      </c>
    </row>
    <row r="6410" spans="1:5" x14ac:dyDescent="0.2">
      <c r="A6410">
        <v>0.63601666666666701</v>
      </c>
      <c r="B6410">
        <v>0.86616623055300801</v>
      </c>
      <c r="C6410">
        <v>0.84845822569519602</v>
      </c>
      <c r="D6410">
        <v>0.928292544751255</v>
      </c>
      <c r="E6410">
        <v>0.91415468027087099</v>
      </c>
    </row>
    <row r="6411" spans="1:5" x14ac:dyDescent="0.2">
      <c r="A6411">
        <v>0.63634999999999997</v>
      </c>
      <c r="B6411">
        <v>0.86631033504259902</v>
      </c>
      <c r="C6411">
        <v>0.84861967973367503</v>
      </c>
      <c r="D6411">
        <v>0.92837639962024698</v>
      </c>
      <c r="E6411">
        <v>0.91426011252192296</v>
      </c>
    </row>
    <row r="6412" spans="1:5" x14ac:dyDescent="0.2">
      <c r="A6412">
        <v>0.63668333333333305</v>
      </c>
      <c r="B6412">
        <v>0.86645438802188302</v>
      </c>
      <c r="C6412">
        <v>0.84878107991742502</v>
      </c>
      <c r="D6412">
        <v>0.92846021086708397</v>
      </c>
      <c r="E6412">
        <v>0.91436550609852796</v>
      </c>
    </row>
    <row r="6413" spans="1:5" x14ac:dyDescent="0.2">
      <c r="A6413">
        <v>0.63701666666666701</v>
      </c>
      <c r="B6413">
        <v>0.86659838953658697</v>
      </c>
      <c r="C6413">
        <v>0.84894242629279604</v>
      </c>
      <c r="D6413">
        <v>0.92854397855371595</v>
      </c>
      <c r="E6413">
        <v>0.91447086096694397</v>
      </c>
    </row>
    <row r="6414" spans="1:5" x14ac:dyDescent="0.2">
      <c r="A6414">
        <v>0.63734999999999997</v>
      </c>
      <c r="B6414">
        <v>0.86674233963243796</v>
      </c>
      <c r="C6414">
        <v>0.849103718906139</v>
      </c>
      <c r="D6414">
        <v>0.92862770274209205</v>
      </c>
      <c r="E6414">
        <v>0.91457617709342798</v>
      </c>
    </row>
    <row r="6415" spans="1:5" x14ac:dyDescent="0.2">
      <c r="A6415">
        <v>0.63768333333333305</v>
      </c>
      <c r="B6415">
        <v>0.86688623835516299</v>
      </c>
      <c r="C6415">
        <v>0.84926495780380395</v>
      </c>
      <c r="D6415">
        <v>0.92871138349416005</v>
      </c>
      <c r="E6415">
        <v>0.91468145444423998</v>
      </c>
    </row>
    <row r="6416" spans="1:5" x14ac:dyDescent="0.2">
      <c r="A6416">
        <v>0.63801666666666701</v>
      </c>
      <c r="B6416">
        <v>0.86703008575048801</v>
      </c>
      <c r="C6416">
        <v>0.84942614303214303</v>
      </c>
      <c r="D6416">
        <v>0.92879502087186805</v>
      </c>
      <c r="E6416">
        <v>0.91478669298563697</v>
      </c>
    </row>
    <row r="6417" spans="1:5" x14ac:dyDescent="0.2">
      <c r="A6417">
        <v>0.63834999999999997</v>
      </c>
      <c r="B6417">
        <v>0.86717388186414102</v>
      </c>
      <c r="C6417">
        <v>0.84958727463750605</v>
      </c>
      <c r="D6417">
        <v>0.92887861493716695</v>
      </c>
      <c r="E6417">
        <v>0.91489189268387805</v>
      </c>
    </row>
    <row r="6418" spans="1:5" x14ac:dyDescent="0.2">
      <c r="A6418">
        <v>0.63868333333333305</v>
      </c>
      <c r="B6418">
        <v>0.86731762674184798</v>
      </c>
      <c r="C6418">
        <v>0.84974835266624404</v>
      </c>
      <c r="D6418">
        <v>0.92896216575200397</v>
      </c>
      <c r="E6418">
        <v>0.91499705350522198</v>
      </c>
    </row>
    <row r="6419" spans="1:5" x14ac:dyDescent="0.2">
      <c r="A6419">
        <v>0.63901666666666701</v>
      </c>
      <c r="B6419">
        <v>0.86746132042933599</v>
      </c>
      <c r="C6419">
        <v>0.84990937716470705</v>
      </c>
      <c r="D6419">
        <v>0.929045673378329</v>
      </c>
      <c r="E6419">
        <v>0.91510217541592598</v>
      </c>
    </row>
    <row r="6420" spans="1:5" x14ac:dyDescent="0.2">
      <c r="A6420">
        <v>0.63934999999999997</v>
      </c>
      <c r="B6420">
        <v>0.86760496297233203</v>
      </c>
      <c r="C6420">
        <v>0.85007034817924798</v>
      </c>
      <c r="D6420">
        <v>0.92912913787808904</v>
      </c>
      <c r="E6420">
        <v>0.91520725838224903</v>
      </c>
    </row>
    <row r="6421" spans="1:5" x14ac:dyDescent="0.2">
      <c r="A6421">
        <v>0.63968333333333305</v>
      </c>
      <c r="B6421">
        <v>0.86774855441656296</v>
      </c>
      <c r="C6421">
        <v>0.85023126575621599</v>
      </c>
      <c r="D6421">
        <v>0.92921255931323499</v>
      </c>
      <c r="E6421">
        <v>0.91531230237045103</v>
      </c>
    </row>
    <row r="6422" spans="1:5" x14ac:dyDescent="0.2">
      <c r="A6422">
        <v>0.64001666666666701</v>
      </c>
      <c r="B6422">
        <v>0.86789209480775598</v>
      </c>
      <c r="C6422">
        <v>0.85039212994196101</v>
      </c>
      <c r="D6422">
        <v>0.92929593774571395</v>
      </c>
      <c r="E6422">
        <v>0.91541730734678695</v>
      </c>
    </row>
    <row r="6423" spans="1:5" x14ac:dyDescent="0.2">
      <c r="A6423">
        <v>0.64034999999999997</v>
      </c>
      <c r="B6423">
        <v>0.86803558419123605</v>
      </c>
      <c r="C6423">
        <v>0.85055294078251298</v>
      </c>
      <c r="D6423">
        <v>0.92937927323747505</v>
      </c>
      <c r="E6423">
        <v>0.91552227327751901</v>
      </c>
    </row>
    <row r="6424" spans="1:5" x14ac:dyDescent="0.2">
      <c r="A6424">
        <v>0.64068333333333305</v>
      </c>
      <c r="B6424">
        <v>0.86817902261094704</v>
      </c>
      <c r="C6424">
        <v>0.85071369832278798</v>
      </c>
      <c r="D6424">
        <v>0.92946256585046805</v>
      </c>
      <c r="E6424">
        <v>0.91562720012890197</v>
      </c>
    </row>
    <row r="6425" spans="1:5" x14ac:dyDescent="0.2">
      <c r="A6425">
        <v>0.64101666666666701</v>
      </c>
      <c r="B6425">
        <v>0.86832241011053501</v>
      </c>
      <c r="C6425">
        <v>0.85087440260746205</v>
      </c>
      <c r="D6425">
        <v>0.92954581564664096</v>
      </c>
      <c r="E6425">
        <v>0.91573208786719695</v>
      </c>
    </row>
    <row r="6426" spans="1:5" x14ac:dyDescent="0.2">
      <c r="A6426">
        <v>0.64134999999999998</v>
      </c>
      <c r="B6426">
        <v>0.86846574673364696</v>
      </c>
      <c r="C6426">
        <v>0.85103505368121402</v>
      </c>
      <c r="D6426">
        <v>0.92962902268794301</v>
      </c>
      <c r="E6426">
        <v>0.91583693645866104</v>
      </c>
    </row>
    <row r="6427" spans="1:5" x14ac:dyDescent="0.2">
      <c r="A6427">
        <v>0.64168333333333305</v>
      </c>
      <c r="B6427">
        <v>0.86860903252392896</v>
      </c>
      <c r="C6427">
        <v>0.85119565158872101</v>
      </c>
      <c r="D6427">
        <v>0.92971218703632297</v>
      </c>
      <c r="E6427">
        <v>0.91594174586955301</v>
      </c>
    </row>
    <row r="6428" spans="1:5" x14ac:dyDescent="0.2">
      <c r="A6428">
        <v>0.64201666666666701</v>
      </c>
      <c r="B6428">
        <v>0.86875226752502799</v>
      </c>
      <c r="C6428">
        <v>0.85135619637465998</v>
      </c>
      <c r="D6428">
        <v>0.92979530875372796</v>
      </c>
      <c r="E6428">
        <v>0.91604651606613097</v>
      </c>
    </row>
    <row r="6429" spans="1:5" x14ac:dyDescent="0.2">
      <c r="A6429">
        <v>0.64234999999999998</v>
      </c>
      <c r="B6429">
        <v>0.86889545178059002</v>
      </c>
      <c r="C6429">
        <v>0.85151668808370895</v>
      </c>
      <c r="D6429">
        <v>0.92987838790210897</v>
      </c>
      <c r="E6429">
        <v>0.916151247014653</v>
      </c>
    </row>
    <row r="6430" spans="1:5" x14ac:dyDescent="0.2">
      <c r="A6430">
        <v>0.64268333333333305</v>
      </c>
      <c r="B6430">
        <v>0.86903858533426104</v>
      </c>
      <c r="C6430">
        <v>0.85167712676054397</v>
      </c>
      <c r="D6430">
        <v>0.92996142454341402</v>
      </c>
      <c r="E6430">
        <v>0.916255938681378</v>
      </c>
    </row>
    <row r="6431" spans="1:5" x14ac:dyDescent="0.2">
      <c r="A6431">
        <v>0.64301666666666701</v>
      </c>
      <c r="B6431">
        <v>0.86918166822968801</v>
      </c>
      <c r="C6431">
        <v>0.85183751244984496</v>
      </c>
      <c r="D6431">
        <v>0.93004441873959198</v>
      </c>
      <c r="E6431">
        <v>0.91636059103256395</v>
      </c>
    </row>
    <row r="6432" spans="1:5" x14ac:dyDescent="0.2">
      <c r="A6432">
        <v>0.64334999999999998</v>
      </c>
      <c r="B6432">
        <v>0.86932470051051702</v>
      </c>
      <c r="C6432">
        <v>0.85199784519628696</v>
      </c>
      <c r="D6432">
        <v>0.93012737055259098</v>
      </c>
      <c r="E6432">
        <v>0.91646520403446996</v>
      </c>
    </row>
    <row r="6433" spans="1:5" x14ac:dyDescent="0.2">
      <c r="A6433">
        <v>0.64368333333333305</v>
      </c>
      <c r="B6433">
        <v>0.86946768222039506</v>
      </c>
      <c r="C6433">
        <v>0.85215812504454802</v>
      </c>
      <c r="D6433">
        <v>0.93021028004436102</v>
      </c>
      <c r="E6433">
        <v>0.91656977765335401</v>
      </c>
    </row>
    <row r="6434" spans="1:5" x14ac:dyDescent="0.2">
      <c r="A6434">
        <v>0.64401666666666701</v>
      </c>
      <c r="B6434">
        <v>0.86961061340296797</v>
      </c>
      <c r="C6434">
        <v>0.85231835203930495</v>
      </c>
      <c r="D6434">
        <v>0.93029314727684997</v>
      </c>
      <c r="E6434">
        <v>0.91667431185547399</v>
      </c>
    </row>
    <row r="6435" spans="1:5" x14ac:dyDescent="0.2">
      <c r="A6435">
        <v>0.64434999999999998</v>
      </c>
      <c r="B6435">
        <v>0.86975349410188196</v>
      </c>
      <c r="C6435">
        <v>0.85247852622523701</v>
      </c>
      <c r="D6435">
        <v>0.93037597231200697</v>
      </c>
      <c r="E6435">
        <v>0.91677880660708799</v>
      </c>
    </row>
    <row r="6436" spans="1:5" x14ac:dyDescent="0.2">
      <c r="A6436">
        <v>0.64468333333333305</v>
      </c>
      <c r="B6436">
        <v>0.86989632436078401</v>
      </c>
      <c r="C6436">
        <v>0.85263864764702002</v>
      </c>
      <c r="D6436">
        <v>0.93045875521178001</v>
      </c>
      <c r="E6436">
        <v>0.91688326187445601</v>
      </c>
    </row>
    <row r="6437" spans="1:5" x14ac:dyDescent="0.2">
      <c r="A6437">
        <v>0.64501666666666702</v>
      </c>
      <c r="B6437">
        <v>0.87003910422332098</v>
      </c>
      <c r="C6437">
        <v>0.85279871634933202</v>
      </c>
      <c r="D6437">
        <v>0.93054149603811898</v>
      </c>
      <c r="E6437">
        <v>0.91698767762383504</v>
      </c>
    </row>
    <row r="6438" spans="1:5" x14ac:dyDescent="0.2">
      <c r="A6438">
        <v>0.64534999999999998</v>
      </c>
      <c r="B6438">
        <v>0.87018183373313795</v>
      </c>
      <c r="C6438">
        <v>0.85295873237685005</v>
      </c>
      <c r="D6438">
        <v>0.93062419485297199</v>
      </c>
      <c r="E6438">
        <v>0.91709205382148395</v>
      </c>
    </row>
    <row r="6439" spans="1:5" x14ac:dyDescent="0.2">
      <c r="A6439">
        <v>0.64568333333333305</v>
      </c>
      <c r="B6439">
        <v>0.87032451293388302</v>
      </c>
      <c r="C6439">
        <v>0.85311869577425203</v>
      </c>
      <c r="D6439">
        <v>0.93070685171828804</v>
      </c>
      <c r="E6439">
        <v>0.91719639043366097</v>
      </c>
    </row>
    <row r="6440" spans="1:5" x14ac:dyDescent="0.2">
      <c r="A6440">
        <v>0.64601666666666702</v>
      </c>
      <c r="B6440">
        <v>0.87046714186920005</v>
      </c>
      <c r="C6440">
        <v>0.85327860658621402</v>
      </c>
      <c r="D6440">
        <v>0.93078946669601703</v>
      </c>
      <c r="E6440">
        <v>0.91730068742662396</v>
      </c>
    </row>
    <row r="6441" spans="1:5" x14ac:dyDescent="0.2">
      <c r="A6441">
        <v>0.64634999999999998</v>
      </c>
      <c r="B6441">
        <v>0.870609720582738</v>
      </c>
      <c r="C6441">
        <v>0.85343846485741504</v>
      </c>
      <c r="D6441">
        <v>0.93087203984810496</v>
      </c>
      <c r="E6441">
        <v>0.91740494476663303</v>
      </c>
    </row>
    <row r="6442" spans="1:5" x14ac:dyDescent="0.2">
      <c r="A6442">
        <v>0.64668333333333305</v>
      </c>
      <c r="B6442">
        <v>0.87075224911814197</v>
      </c>
      <c r="C6442">
        <v>0.85359827063253202</v>
      </c>
      <c r="D6442">
        <v>0.93095457123650305</v>
      </c>
      <c r="E6442">
        <v>0.91750916241994396</v>
      </c>
    </row>
    <row r="6443" spans="1:5" x14ac:dyDescent="0.2">
      <c r="A6443">
        <v>0.64701666666666702</v>
      </c>
      <c r="B6443">
        <v>0.87089472751905905</v>
      </c>
      <c r="C6443">
        <v>0.85375802395624201</v>
      </c>
      <c r="D6443">
        <v>0.93103706092315996</v>
      </c>
      <c r="E6443">
        <v>0.91761334035281705</v>
      </c>
    </row>
    <row r="6444" spans="1:5" x14ac:dyDescent="0.2">
      <c r="A6444">
        <v>0.64734999999999998</v>
      </c>
      <c r="B6444">
        <v>0.87103715582913499</v>
      </c>
      <c r="C6444">
        <v>0.85391772487322304</v>
      </c>
      <c r="D6444">
        <v>0.93111950897002305</v>
      </c>
      <c r="E6444">
        <v>0.91771747853151098</v>
      </c>
    </row>
    <row r="6445" spans="1:5" x14ac:dyDescent="0.2">
      <c r="A6445">
        <v>0.64768333333333294</v>
      </c>
      <c r="B6445">
        <v>0.87117953409201598</v>
      </c>
      <c r="C6445">
        <v>0.85407737342815104</v>
      </c>
      <c r="D6445">
        <v>0.93120191543904196</v>
      </c>
      <c r="E6445">
        <v>0.91782157692228195</v>
      </c>
    </row>
    <row r="6446" spans="1:5" x14ac:dyDescent="0.2">
      <c r="A6446">
        <v>0.64801666666666702</v>
      </c>
      <c r="B6446">
        <v>0.87132186235135001</v>
      </c>
      <c r="C6446">
        <v>0.85423696966570495</v>
      </c>
      <c r="D6446">
        <v>0.93128428039216604</v>
      </c>
      <c r="E6446">
        <v>0.91792563549138995</v>
      </c>
    </row>
    <row r="6447" spans="1:5" x14ac:dyDescent="0.2">
      <c r="A6447">
        <v>0.64834999999999998</v>
      </c>
      <c r="B6447">
        <v>0.87146414065078104</v>
      </c>
      <c r="C6447">
        <v>0.85439651363056202</v>
      </c>
      <c r="D6447">
        <v>0.93136660389134296</v>
      </c>
      <c r="E6447">
        <v>0.91802965420509397</v>
      </c>
    </row>
    <row r="6448" spans="1:5" x14ac:dyDescent="0.2">
      <c r="A6448">
        <v>0.64868333333333295</v>
      </c>
      <c r="B6448">
        <v>0.87160636903395805</v>
      </c>
      <c r="C6448">
        <v>0.85455600536739895</v>
      </c>
      <c r="D6448">
        <v>0.93144888599852205</v>
      </c>
      <c r="E6448">
        <v>0.91813363302965001</v>
      </c>
    </row>
    <row r="6449" spans="1:5" x14ac:dyDescent="0.2">
      <c r="A6449">
        <v>0.64901666666666702</v>
      </c>
      <c r="B6449">
        <v>0.87174854754452602</v>
      </c>
      <c r="C6449">
        <v>0.85471544492089302</v>
      </c>
      <c r="D6449">
        <v>0.93153112677565197</v>
      </c>
      <c r="E6449">
        <v>0.91823757193131905</v>
      </c>
    </row>
    <row r="6450" spans="1:5" x14ac:dyDescent="0.2">
      <c r="A6450">
        <v>0.64934999999999998</v>
      </c>
      <c r="B6450">
        <v>0.87189067622613103</v>
      </c>
      <c r="C6450">
        <v>0.85487483233572203</v>
      </c>
      <c r="D6450">
        <v>0.93161332628468096</v>
      </c>
      <c r="E6450">
        <v>0.91834147087635798</v>
      </c>
    </row>
    <row r="6451" spans="1:5" x14ac:dyDescent="0.2">
      <c r="A6451">
        <v>0.64968333333333295</v>
      </c>
      <c r="B6451">
        <v>0.87203275512241996</v>
      </c>
      <c r="C6451">
        <v>0.85503416765656404</v>
      </c>
      <c r="D6451">
        <v>0.93169548458756002</v>
      </c>
      <c r="E6451">
        <v>0.918445329831025</v>
      </c>
    </row>
    <row r="6452" spans="1:5" x14ac:dyDescent="0.2">
      <c r="A6452">
        <v>0.65001666666666702</v>
      </c>
      <c r="B6452">
        <v>0.87217478427703998</v>
      </c>
      <c r="C6452">
        <v>0.85519345092809496</v>
      </c>
      <c r="D6452">
        <v>0.93177760174623503</v>
      </c>
      <c r="E6452">
        <v>0.918549148761579</v>
      </c>
    </row>
    <row r="6453" spans="1:5" x14ac:dyDescent="0.2">
      <c r="A6453">
        <v>0.65034999999999998</v>
      </c>
      <c r="B6453">
        <v>0.87231676373334399</v>
      </c>
      <c r="C6453">
        <v>0.85535268219461502</v>
      </c>
      <c r="D6453">
        <v>0.931859677822656</v>
      </c>
      <c r="E6453">
        <v>0.91865292763427897</v>
      </c>
    </row>
    <row r="6454" spans="1:5" x14ac:dyDescent="0.2">
      <c r="A6454">
        <v>0.65068333333333295</v>
      </c>
      <c r="B6454">
        <v>0.87245869353368199</v>
      </c>
      <c r="C6454">
        <v>0.85551186149912195</v>
      </c>
      <c r="D6454">
        <v>0.93194171287877303</v>
      </c>
      <c r="E6454">
        <v>0.91875666641538201</v>
      </c>
    </row>
    <row r="6455" spans="1:5" x14ac:dyDescent="0.2">
      <c r="A6455">
        <v>0.65101666666666702</v>
      </c>
      <c r="B6455">
        <v>0.87260057372018396</v>
      </c>
      <c r="C6455">
        <v>0.85567098888433302</v>
      </c>
      <c r="D6455">
        <v>0.93202370697653303</v>
      </c>
      <c r="E6455">
        <v>0.91886036507114699</v>
      </c>
    </row>
    <row r="6456" spans="1:5" x14ac:dyDescent="0.2">
      <c r="A6456">
        <v>0.65134999999999998</v>
      </c>
      <c r="B6456">
        <v>0.87274240433498396</v>
      </c>
      <c r="C6456">
        <v>0.85583006439296605</v>
      </c>
      <c r="D6456">
        <v>0.93210566017788499</v>
      </c>
      <c r="E6456">
        <v>0.91896402356783302</v>
      </c>
    </row>
    <row r="6457" spans="1:5" x14ac:dyDescent="0.2">
      <c r="A6457">
        <v>0.65168333333333295</v>
      </c>
      <c r="B6457">
        <v>0.87288418542021196</v>
      </c>
      <c r="C6457">
        <v>0.85598908806773699</v>
      </c>
      <c r="D6457">
        <v>0.93218757254477902</v>
      </c>
      <c r="E6457">
        <v>0.91906764187169698</v>
      </c>
    </row>
    <row r="6458" spans="1:5" x14ac:dyDescent="0.2">
      <c r="A6458">
        <v>0.65201666666666702</v>
      </c>
      <c r="B6458">
        <v>0.87302591701800103</v>
      </c>
      <c r="C6458">
        <v>0.856148059951364</v>
      </c>
      <c r="D6458">
        <v>0.93226944413916202</v>
      </c>
      <c r="E6458">
        <v>0.91917121994899897</v>
      </c>
    </row>
    <row r="6459" spans="1:5" x14ac:dyDescent="0.2">
      <c r="A6459">
        <v>0.65234999999999999</v>
      </c>
      <c r="B6459">
        <v>0.87316759917048303</v>
      </c>
      <c r="C6459">
        <v>0.85630698008656503</v>
      </c>
      <c r="D6459">
        <v>0.93235127502298498</v>
      </c>
      <c r="E6459">
        <v>0.91927475776599599</v>
      </c>
    </row>
    <row r="6460" spans="1:5" x14ac:dyDescent="0.2">
      <c r="A6460">
        <v>0.65268333333333295</v>
      </c>
      <c r="B6460">
        <v>0.87330923191979004</v>
      </c>
      <c r="C6460">
        <v>0.85646584851605601</v>
      </c>
      <c r="D6460">
        <v>0.93243306525819403</v>
      </c>
      <c r="E6460">
        <v>0.91937825528894701</v>
      </c>
    </row>
    <row r="6461" spans="1:5" x14ac:dyDescent="0.2">
      <c r="A6461">
        <v>0.65301666666666702</v>
      </c>
      <c r="B6461">
        <v>0.87345081530805402</v>
      </c>
      <c r="C6461">
        <v>0.85662466528255699</v>
      </c>
      <c r="D6461">
        <v>0.93251481490674104</v>
      </c>
      <c r="E6461">
        <v>0.91948171248411004</v>
      </c>
    </row>
    <row r="6462" spans="1:5" x14ac:dyDescent="0.2">
      <c r="A6462">
        <v>0.65334999999999999</v>
      </c>
      <c r="B6462">
        <v>0.87359234937740604</v>
      </c>
      <c r="C6462">
        <v>0.85678343042878302</v>
      </c>
      <c r="D6462">
        <v>0.93259652403057203</v>
      </c>
      <c r="E6462">
        <v>0.91958512931774306</v>
      </c>
    </row>
    <row r="6463" spans="1:5" x14ac:dyDescent="0.2">
      <c r="A6463">
        <v>0.65368333333333295</v>
      </c>
      <c r="B6463">
        <v>0.87373383416997896</v>
      </c>
      <c r="C6463">
        <v>0.85694214399745205</v>
      </c>
      <c r="D6463">
        <v>0.93267819269163699</v>
      </c>
      <c r="E6463">
        <v>0.91968850575610595</v>
      </c>
    </row>
    <row r="6464" spans="1:5" x14ac:dyDescent="0.2">
      <c r="A6464">
        <v>0.65401666666666702</v>
      </c>
      <c r="B6464">
        <v>0.87387526972790397</v>
      </c>
      <c r="C6464">
        <v>0.85710080603128203</v>
      </c>
      <c r="D6464">
        <v>0.93275982095188503</v>
      </c>
      <c r="E6464">
        <v>0.91979184176545603</v>
      </c>
    </row>
    <row r="6465" spans="1:5" x14ac:dyDescent="0.2">
      <c r="A6465">
        <v>0.65434999999999999</v>
      </c>
      <c r="B6465">
        <v>0.87401665609331403</v>
      </c>
      <c r="C6465">
        <v>0.85725941657298999</v>
      </c>
      <c r="D6465">
        <v>0.93284140887326505</v>
      </c>
      <c r="E6465">
        <v>0.91989513731205197</v>
      </c>
    </row>
    <row r="6466" spans="1:5" x14ac:dyDescent="0.2">
      <c r="A6466">
        <v>0.65468333333333295</v>
      </c>
      <c r="B6466">
        <v>0.87415799330834099</v>
      </c>
      <c r="C6466">
        <v>0.85741797566529299</v>
      </c>
      <c r="D6466">
        <v>0.93292295651772394</v>
      </c>
      <c r="E6466">
        <v>0.91999839236215197</v>
      </c>
    </row>
    <row r="6467" spans="1:5" x14ac:dyDescent="0.2">
      <c r="A6467">
        <v>0.65501666666666702</v>
      </c>
      <c r="B6467">
        <v>0.87429928141511504</v>
      </c>
      <c r="C6467">
        <v>0.85757648335090997</v>
      </c>
      <c r="D6467">
        <v>0.93300446394721304</v>
      </c>
      <c r="E6467">
        <v>0.92010160688201403</v>
      </c>
    </row>
    <row r="6468" spans="1:5" x14ac:dyDescent="0.2">
      <c r="A6468">
        <v>0.65534999999999999</v>
      </c>
      <c r="B6468">
        <v>0.87444052045577103</v>
      </c>
      <c r="C6468">
        <v>0.85773493967255598</v>
      </c>
      <c r="D6468">
        <v>0.93308593122368</v>
      </c>
      <c r="E6468">
        <v>0.92020478083789703</v>
      </c>
    </row>
    <row r="6469" spans="1:5" x14ac:dyDescent="0.2">
      <c r="A6469">
        <v>0.65568333333333295</v>
      </c>
      <c r="B6469">
        <v>0.87458171047243805</v>
      </c>
      <c r="C6469">
        <v>0.85789334467295097</v>
      </c>
      <c r="D6469">
        <v>0.93316735840907294</v>
      </c>
      <c r="E6469">
        <v>0.92030791419605995</v>
      </c>
    </row>
    <row r="6470" spans="1:5" x14ac:dyDescent="0.2">
      <c r="A6470">
        <v>0.65601666666666703</v>
      </c>
      <c r="B6470">
        <v>0.87472285150725004</v>
      </c>
      <c r="C6470">
        <v>0.85805169839480999</v>
      </c>
      <c r="D6470">
        <v>0.93324874556534199</v>
      </c>
      <c r="E6470">
        <v>0.92041100692275901</v>
      </c>
    </row>
    <row r="6471" spans="1:5" x14ac:dyDescent="0.2">
      <c r="A6471">
        <v>0.65634999999999999</v>
      </c>
      <c r="B6471">
        <v>0.87486394360233899</v>
      </c>
      <c r="C6471">
        <v>0.85821000088085198</v>
      </c>
      <c r="D6471">
        <v>0.93333009275443402</v>
      </c>
      <c r="E6471">
        <v>0.92051405898425498</v>
      </c>
    </row>
    <row r="6472" spans="1:5" x14ac:dyDescent="0.2">
      <c r="A6472">
        <v>0.65668333333333295</v>
      </c>
      <c r="B6472">
        <v>0.87500498679983496</v>
      </c>
      <c r="C6472">
        <v>0.85836825217379398</v>
      </c>
      <c r="D6472">
        <v>0.93341140003830003</v>
      </c>
      <c r="E6472">
        <v>0.92061707034680496</v>
      </c>
    </row>
    <row r="6473" spans="1:5" x14ac:dyDescent="0.2">
      <c r="A6473">
        <v>0.65701666666666703</v>
      </c>
      <c r="B6473">
        <v>0.87514598114187203</v>
      </c>
      <c r="C6473">
        <v>0.85852645231635305</v>
      </c>
      <c r="D6473">
        <v>0.93349266747888804</v>
      </c>
      <c r="E6473">
        <v>0.92072004097666804</v>
      </c>
    </row>
    <row r="6474" spans="1:5" x14ac:dyDescent="0.2">
      <c r="A6474">
        <v>0.65734999999999999</v>
      </c>
      <c r="B6474">
        <v>0.87528692667057995</v>
      </c>
      <c r="C6474">
        <v>0.85868460135124702</v>
      </c>
      <c r="D6474">
        <v>0.93357389513814604</v>
      </c>
      <c r="E6474">
        <v>0.92082297084010201</v>
      </c>
    </row>
    <row r="6475" spans="1:5" x14ac:dyDescent="0.2">
      <c r="A6475">
        <v>0.65768333333333295</v>
      </c>
      <c r="B6475">
        <v>0.875427823428093</v>
      </c>
      <c r="C6475">
        <v>0.85884269932119295</v>
      </c>
      <c r="D6475">
        <v>0.93365508307802303</v>
      </c>
      <c r="E6475">
        <v>0.92092585990336495</v>
      </c>
    </row>
    <row r="6476" spans="1:5" x14ac:dyDescent="0.2">
      <c r="A6476">
        <v>0.65801666666666703</v>
      </c>
      <c r="B6476">
        <v>0.87556867145654205</v>
      </c>
      <c r="C6476">
        <v>0.85900074626890899</v>
      </c>
      <c r="D6476">
        <v>0.93373623136046902</v>
      </c>
      <c r="E6476">
        <v>0.92102870813271598</v>
      </c>
    </row>
    <row r="6477" spans="1:5" x14ac:dyDescent="0.2">
      <c r="A6477">
        <v>0.65834999999999999</v>
      </c>
      <c r="B6477">
        <v>0.87570947079805905</v>
      </c>
      <c r="C6477">
        <v>0.85915874223711097</v>
      </c>
      <c r="D6477">
        <v>0.933817340047431</v>
      </c>
      <c r="E6477">
        <v>0.92113151549441297</v>
      </c>
    </row>
    <row r="6478" spans="1:5" x14ac:dyDescent="0.2">
      <c r="A6478">
        <v>0.65868333333333295</v>
      </c>
      <c r="B6478">
        <v>0.87585022149477498</v>
      </c>
      <c r="C6478">
        <v>0.85931668726851795</v>
      </c>
      <c r="D6478">
        <v>0.93389840920085998</v>
      </c>
      <c r="E6478">
        <v>0.92123428195471502</v>
      </c>
    </row>
    <row r="6479" spans="1:5" x14ac:dyDescent="0.2">
      <c r="A6479">
        <v>0.65901666666666703</v>
      </c>
      <c r="B6479">
        <v>0.87599092358882402</v>
      </c>
      <c r="C6479">
        <v>0.85947458140584698</v>
      </c>
      <c r="D6479">
        <v>0.93397943888270196</v>
      </c>
      <c r="E6479">
        <v>0.92133700747987901</v>
      </c>
    </row>
    <row r="6480" spans="1:5" x14ac:dyDescent="0.2">
      <c r="A6480">
        <v>0.65934999999999999</v>
      </c>
      <c r="B6480">
        <v>0.87613157712233602</v>
      </c>
      <c r="C6480">
        <v>0.859632424691815</v>
      </c>
      <c r="D6480">
        <v>0.93406042915490795</v>
      </c>
      <c r="E6480">
        <v>0.92143969203616505</v>
      </c>
    </row>
    <row r="6481" spans="1:5" x14ac:dyDescent="0.2">
      <c r="A6481">
        <v>0.65968333333333296</v>
      </c>
      <c r="B6481">
        <v>0.87627218213744495</v>
      </c>
      <c r="C6481">
        <v>0.85979021716913995</v>
      </c>
      <c r="D6481">
        <v>0.93414138007942604</v>
      </c>
      <c r="E6481">
        <v>0.92154233558983001</v>
      </c>
    </row>
    <row r="6482" spans="1:5" x14ac:dyDescent="0.2">
      <c r="A6482">
        <v>0.66001666666666703</v>
      </c>
      <c r="B6482">
        <v>0.876412738676281</v>
      </c>
      <c r="C6482">
        <v>0.85994795888053899</v>
      </c>
      <c r="D6482">
        <v>0.93422229171820503</v>
      </c>
      <c r="E6482">
        <v>0.92164493810713399</v>
      </c>
    </row>
    <row r="6483" spans="1:5" x14ac:dyDescent="0.2">
      <c r="A6483">
        <v>0.66034999999999999</v>
      </c>
      <c r="B6483">
        <v>0.87655324678061697</v>
      </c>
      <c r="C6483">
        <v>0.86010564986841997</v>
      </c>
      <c r="D6483">
        <v>0.93430316413319403</v>
      </c>
      <c r="E6483">
        <v>0.92174749955433299</v>
      </c>
    </row>
    <row r="6484" spans="1:5" x14ac:dyDescent="0.2">
      <c r="A6484">
        <v>0.66068333333333296</v>
      </c>
      <c r="B6484">
        <v>0.87669370649099099</v>
      </c>
      <c r="C6484">
        <v>0.86026329017413306</v>
      </c>
      <c r="D6484">
        <v>0.93438399738634004</v>
      </c>
      <c r="E6484">
        <v>0.921850019897688</v>
      </c>
    </row>
    <row r="6485" spans="1:5" x14ac:dyDescent="0.2">
      <c r="A6485">
        <v>0.66101666666666703</v>
      </c>
      <c r="B6485">
        <v>0.87683411784767096</v>
      </c>
      <c r="C6485">
        <v>0.860420879838797</v>
      </c>
      <c r="D6485">
        <v>0.93446479153959505</v>
      </c>
      <c r="E6485">
        <v>0.921952499103455</v>
      </c>
    </row>
    <row r="6486" spans="1:5" x14ac:dyDescent="0.2">
      <c r="A6486">
        <v>0.66134999999999999</v>
      </c>
      <c r="B6486">
        <v>0.876974480890929</v>
      </c>
      <c r="C6486">
        <v>0.86057841890353204</v>
      </c>
      <c r="D6486">
        <v>0.93454554665490497</v>
      </c>
      <c r="E6486">
        <v>0.92205493713789399</v>
      </c>
    </row>
    <row r="6487" spans="1:5" x14ac:dyDescent="0.2">
      <c r="A6487">
        <v>0.66168333333333296</v>
      </c>
      <c r="B6487">
        <v>0.87711479566103401</v>
      </c>
      <c r="C6487">
        <v>0.86073590740945605</v>
      </c>
      <c r="D6487">
        <v>0.93462626279421901</v>
      </c>
      <c r="E6487">
        <v>0.92215733396726296</v>
      </c>
    </row>
    <row r="6488" spans="1:5" x14ac:dyDescent="0.2">
      <c r="A6488">
        <v>0.66201666666666703</v>
      </c>
      <c r="B6488">
        <v>0.877255062198257</v>
      </c>
      <c r="C6488">
        <v>0.86089334539769002</v>
      </c>
      <c r="D6488">
        <v>0.93470694001948795</v>
      </c>
      <c r="E6488">
        <v>0.92225968955782001</v>
      </c>
    </row>
    <row r="6489" spans="1:5" x14ac:dyDescent="0.2">
      <c r="A6489">
        <v>0.66234999999999999</v>
      </c>
      <c r="B6489">
        <v>0.87739528054286797</v>
      </c>
      <c r="C6489">
        <v>0.86105073290935397</v>
      </c>
      <c r="D6489">
        <v>0.93478757839265902</v>
      </c>
      <c r="E6489">
        <v>0.92236200387582301</v>
      </c>
    </row>
    <row r="6490" spans="1:5" x14ac:dyDescent="0.2">
      <c r="A6490">
        <v>0.66268333333333296</v>
      </c>
      <c r="B6490">
        <v>0.87753545073513695</v>
      </c>
      <c r="C6490">
        <v>0.86120806998556598</v>
      </c>
      <c r="D6490">
        <v>0.93486817797568</v>
      </c>
      <c r="E6490">
        <v>0.92246427688753196</v>
      </c>
    </row>
    <row r="6491" spans="1:5" x14ac:dyDescent="0.2">
      <c r="A6491">
        <v>0.66301666666666703</v>
      </c>
      <c r="B6491">
        <v>0.87767557281533404</v>
      </c>
      <c r="C6491">
        <v>0.86136535666744696</v>
      </c>
      <c r="D6491">
        <v>0.934948738830502</v>
      </c>
      <c r="E6491">
        <v>0.92256650855920297</v>
      </c>
    </row>
    <row r="6492" spans="1:5" x14ac:dyDescent="0.2">
      <c r="A6492">
        <v>0.66335</v>
      </c>
      <c r="B6492">
        <v>0.87781564682373003</v>
      </c>
      <c r="C6492">
        <v>0.861522592996116</v>
      </c>
      <c r="D6492">
        <v>0.93502926101907302</v>
      </c>
      <c r="E6492">
        <v>0.92266869885709701</v>
      </c>
    </row>
    <row r="6493" spans="1:5" x14ac:dyDescent="0.2">
      <c r="A6493">
        <v>0.66368333333333296</v>
      </c>
      <c r="B6493">
        <v>0.87795567280059505</v>
      </c>
      <c r="C6493">
        <v>0.86167977901269299</v>
      </c>
      <c r="D6493">
        <v>0.93510974460334095</v>
      </c>
      <c r="E6493">
        <v>0.92277084774746998</v>
      </c>
    </row>
    <row r="6494" spans="1:5" x14ac:dyDescent="0.2">
      <c r="A6494">
        <v>0.66401666666666703</v>
      </c>
      <c r="B6494">
        <v>0.878095650786199</v>
      </c>
      <c r="C6494">
        <v>0.86183691475829804</v>
      </c>
      <c r="D6494">
        <v>0.93519018964525502</v>
      </c>
      <c r="E6494">
        <v>0.92287295519658197</v>
      </c>
    </row>
    <row r="6495" spans="1:5" x14ac:dyDescent="0.2">
      <c r="A6495">
        <v>0.66435</v>
      </c>
      <c r="B6495">
        <v>0.87823558082081199</v>
      </c>
      <c r="C6495">
        <v>0.86199400027404904</v>
      </c>
      <c r="D6495">
        <v>0.935270596206764</v>
      </c>
      <c r="E6495">
        <v>0.92297502117069097</v>
      </c>
    </row>
    <row r="6496" spans="1:5" x14ac:dyDescent="0.2">
      <c r="A6496">
        <v>0.66468333333333296</v>
      </c>
      <c r="B6496">
        <v>0.87837546294470503</v>
      </c>
      <c r="C6496">
        <v>0.86215103560106798</v>
      </c>
      <c r="D6496">
        <v>0.93535096434981702</v>
      </c>
      <c r="E6496">
        <v>0.92307704563605497</v>
      </c>
    </row>
    <row r="6497" spans="1:5" x14ac:dyDescent="0.2">
      <c r="A6497">
        <v>0.66501666666666703</v>
      </c>
      <c r="B6497">
        <v>0.87851529719814703</v>
      </c>
      <c r="C6497">
        <v>0.86230802078047197</v>
      </c>
      <c r="D6497">
        <v>0.93543129413636295</v>
      </c>
      <c r="E6497">
        <v>0.92317902855893197</v>
      </c>
    </row>
    <row r="6498" spans="1:5" x14ac:dyDescent="0.2">
      <c r="A6498">
        <v>0.66535</v>
      </c>
      <c r="B6498">
        <v>0.87865508362140898</v>
      </c>
      <c r="C6498">
        <v>0.86246495585338301</v>
      </c>
      <c r="D6498">
        <v>0.93551158562835002</v>
      </c>
      <c r="E6498">
        <v>0.92328096990558095</v>
      </c>
    </row>
    <row r="6499" spans="1:5" x14ac:dyDescent="0.2">
      <c r="A6499">
        <v>0.66568333333333296</v>
      </c>
      <c r="B6499">
        <v>0.87879482225476202</v>
      </c>
      <c r="C6499">
        <v>0.86262184086091898</v>
      </c>
      <c r="D6499">
        <v>0.93559183888772701</v>
      </c>
      <c r="E6499">
        <v>0.92338286964226002</v>
      </c>
    </row>
    <row r="6500" spans="1:5" x14ac:dyDescent="0.2">
      <c r="A6500">
        <v>0.66601666666666703</v>
      </c>
      <c r="B6500">
        <v>0.87893451313847504</v>
      </c>
      <c r="C6500">
        <v>0.86277867584420098</v>
      </c>
      <c r="D6500">
        <v>0.93567205397644304</v>
      </c>
      <c r="E6500">
        <v>0.92348472773522805</v>
      </c>
    </row>
    <row r="6501" spans="1:5" x14ac:dyDescent="0.2">
      <c r="A6501">
        <v>0.66635</v>
      </c>
      <c r="B6501">
        <v>0.87907415631281804</v>
      </c>
      <c r="C6501">
        <v>0.86293546084434702</v>
      </c>
      <c r="D6501">
        <v>0.93575223095644799</v>
      </c>
      <c r="E6501">
        <v>0.92358654415074304</v>
      </c>
    </row>
    <row r="6502" spans="1:5" x14ac:dyDescent="0.2">
      <c r="A6502">
        <v>0.66668333333333296</v>
      </c>
      <c r="B6502">
        <v>0.87921375181806305</v>
      </c>
      <c r="C6502">
        <v>0.86309219590247799</v>
      </c>
      <c r="D6502">
        <v>0.93583236988968799</v>
      </c>
      <c r="E6502">
        <v>0.92368831885506397</v>
      </c>
    </row>
    <row r="6503" spans="1:5" x14ac:dyDescent="0.2">
      <c r="A6503">
        <v>0.66701666666666704</v>
      </c>
      <c r="B6503">
        <v>0.87935329969447795</v>
      </c>
      <c r="C6503">
        <v>0.86324888105971398</v>
      </c>
      <c r="D6503">
        <v>0.93591247083811402</v>
      </c>
      <c r="E6503">
        <v>0.92379005181444795</v>
      </c>
    </row>
    <row r="6504" spans="1:5" x14ac:dyDescent="0.2">
      <c r="A6504">
        <v>0.66735</v>
      </c>
      <c r="B6504">
        <v>0.87949279998233498</v>
      </c>
      <c r="C6504">
        <v>0.863405516357172</v>
      </c>
      <c r="D6504">
        <v>0.93599253386367398</v>
      </c>
      <c r="E6504">
        <v>0.92389174299515398</v>
      </c>
    </row>
    <row r="6505" spans="1:5" x14ac:dyDescent="0.2">
      <c r="A6505">
        <v>0.66768333333333296</v>
      </c>
      <c r="B6505">
        <v>0.87963225272190304</v>
      </c>
      <c r="C6505">
        <v>0.86356210183597504</v>
      </c>
      <c r="D6505">
        <v>0.93607255902831699</v>
      </c>
      <c r="E6505">
        <v>0.92399339236344102</v>
      </c>
    </row>
    <row r="6506" spans="1:5" x14ac:dyDescent="0.2">
      <c r="A6506">
        <v>0.66801666666666704</v>
      </c>
      <c r="B6506">
        <v>0.87977165795345302</v>
      </c>
      <c r="C6506">
        <v>0.86371863753723999</v>
      </c>
      <c r="D6506">
        <v>0.93615254639399204</v>
      </c>
      <c r="E6506">
        <v>0.92409499988556598</v>
      </c>
    </row>
    <row r="6507" spans="1:5" x14ac:dyDescent="0.2">
      <c r="A6507">
        <v>0.66835</v>
      </c>
      <c r="B6507">
        <v>0.87991101571725405</v>
      </c>
      <c r="C6507">
        <v>0.86387512350208795</v>
      </c>
      <c r="D6507">
        <v>0.93623249602264702</v>
      </c>
      <c r="E6507">
        <v>0.92419656552778895</v>
      </c>
    </row>
    <row r="6508" spans="1:5" x14ac:dyDescent="0.2">
      <c r="A6508">
        <v>0.66868333333333296</v>
      </c>
      <c r="B6508">
        <v>0.88005032605357802</v>
      </c>
      <c r="C6508">
        <v>0.86403155977163904</v>
      </c>
      <c r="D6508">
        <v>0.93631240797623105</v>
      </c>
      <c r="E6508">
        <v>0.92429808925636703</v>
      </c>
    </row>
    <row r="6509" spans="1:5" x14ac:dyDescent="0.2">
      <c r="A6509">
        <v>0.66901666666666704</v>
      </c>
      <c r="B6509">
        <v>0.88018958900269495</v>
      </c>
      <c r="C6509">
        <v>0.86418794638701102</v>
      </c>
      <c r="D6509">
        <v>0.93639228231669402</v>
      </c>
      <c r="E6509">
        <v>0.92439957103755899</v>
      </c>
    </row>
    <row r="6510" spans="1:5" x14ac:dyDescent="0.2">
      <c r="A6510">
        <v>0.66935</v>
      </c>
      <c r="B6510">
        <v>0.88032880460487395</v>
      </c>
      <c r="C6510">
        <v>0.86434428338932501</v>
      </c>
      <c r="D6510">
        <v>0.93647211910598305</v>
      </c>
      <c r="E6510">
        <v>0.92450101083762304</v>
      </c>
    </row>
    <row r="6511" spans="1:5" x14ac:dyDescent="0.2">
      <c r="A6511">
        <v>0.66968333333333296</v>
      </c>
      <c r="B6511">
        <v>0.88046797290038603</v>
      </c>
      <c r="C6511">
        <v>0.8645005708197</v>
      </c>
      <c r="D6511">
        <v>0.93655191840604801</v>
      </c>
      <c r="E6511">
        <v>0.92460240862281895</v>
      </c>
    </row>
    <row r="6512" spans="1:5" x14ac:dyDescent="0.2">
      <c r="A6512">
        <v>0.67001666666666704</v>
      </c>
      <c r="B6512">
        <v>0.88060709392949998</v>
      </c>
      <c r="C6512">
        <v>0.86465680871925599</v>
      </c>
      <c r="D6512">
        <v>0.93663168027883803</v>
      </c>
      <c r="E6512">
        <v>0.92470376435940305</v>
      </c>
    </row>
    <row r="6513" spans="1:5" x14ac:dyDescent="0.2">
      <c r="A6513">
        <v>0.67035</v>
      </c>
      <c r="B6513">
        <v>0.88074616773220205</v>
      </c>
      <c r="C6513">
        <v>0.864812997128794</v>
      </c>
      <c r="D6513">
        <v>0.93671140478629999</v>
      </c>
      <c r="E6513">
        <v>0.92480507801363399</v>
      </c>
    </row>
    <row r="6514" spans="1:5" x14ac:dyDescent="0.2">
      <c r="A6514">
        <v>0.67068333333333296</v>
      </c>
      <c r="B6514">
        <v>0.88088519434749102</v>
      </c>
      <c r="C6514">
        <v>0.86496913608802095</v>
      </c>
      <c r="D6514">
        <v>0.93679109199038502</v>
      </c>
      <c r="E6514">
        <v>0.92490634955177198</v>
      </c>
    </row>
    <row r="6515" spans="1:5" x14ac:dyDescent="0.2">
      <c r="A6515">
        <v>0.67101666666666704</v>
      </c>
      <c r="B6515">
        <v>0.88102417381415299</v>
      </c>
      <c r="C6515">
        <v>0.86512522563640704</v>
      </c>
      <c r="D6515">
        <v>0.93687074195303999</v>
      </c>
      <c r="E6515">
        <v>0.92500757894007302</v>
      </c>
    </row>
    <row r="6516" spans="1:5" x14ac:dyDescent="0.2">
      <c r="A6516">
        <v>0.67135</v>
      </c>
      <c r="B6516">
        <v>0.88116310617097504</v>
      </c>
      <c r="C6516">
        <v>0.86528126581342402</v>
      </c>
      <c r="D6516">
        <v>0.93695035473621502</v>
      </c>
      <c r="E6516">
        <v>0.92510876614479698</v>
      </c>
    </row>
    <row r="6517" spans="1:5" x14ac:dyDescent="0.2">
      <c r="A6517">
        <v>0.67168333333333297</v>
      </c>
      <c r="B6517">
        <v>0.88130199145674504</v>
      </c>
      <c r="C6517">
        <v>0.86543725665854099</v>
      </c>
      <c r="D6517">
        <v>0.937029930401858</v>
      </c>
      <c r="E6517">
        <v>0.92520991113220197</v>
      </c>
    </row>
    <row r="6518" spans="1:5" x14ac:dyDescent="0.2">
      <c r="A6518">
        <v>0.67201666666666704</v>
      </c>
      <c r="B6518">
        <v>0.88144082971024995</v>
      </c>
      <c r="C6518">
        <v>0.86559319821123004</v>
      </c>
      <c r="D6518">
        <v>0.93710946901191805</v>
      </c>
      <c r="E6518">
        <v>0.92531101386854597</v>
      </c>
    </row>
    <row r="6519" spans="1:5" x14ac:dyDescent="0.2">
      <c r="A6519">
        <v>0.67235</v>
      </c>
      <c r="B6519">
        <v>0.88157962097027698</v>
      </c>
      <c r="C6519">
        <v>0.86574909051096205</v>
      </c>
      <c r="D6519">
        <v>0.93718897062834405</v>
      </c>
      <c r="E6519">
        <v>0.92541207432008799</v>
      </c>
    </row>
    <row r="6520" spans="1:5" x14ac:dyDescent="0.2">
      <c r="A6520">
        <v>0.67268333333333297</v>
      </c>
      <c r="B6520">
        <v>0.88171836527561298</v>
      </c>
      <c r="C6520">
        <v>0.86590493359720699</v>
      </c>
      <c r="D6520">
        <v>0.93726843531308501</v>
      </c>
      <c r="E6520">
        <v>0.92551309245308599</v>
      </c>
    </row>
    <row r="6521" spans="1:5" x14ac:dyDescent="0.2">
      <c r="A6521">
        <v>0.67301666666666704</v>
      </c>
      <c r="B6521">
        <v>0.88185706266504604</v>
      </c>
      <c r="C6521">
        <v>0.86606072750943597</v>
      </c>
      <c r="D6521">
        <v>0.93734786312809004</v>
      </c>
      <c r="E6521">
        <v>0.92561406823379799</v>
      </c>
    </row>
    <row r="6522" spans="1:5" x14ac:dyDescent="0.2">
      <c r="A6522">
        <v>0.67335</v>
      </c>
      <c r="B6522">
        <v>0.88199571317736203</v>
      </c>
      <c r="C6522">
        <v>0.86621647228711895</v>
      </c>
      <c r="D6522">
        <v>0.93742725413530703</v>
      </c>
      <c r="E6522">
        <v>0.92571500162848297</v>
      </c>
    </row>
    <row r="6523" spans="1:5" x14ac:dyDescent="0.2">
      <c r="A6523">
        <v>0.67368333333333297</v>
      </c>
      <c r="B6523">
        <v>0.88213431685134902</v>
      </c>
      <c r="C6523">
        <v>0.86637216796972805</v>
      </c>
      <c r="D6523">
        <v>0.93750660839668398</v>
      </c>
      <c r="E6523">
        <v>0.92581589260339903</v>
      </c>
    </row>
    <row r="6524" spans="1:5" x14ac:dyDescent="0.2">
      <c r="A6524">
        <v>0.67401666666666704</v>
      </c>
      <c r="B6524">
        <v>0.88227287372579399</v>
      </c>
      <c r="C6524">
        <v>0.866527814596733</v>
      </c>
      <c r="D6524">
        <v>0.93758592597417201</v>
      </c>
      <c r="E6524">
        <v>0.92591674112480404</v>
      </c>
    </row>
    <row r="6525" spans="1:5" x14ac:dyDescent="0.2">
      <c r="A6525">
        <v>0.67435</v>
      </c>
      <c r="B6525">
        <v>0.88241138383948403</v>
      </c>
      <c r="C6525">
        <v>0.86668341220760403</v>
      </c>
      <c r="D6525">
        <v>0.937665206929718</v>
      </c>
      <c r="E6525">
        <v>0.92601754715895701</v>
      </c>
    </row>
    <row r="6526" spans="1:5" x14ac:dyDescent="0.2">
      <c r="A6526">
        <v>0.67468333333333297</v>
      </c>
      <c r="B6526">
        <v>0.882549847231206</v>
      </c>
      <c r="C6526">
        <v>0.866838960841814</v>
      </c>
      <c r="D6526">
        <v>0.93774445132527195</v>
      </c>
      <c r="E6526">
        <v>0.92611831067211703</v>
      </c>
    </row>
    <row r="6527" spans="1:5" x14ac:dyDescent="0.2">
      <c r="A6527">
        <v>0.67501666666666704</v>
      </c>
      <c r="B6527">
        <v>0.88268826393974698</v>
      </c>
      <c r="C6527">
        <v>0.866994460538831</v>
      </c>
      <c r="D6527">
        <v>0.93782365922278099</v>
      </c>
      <c r="E6527">
        <v>0.92621903163054098</v>
      </c>
    </row>
    <row r="6528" spans="1:5" x14ac:dyDescent="0.2">
      <c r="A6528">
        <v>0.67535000000000001</v>
      </c>
      <c r="B6528">
        <v>0.88282663400389505</v>
      </c>
      <c r="C6528">
        <v>0.86714991133812802</v>
      </c>
      <c r="D6528">
        <v>0.937902830684196</v>
      </c>
      <c r="E6528">
        <v>0.92631971000048796</v>
      </c>
    </row>
    <row r="6529" spans="1:5" x14ac:dyDescent="0.2">
      <c r="A6529">
        <v>0.67568333333333297</v>
      </c>
      <c r="B6529">
        <v>0.88296495746243697</v>
      </c>
      <c r="C6529">
        <v>0.86730531327917404</v>
      </c>
      <c r="D6529">
        <v>0.93798196577146498</v>
      </c>
      <c r="E6529">
        <v>0.92642034574821597</v>
      </c>
    </row>
    <row r="6530" spans="1:5" x14ac:dyDescent="0.2">
      <c r="A6530">
        <v>0.67601666666666704</v>
      </c>
      <c r="B6530">
        <v>0.88310323435415905</v>
      </c>
      <c r="C6530">
        <v>0.86746066640144104</v>
      </c>
      <c r="D6530">
        <v>0.93806106454653604</v>
      </c>
      <c r="E6530">
        <v>0.92652093883998399</v>
      </c>
    </row>
    <row r="6531" spans="1:5" x14ac:dyDescent="0.2">
      <c r="A6531">
        <v>0.67635000000000001</v>
      </c>
      <c r="B6531">
        <v>0.88324146471784903</v>
      </c>
      <c r="C6531">
        <v>0.8676159707444</v>
      </c>
      <c r="D6531">
        <v>0.93814012707135797</v>
      </c>
      <c r="E6531">
        <v>0.92662148924205001</v>
      </c>
    </row>
    <row r="6532" spans="1:5" x14ac:dyDescent="0.2">
      <c r="A6532">
        <v>0.67668333333333297</v>
      </c>
      <c r="B6532">
        <v>0.88337964859229501</v>
      </c>
      <c r="C6532">
        <v>0.86777122634752002</v>
      </c>
      <c r="D6532">
        <v>0.93821915340788098</v>
      </c>
      <c r="E6532">
        <v>0.92672199692067203</v>
      </c>
    </row>
    <row r="6533" spans="1:5" x14ac:dyDescent="0.2">
      <c r="A6533">
        <v>0.67701666666666704</v>
      </c>
      <c r="B6533">
        <v>0.88351778601628195</v>
      </c>
      <c r="C6533">
        <v>0.86792643325027297</v>
      </c>
      <c r="D6533">
        <v>0.93829814361805197</v>
      </c>
      <c r="E6533">
        <v>0.92682246184210904</v>
      </c>
    </row>
    <row r="6534" spans="1:5" x14ac:dyDescent="0.2">
      <c r="A6534">
        <v>0.67735000000000001</v>
      </c>
      <c r="B6534">
        <v>0.88365587702859905</v>
      </c>
      <c r="C6534">
        <v>0.86808159149212905</v>
      </c>
      <c r="D6534">
        <v>0.93837709776382106</v>
      </c>
      <c r="E6534">
        <v>0.92692288397261902</v>
      </c>
    </row>
    <row r="6535" spans="1:5" x14ac:dyDescent="0.2">
      <c r="A6535">
        <v>0.67768333333333297</v>
      </c>
      <c r="B6535">
        <v>0.88379392166803294</v>
      </c>
      <c r="C6535">
        <v>0.86823670111256002</v>
      </c>
      <c r="D6535">
        <v>0.93845601590713701</v>
      </c>
      <c r="E6535">
        <v>0.92702326327846096</v>
      </c>
    </row>
    <row r="6536" spans="1:5" x14ac:dyDescent="0.2">
      <c r="A6536">
        <v>0.67801666666666704</v>
      </c>
      <c r="B6536">
        <v>0.88393191997337095</v>
      </c>
      <c r="C6536">
        <v>0.86839176215103497</v>
      </c>
      <c r="D6536">
        <v>0.93853489810994795</v>
      </c>
      <c r="E6536">
        <v>0.92712359972589298</v>
      </c>
    </row>
    <row r="6537" spans="1:5" x14ac:dyDescent="0.2">
      <c r="A6537">
        <v>0.67835000000000001</v>
      </c>
      <c r="B6537">
        <v>0.88406987198339904</v>
      </c>
      <c r="C6537">
        <v>0.86854677464702701</v>
      </c>
      <c r="D6537">
        <v>0.93861374443420298</v>
      </c>
      <c r="E6537">
        <v>0.92722389328117305</v>
      </c>
    </row>
    <row r="6538" spans="1:5" x14ac:dyDescent="0.2">
      <c r="A6538">
        <v>0.67868333333333297</v>
      </c>
      <c r="B6538">
        <v>0.88420777773690595</v>
      </c>
      <c r="C6538">
        <v>0.868701738640004</v>
      </c>
      <c r="D6538">
        <v>0.93869255494185</v>
      </c>
      <c r="E6538">
        <v>0.92732414391055995</v>
      </c>
    </row>
    <row r="6539" spans="1:5" x14ac:dyDescent="0.2">
      <c r="A6539">
        <v>0.67901666666666705</v>
      </c>
      <c r="B6539">
        <v>0.88434563727267701</v>
      </c>
      <c r="C6539">
        <v>0.86885665416943902</v>
      </c>
      <c r="D6539">
        <v>0.93877132969484001</v>
      </c>
      <c r="E6539">
        <v>0.927424351580311</v>
      </c>
    </row>
    <row r="6540" spans="1:5" x14ac:dyDescent="0.2">
      <c r="A6540">
        <v>0.67935000000000001</v>
      </c>
      <c r="B6540">
        <v>0.88448345062950195</v>
      </c>
      <c r="C6540">
        <v>0.86901152127480197</v>
      </c>
      <c r="D6540">
        <v>0.93885006875512</v>
      </c>
      <c r="E6540">
        <v>0.92752451625668597</v>
      </c>
    </row>
    <row r="6541" spans="1:5" x14ac:dyDescent="0.2">
      <c r="A6541">
        <v>0.67968333333333297</v>
      </c>
      <c r="B6541">
        <v>0.88462121784616499</v>
      </c>
      <c r="C6541">
        <v>0.86916633999556303</v>
      </c>
      <c r="D6541">
        <v>0.93892877218463899</v>
      </c>
      <c r="E6541">
        <v>0.92762463790594296</v>
      </c>
    </row>
    <row r="6542" spans="1:5" x14ac:dyDescent="0.2">
      <c r="A6542">
        <v>0.68001666666666705</v>
      </c>
      <c r="B6542">
        <v>0.88475893896145597</v>
      </c>
      <c r="C6542">
        <v>0.86932111037119397</v>
      </c>
      <c r="D6542">
        <v>0.93900744004534598</v>
      </c>
      <c r="E6542">
        <v>0.92772471649433996</v>
      </c>
    </row>
    <row r="6543" spans="1:5" x14ac:dyDescent="0.2">
      <c r="A6543">
        <v>0.68035000000000001</v>
      </c>
      <c r="B6543">
        <v>0.88489661401386299</v>
      </c>
      <c r="C6543">
        <v>0.86947583244090199</v>
      </c>
      <c r="D6543">
        <v>0.93908607239918895</v>
      </c>
      <c r="E6543">
        <v>0.92782475198813497</v>
      </c>
    </row>
    <row r="6544" spans="1:5" x14ac:dyDescent="0.2">
      <c r="A6544">
        <v>0.68068333333333297</v>
      </c>
      <c r="B6544">
        <v>0.88503424304085498</v>
      </c>
      <c r="C6544">
        <v>0.86963050624299099</v>
      </c>
      <c r="D6544">
        <v>0.93916466930811904</v>
      </c>
      <c r="E6544">
        <v>0.92792474435358696</v>
      </c>
    </row>
    <row r="6545" spans="1:5" x14ac:dyDescent="0.2">
      <c r="A6545">
        <v>0.68101666666666705</v>
      </c>
      <c r="B6545">
        <v>0.88517182607968004</v>
      </c>
      <c r="C6545">
        <v>0.86978513181556805</v>
      </c>
      <c r="D6545">
        <v>0.93924323083408201</v>
      </c>
      <c r="E6545">
        <v>0.92802469355695405</v>
      </c>
    </row>
    <row r="6546" spans="1:5" x14ac:dyDescent="0.2">
      <c r="A6546">
        <v>0.68135000000000001</v>
      </c>
      <c r="B6546">
        <v>0.88530936316758402</v>
      </c>
      <c r="C6546">
        <v>0.86993970919674302</v>
      </c>
      <c r="D6546">
        <v>0.93932175703902898</v>
      </c>
      <c r="E6546">
        <v>0.928124599564495</v>
      </c>
    </row>
    <row r="6547" spans="1:5" x14ac:dyDescent="0.2">
      <c r="A6547">
        <v>0.68168333333333297</v>
      </c>
      <c r="B6547">
        <v>0.88544685434181802</v>
      </c>
      <c r="C6547">
        <v>0.87009423842462497</v>
      </c>
      <c r="D6547">
        <v>0.93940024798490795</v>
      </c>
      <c r="E6547">
        <v>0.92822446234246803</v>
      </c>
    </row>
    <row r="6548" spans="1:5" x14ac:dyDescent="0.2">
      <c r="A6548">
        <v>0.68201666666666705</v>
      </c>
      <c r="B6548">
        <v>0.88558429963962704</v>
      </c>
      <c r="C6548">
        <v>0.87024871953732097</v>
      </c>
      <c r="D6548">
        <v>0.93947870373366704</v>
      </c>
      <c r="E6548">
        <v>0.92832428185713101</v>
      </c>
    </row>
    <row r="6549" spans="1:5" x14ac:dyDescent="0.2">
      <c r="A6549">
        <v>0.68235000000000001</v>
      </c>
      <c r="B6549">
        <v>0.88572169909825904</v>
      </c>
      <c r="C6549">
        <v>0.87040315257293999</v>
      </c>
      <c r="D6549">
        <v>0.93955712434725602</v>
      </c>
      <c r="E6549">
        <v>0.92842405807474204</v>
      </c>
    </row>
    <row r="6550" spans="1:5" x14ac:dyDescent="0.2">
      <c r="A6550">
        <v>0.68268333333333298</v>
      </c>
      <c r="B6550">
        <v>0.88585905275496402</v>
      </c>
      <c r="C6550">
        <v>0.87055753756959098</v>
      </c>
      <c r="D6550">
        <v>0.93963550988762301</v>
      </c>
      <c r="E6550">
        <v>0.92852379096156101</v>
      </c>
    </row>
    <row r="6551" spans="1:5" x14ac:dyDescent="0.2">
      <c r="A6551">
        <v>0.68301666666666705</v>
      </c>
      <c r="B6551">
        <v>0.88599636064698795</v>
      </c>
      <c r="C6551">
        <v>0.87071187456538202</v>
      </c>
      <c r="D6551">
        <v>0.93971386041671701</v>
      </c>
      <c r="E6551">
        <v>0.92862348048384602</v>
      </c>
    </row>
    <row r="6552" spans="1:5" x14ac:dyDescent="0.2">
      <c r="A6552">
        <v>0.68335000000000001</v>
      </c>
      <c r="B6552">
        <v>0.88613362281157804</v>
      </c>
      <c r="C6552">
        <v>0.87086616359842195</v>
      </c>
      <c r="D6552">
        <v>0.93979217599648701</v>
      </c>
      <c r="E6552">
        <v>0.92872312660785294</v>
      </c>
    </row>
    <row r="6553" spans="1:5" x14ac:dyDescent="0.2">
      <c r="A6553">
        <v>0.68368333333333298</v>
      </c>
      <c r="B6553">
        <v>0.88627083928598405</v>
      </c>
      <c r="C6553">
        <v>0.87102040470681996</v>
      </c>
      <c r="D6553">
        <v>0.93987045668888203</v>
      </c>
      <c r="E6553">
        <v>0.928822729299844</v>
      </c>
    </row>
    <row r="6554" spans="1:5" x14ac:dyDescent="0.2">
      <c r="A6554">
        <v>0.68401666666666705</v>
      </c>
      <c r="B6554">
        <v>0.88640801010745296</v>
      </c>
      <c r="C6554">
        <v>0.87117459792868301</v>
      </c>
      <c r="D6554">
        <v>0.93994870255584995</v>
      </c>
      <c r="E6554">
        <v>0.92892228852607395</v>
      </c>
    </row>
    <row r="6555" spans="1:5" x14ac:dyDescent="0.2">
      <c r="A6555">
        <v>0.68435000000000001</v>
      </c>
      <c r="B6555">
        <v>0.88654513531323298</v>
      </c>
      <c r="C6555">
        <v>0.87132874330212096</v>
      </c>
      <c r="D6555">
        <v>0.94002691365933999</v>
      </c>
      <c r="E6555">
        <v>0.92902180425280401</v>
      </c>
    </row>
    <row r="6556" spans="1:5" x14ac:dyDescent="0.2">
      <c r="A6556">
        <v>0.68468333333333298</v>
      </c>
      <c r="B6556">
        <v>0.88668221494057098</v>
      </c>
      <c r="C6556">
        <v>0.87148284086524097</v>
      </c>
      <c r="D6556">
        <v>0.94010509006130105</v>
      </c>
      <c r="E6556">
        <v>0.92912127644629094</v>
      </c>
    </row>
    <row r="6557" spans="1:5" x14ac:dyDescent="0.2">
      <c r="A6557">
        <v>0.68501666666666705</v>
      </c>
      <c r="B6557">
        <v>0.88681924902671505</v>
      </c>
      <c r="C6557">
        <v>0.87163689065615302</v>
      </c>
      <c r="D6557">
        <v>0.94018323182368202</v>
      </c>
      <c r="E6557">
        <v>0.92922070507279297</v>
      </c>
    </row>
    <row r="6558" spans="1:5" x14ac:dyDescent="0.2">
      <c r="A6558">
        <v>0.68535000000000001</v>
      </c>
      <c r="B6558">
        <v>0.88695623760891296</v>
      </c>
      <c r="C6558">
        <v>0.87179089271296495</v>
      </c>
      <c r="D6558">
        <v>0.94026133900843201</v>
      </c>
      <c r="E6558">
        <v>0.92932009009856997</v>
      </c>
    </row>
    <row r="6559" spans="1:5" x14ac:dyDescent="0.2">
      <c r="A6559">
        <v>0.68568333333333298</v>
      </c>
      <c r="B6559">
        <v>0.88709318072441301</v>
      </c>
      <c r="C6559">
        <v>0.87194484707378594</v>
      </c>
      <c r="D6559">
        <v>0.94033941167749902</v>
      </c>
      <c r="E6559">
        <v>0.92941943148987805</v>
      </c>
    </row>
    <row r="6560" spans="1:5" x14ac:dyDescent="0.2">
      <c r="A6560">
        <v>0.68601666666666705</v>
      </c>
      <c r="B6560">
        <v>0.88723007841046297</v>
      </c>
      <c r="C6560">
        <v>0.87209875377672397</v>
      </c>
      <c r="D6560">
        <v>0.94041744989283205</v>
      </c>
      <c r="E6560">
        <v>0.92951872921297796</v>
      </c>
    </row>
    <row r="6561" spans="1:5" x14ac:dyDescent="0.2">
      <c r="A6561">
        <v>0.68635000000000002</v>
      </c>
      <c r="B6561">
        <v>0.88736693070431005</v>
      </c>
      <c r="C6561">
        <v>0.87225261285988698</v>
      </c>
      <c r="D6561">
        <v>0.94049545371637999</v>
      </c>
      <c r="E6561">
        <v>0.92961798323412703</v>
      </c>
    </row>
    <row r="6562" spans="1:5" x14ac:dyDescent="0.2">
      <c r="A6562">
        <v>0.68668333333333298</v>
      </c>
      <c r="B6562">
        <v>0.88750373764320301</v>
      </c>
      <c r="C6562">
        <v>0.87240642436138405</v>
      </c>
      <c r="D6562">
        <v>0.94057342321009096</v>
      </c>
      <c r="E6562">
        <v>0.92971719351958304</v>
      </c>
    </row>
    <row r="6563" spans="1:5" x14ac:dyDescent="0.2">
      <c r="A6563">
        <v>0.68701666666666705</v>
      </c>
      <c r="B6563">
        <v>0.88764049926438904</v>
      </c>
      <c r="C6563">
        <v>0.87256018831932403</v>
      </c>
      <c r="D6563">
        <v>0.94065135843591496</v>
      </c>
      <c r="E6563">
        <v>0.92981636003560497</v>
      </c>
    </row>
    <row r="6564" spans="1:5" x14ac:dyDescent="0.2">
      <c r="A6564">
        <v>0.68735000000000002</v>
      </c>
      <c r="B6564">
        <v>0.88777721560511502</v>
      </c>
      <c r="C6564">
        <v>0.87271390477181598</v>
      </c>
      <c r="D6564">
        <v>0.94072925945579999</v>
      </c>
      <c r="E6564">
        <v>0.92991548274845104</v>
      </c>
    </row>
    <row r="6565" spans="1:5" x14ac:dyDescent="0.2">
      <c r="A6565">
        <v>0.68768333333333298</v>
      </c>
      <c r="B6565">
        <v>0.88791388670263105</v>
      </c>
      <c r="C6565">
        <v>0.872867573756967</v>
      </c>
      <c r="D6565">
        <v>0.94080712633169605</v>
      </c>
      <c r="E6565">
        <v>0.93001456162438001</v>
      </c>
    </row>
    <row r="6566" spans="1:5" x14ac:dyDescent="0.2">
      <c r="A6566">
        <v>0.68801666666666705</v>
      </c>
      <c r="B6566">
        <v>0.88805051259418299</v>
      </c>
      <c r="C6566">
        <v>0.87302119531288602</v>
      </c>
      <c r="D6566">
        <v>0.94088495912555004</v>
      </c>
      <c r="E6566">
        <v>0.93011359662964899</v>
      </c>
    </row>
    <row r="6567" spans="1:5" x14ac:dyDescent="0.2">
      <c r="A6567">
        <v>0.68835000000000002</v>
      </c>
      <c r="B6567">
        <v>0.88818709331701895</v>
      </c>
      <c r="C6567">
        <v>0.87317476947768302</v>
      </c>
      <c r="D6567">
        <v>0.94096275789931205</v>
      </c>
      <c r="E6567">
        <v>0.93021258773051896</v>
      </c>
    </row>
    <row r="6568" spans="1:5" x14ac:dyDescent="0.2">
      <c r="A6568">
        <v>0.68868333333333298</v>
      </c>
      <c r="B6568">
        <v>0.88832362890838801</v>
      </c>
      <c r="C6568">
        <v>0.87332829628946396</v>
      </c>
      <c r="D6568">
        <v>0.94104052271492999</v>
      </c>
      <c r="E6568">
        <v>0.93031153489324503</v>
      </c>
    </row>
    <row r="6569" spans="1:5" x14ac:dyDescent="0.2">
      <c r="A6569">
        <v>0.68901666666666705</v>
      </c>
      <c r="B6569">
        <v>0.88846011940553604</v>
      </c>
      <c r="C6569">
        <v>0.87348177578634001</v>
      </c>
      <c r="D6569">
        <v>0.94111825363435397</v>
      </c>
      <c r="E6569">
        <v>0.93041043808408797</v>
      </c>
    </row>
    <row r="6570" spans="1:5" x14ac:dyDescent="0.2">
      <c r="A6570">
        <v>0.68935000000000002</v>
      </c>
      <c r="B6570">
        <v>0.88859656484571303</v>
      </c>
      <c r="C6570">
        <v>0.87363520800641803</v>
      </c>
      <c r="D6570">
        <v>0.94119595071953099</v>
      </c>
      <c r="E6570">
        <v>0.93050929726930498</v>
      </c>
    </row>
    <row r="6571" spans="1:5" x14ac:dyDescent="0.2">
      <c r="A6571">
        <v>0.68968333333333298</v>
      </c>
      <c r="B6571">
        <v>0.88873296526616496</v>
      </c>
      <c r="C6571">
        <v>0.87378859298780698</v>
      </c>
      <c r="D6571">
        <v>0.94127361403241105</v>
      </c>
      <c r="E6571">
        <v>0.93060811241515495</v>
      </c>
    </row>
    <row r="6572" spans="1:5" x14ac:dyDescent="0.2">
      <c r="A6572">
        <v>0.69001666666666694</v>
      </c>
      <c r="B6572">
        <v>0.88886932070414004</v>
      </c>
      <c r="C6572">
        <v>0.87394193076861504</v>
      </c>
      <c r="D6572">
        <v>0.94135124363494305</v>
      </c>
      <c r="E6572">
        <v>0.93070688348789599</v>
      </c>
    </row>
    <row r="6573" spans="1:5" x14ac:dyDescent="0.2">
      <c r="A6573">
        <v>0.69035000000000002</v>
      </c>
      <c r="B6573">
        <v>0.88900563119660303</v>
      </c>
      <c r="C6573">
        <v>0.87409522138664897</v>
      </c>
      <c r="D6573">
        <v>0.94142883958907497</v>
      </c>
      <c r="E6573">
        <v>0.93080561045378696</v>
      </c>
    </row>
    <row r="6574" spans="1:5" x14ac:dyDescent="0.2">
      <c r="A6574">
        <v>0.69068333333333298</v>
      </c>
      <c r="B6574">
        <v>0.88914189677954103</v>
      </c>
      <c r="C6574">
        <v>0.87424846487867203</v>
      </c>
      <c r="D6574">
        <v>0.94150640195675595</v>
      </c>
      <c r="E6574">
        <v>0.93090429327908497</v>
      </c>
    </row>
    <row r="6575" spans="1:5" x14ac:dyDescent="0.2">
      <c r="A6575">
        <v>0.69101666666666695</v>
      </c>
      <c r="B6575">
        <v>0.88927811748872998</v>
      </c>
      <c r="C6575">
        <v>0.87440166128122299</v>
      </c>
      <c r="D6575">
        <v>0.94158393079993496</v>
      </c>
      <c r="E6575">
        <v>0.93100293193005002</v>
      </c>
    </row>
    <row r="6576" spans="1:5" x14ac:dyDescent="0.2">
      <c r="A6576">
        <v>0.69135000000000002</v>
      </c>
      <c r="B6576">
        <v>0.88941429335994904</v>
      </c>
      <c r="C6576">
        <v>0.87455481063084295</v>
      </c>
      <c r="D6576">
        <v>0.94166142618056103</v>
      </c>
      <c r="E6576">
        <v>0.93110152637293897</v>
      </c>
    </row>
    <row r="6577" spans="1:5" x14ac:dyDescent="0.2">
      <c r="A6577">
        <v>0.69168333333333298</v>
      </c>
      <c r="B6577">
        <v>0.88955042442897503</v>
      </c>
      <c r="C6577">
        <v>0.87470791296407102</v>
      </c>
      <c r="D6577">
        <v>0.94173888816058204</v>
      </c>
      <c r="E6577">
        <v>0.93120007657401205</v>
      </c>
    </row>
    <row r="6578" spans="1:5" x14ac:dyDescent="0.2">
      <c r="A6578">
        <v>0.69201666666666695</v>
      </c>
      <c r="B6578">
        <v>0.889686510731583</v>
      </c>
      <c r="C6578">
        <v>0.87486096831744598</v>
      </c>
      <c r="D6578">
        <v>0.94181631680194799</v>
      </c>
      <c r="E6578">
        <v>0.93129858249952602</v>
      </c>
    </row>
    <row r="6579" spans="1:5" x14ac:dyDescent="0.2">
      <c r="A6579">
        <v>0.69235000000000002</v>
      </c>
      <c r="B6579">
        <v>0.889822552303553</v>
      </c>
      <c r="C6579">
        <v>0.87501397672750802</v>
      </c>
      <c r="D6579">
        <v>0.941893712166606</v>
      </c>
      <c r="E6579">
        <v>0.93139704411573898</v>
      </c>
    </row>
    <row r="6580" spans="1:5" x14ac:dyDescent="0.2">
      <c r="A6580">
        <v>0.69268333333333298</v>
      </c>
      <c r="B6580">
        <v>0.88995854918065997</v>
      </c>
      <c r="C6580">
        <v>0.87516693823079705</v>
      </c>
      <c r="D6580">
        <v>0.94197107431650695</v>
      </c>
      <c r="E6580">
        <v>0.93149546138891104</v>
      </c>
    </row>
    <row r="6581" spans="1:5" x14ac:dyDescent="0.2">
      <c r="A6581">
        <v>0.69301666666666695</v>
      </c>
      <c r="B6581">
        <v>0.89009450139868196</v>
      </c>
      <c r="C6581">
        <v>0.87531985286385205</v>
      </c>
      <c r="D6581">
        <v>0.94204840331359796</v>
      </c>
      <c r="E6581">
        <v>0.93159383428529896</v>
      </c>
    </row>
    <row r="6582" spans="1:5" x14ac:dyDescent="0.2">
      <c r="A6582">
        <v>0.69335000000000002</v>
      </c>
      <c r="B6582">
        <v>0.89023040899339601</v>
      </c>
      <c r="C6582">
        <v>0.87547272066321302</v>
      </c>
      <c r="D6582">
        <v>0.94212569921982803</v>
      </c>
      <c r="E6582">
        <v>0.93169216277116196</v>
      </c>
    </row>
    <row r="6583" spans="1:5" x14ac:dyDescent="0.2">
      <c r="A6583">
        <v>0.69368333333333299</v>
      </c>
      <c r="B6583">
        <v>0.89036627200057905</v>
      </c>
      <c r="C6583">
        <v>0.87562554166541895</v>
      </c>
      <c r="D6583">
        <v>0.94220296209714705</v>
      </c>
      <c r="E6583">
        <v>0.93179044681275802</v>
      </c>
    </row>
    <row r="6584" spans="1:5" x14ac:dyDescent="0.2">
      <c r="A6584">
        <v>0.69401666666666695</v>
      </c>
      <c r="B6584">
        <v>0.89050209045600903</v>
      </c>
      <c r="C6584">
        <v>0.87577831590700905</v>
      </c>
      <c r="D6584">
        <v>0.94228019200750202</v>
      </c>
      <c r="E6584">
        <v>0.93188868637634603</v>
      </c>
    </row>
    <row r="6585" spans="1:5" x14ac:dyDescent="0.2">
      <c r="A6585">
        <v>0.69435000000000002</v>
      </c>
      <c r="B6585">
        <v>0.890637864395462</v>
      </c>
      <c r="C6585">
        <v>0.87593104342452399</v>
      </c>
      <c r="D6585">
        <v>0.94235738901284405</v>
      </c>
      <c r="E6585">
        <v>0.93198688142818298</v>
      </c>
    </row>
    <row r="6586" spans="1:5" x14ac:dyDescent="0.2">
      <c r="A6586">
        <v>0.69468333333333299</v>
      </c>
      <c r="B6586">
        <v>0.89077359385471599</v>
      </c>
      <c r="C6586">
        <v>0.87608372425450298</v>
      </c>
      <c r="D6586">
        <v>0.94243455317512004</v>
      </c>
      <c r="E6586">
        <v>0.93208503193452896</v>
      </c>
    </row>
    <row r="6587" spans="1:5" x14ac:dyDescent="0.2">
      <c r="A6587">
        <v>0.69501666666666695</v>
      </c>
      <c r="B6587">
        <v>0.89090927886954796</v>
      </c>
      <c r="C6587">
        <v>0.87623635843348602</v>
      </c>
      <c r="D6587">
        <v>0.94251168455627898</v>
      </c>
      <c r="E6587">
        <v>0.93218313786164197</v>
      </c>
    </row>
    <row r="6588" spans="1:5" x14ac:dyDescent="0.2">
      <c r="A6588">
        <v>0.69535000000000002</v>
      </c>
      <c r="B6588">
        <v>0.89104491947573505</v>
      </c>
      <c r="C6588">
        <v>0.87638894599801198</v>
      </c>
      <c r="D6588">
        <v>0.94258878321827</v>
      </c>
      <c r="E6588">
        <v>0.93228119917578001</v>
      </c>
    </row>
    <row r="6589" spans="1:5" x14ac:dyDescent="0.2">
      <c r="A6589">
        <v>0.69568333333333299</v>
      </c>
      <c r="B6589">
        <v>0.89118051570905399</v>
      </c>
      <c r="C6589">
        <v>0.87654148698461998</v>
      </c>
      <c r="D6589">
        <v>0.94266584922304297</v>
      </c>
      <c r="E6589">
        <v>0.93237921584320105</v>
      </c>
    </row>
    <row r="6590" spans="1:5" x14ac:dyDescent="0.2">
      <c r="A6590">
        <v>0.69601666666666695</v>
      </c>
      <c r="B6590">
        <v>0.89131606760528204</v>
      </c>
      <c r="C6590">
        <v>0.876693981429851</v>
      </c>
      <c r="D6590">
        <v>0.94274288263254502</v>
      </c>
      <c r="E6590">
        <v>0.93247718783016398</v>
      </c>
    </row>
    <row r="6591" spans="1:5" x14ac:dyDescent="0.2">
      <c r="A6591">
        <v>0.69635000000000002</v>
      </c>
      <c r="B6591">
        <v>0.89145157520019702</v>
      </c>
      <c r="C6591">
        <v>0.87684642937024404</v>
      </c>
      <c r="D6591">
        <v>0.94281988350872503</v>
      </c>
      <c r="E6591">
        <v>0.93257511510292701</v>
      </c>
    </row>
    <row r="6592" spans="1:5" x14ac:dyDescent="0.2">
      <c r="A6592">
        <v>0.69668333333333299</v>
      </c>
      <c r="B6592">
        <v>0.89158703852957499</v>
      </c>
      <c r="C6592">
        <v>0.87699883084233798</v>
      </c>
      <c r="D6592">
        <v>0.94289685191353301</v>
      </c>
      <c r="E6592">
        <v>0.93267299762774902</v>
      </c>
    </row>
    <row r="6593" spans="1:5" x14ac:dyDescent="0.2">
      <c r="A6593">
        <v>0.69701666666666695</v>
      </c>
      <c r="B6593">
        <v>0.891722457629194</v>
      </c>
      <c r="C6593">
        <v>0.87715118588267305</v>
      </c>
      <c r="D6593">
        <v>0.94297378790891695</v>
      </c>
      <c r="E6593">
        <v>0.93277083537088701</v>
      </c>
    </row>
    <row r="6594" spans="1:5" x14ac:dyDescent="0.2">
      <c r="A6594">
        <v>0.69735000000000003</v>
      </c>
      <c r="B6594">
        <v>0.89185783253483097</v>
      </c>
      <c r="C6594">
        <v>0.877303494527788</v>
      </c>
      <c r="D6594">
        <v>0.94305069155682497</v>
      </c>
      <c r="E6594">
        <v>0.93286862829860095</v>
      </c>
    </row>
    <row r="6595" spans="1:5" x14ac:dyDescent="0.2">
      <c r="A6595">
        <v>0.69768333333333299</v>
      </c>
      <c r="B6595">
        <v>0.89199316328226397</v>
      </c>
      <c r="C6595">
        <v>0.87745575681422405</v>
      </c>
      <c r="D6595">
        <v>0.94312756291920696</v>
      </c>
      <c r="E6595">
        <v>0.93296637637714896</v>
      </c>
    </row>
    <row r="6596" spans="1:5" x14ac:dyDescent="0.2">
      <c r="A6596">
        <v>0.69801666666666695</v>
      </c>
      <c r="B6596">
        <v>0.89212844990726803</v>
      </c>
      <c r="C6596">
        <v>0.87760797277851899</v>
      </c>
      <c r="D6596">
        <v>0.94320440205801204</v>
      </c>
      <c r="E6596">
        <v>0.93306407957278803</v>
      </c>
    </row>
    <row r="6597" spans="1:5" x14ac:dyDescent="0.2">
      <c r="A6597">
        <v>0.69835000000000003</v>
      </c>
      <c r="B6597">
        <v>0.89226369244562198</v>
      </c>
      <c r="C6597">
        <v>0.87776014245721301</v>
      </c>
      <c r="D6597">
        <v>0.94328120903518797</v>
      </c>
      <c r="E6597">
        <v>0.93316173785177803</v>
      </c>
    </row>
    <row r="6598" spans="1:5" x14ac:dyDescent="0.2">
      <c r="A6598">
        <v>0.69868333333333299</v>
      </c>
      <c r="B6598">
        <v>0.89239889093310198</v>
      </c>
      <c r="C6598">
        <v>0.87791226588684701</v>
      </c>
      <c r="D6598">
        <v>0.94335798391268399</v>
      </c>
      <c r="E6598">
        <v>0.93325935118037595</v>
      </c>
    </row>
    <row r="6599" spans="1:5" x14ac:dyDescent="0.2">
      <c r="A6599">
        <v>0.69901666666666695</v>
      </c>
      <c r="B6599">
        <v>0.89253404540548598</v>
      </c>
      <c r="C6599">
        <v>0.87806434310395798</v>
      </c>
      <c r="D6599">
        <v>0.94343472675244799</v>
      </c>
      <c r="E6599">
        <v>0.93335691952484201</v>
      </c>
    </row>
    <row r="6600" spans="1:5" x14ac:dyDescent="0.2">
      <c r="A6600">
        <v>0.69935000000000003</v>
      </c>
      <c r="B6600">
        <v>0.89266915589855</v>
      </c>
      <c r="C6600">
        <v>0.87821637414508802</v>
      </c>
      <c r="D6600">
        <v>0.94351143761642997</v>
      </c>
      <c r="E6600">
        <v>0.93345444285143298</v>
      </c>
    </row>
    <row r="6601" spans="1:5" x14ac:dyDescent="0.2">
      <c r="A6601">
        <v>0.69968333333333299</v>
      </c>
      <c r="B6601">
        <v>0.892804222448073</v>
      </c>
      <c r="C6601">
        <v>0.87836835904677502</v>
      </c>
      <c r="D6601">
        <v>0.94358811656657904</v>
      </c>
      <c r="E6601">
        <v>0.93355192112640795</v>
      </c>
    </row>
    <row r="6602" spans="1:5" x14ac:dyDescent="0.2">
      <c r="A6602">
        <v>0.70001666666666695</v>
      </c>
      <c r="B6602">
        <v>0.89293924508983102</v>
      </c>
      <c r="C6602">
        <v>0.87852029784555896</v>
      </c>
      <c r="D6602">
        <v>0.94366476366484198</v>
      </c>
      <c r="E6602">
        <v>0.93364935431602503</v>
      </c>
    </row>
    <row r="6603" spans="1:5" x14ac:dyDescent="0.2">
      <c r="A6603">
        <v>0.70035000000000003</v>
      </c>
      <c r="B6603">
        <v>0.89307422385936097</v>
      </c>
      <c r="C6603">
        <v>0.87867219057773904</v>
      </c>
      <c r="D6603">
        <v>0.94374137897317001</v>
      </c>
      <c r="E6603">
        <v>0.93374674238654298</v>
      </c>
    </row>
    <row r="6604" spans="1:5" x14ac:dyDescent="0.2">
      <c r="A6604">
        <v>0.70068333333333299</v>
      </c>
      <c r="B6604">
        <v>0.89320915879137297</v>
      </c>
      <c r="C6604">
        <v>0.878824037278781</v>
      </c>
      <c r="D6604">
        <v>0.94381796255351003</v>
      </c>
      <c r="E6604">
        <v>0.93384408530422003</v>
      </c>
    </row>
    <row r="6605" spans="1:5" x14ac:dyDescent="0.2">
      <c r="A6605">
        <v>0.70101666666666695</v>
      </c>
      <c r="B6605">
        <v>0.89334404992040095</v>
      </c>
      <c r="C6605">
        <v>0.87897583798397505</v>
      </c>
      <c r="D6605">
        <v>0.94389451446781203</v>
      </c>
      <c r="E6605">
        <v>0.93394138303531404</v>
      </c>
    </row>
    <row r="6606" spans="1:5" x14ac:dyDescent="0.2">
      <c r="A6606">
        <v>0.70135000000000003</v>
      </c>
      <c r="B6606">
        <v>0.89347889728097596</v>
      </c>
      <c r="C6606">
        <v>0.87912759272860996</v>
      </c>
      <c r="D6606">
        <v>0.94397103477802402</v>
      </c>
      <c r="E6606">
        <v>0.93403863554608402</v>
      </c>
    </row>
    <row r="6607" spans="1:5" x14ac:dyDescent="0.2">
      <c r="A6607">
        <v>0.70168333333333299</v>
      </c>
      <c r="B6607">
        <v>0.89361370090763104</v>
      </c>
      <c r="C6607">
        <v>0.87927930154797296</v>
      </c>
      <c r="D6607">
        <v>0.944047523546095</v>
      </c>
      <c r="E6607">
        <v>0.93413584280278705</v>
      </c>
    </row>
    <row r="6608" spans="1:5" x14ac:dyDescent="0.2">
      <c r="A6608">
        <v>0.70201666666666696</v>
      </c>
      <c r="B6608">
        <v>0.89374846083489801</v>
      </c>
      <c r="C6608">
        <v>0.87943096447735503</v>
      </c>
      <c r="D6608">
        <v>0.94412398083397298</v>
      </c>
      <c r="E6608">
        <v>0.93423300477168403</v>
      </c>
    </row>
    <row r="6609" spans="1:5" x14ac:dyDescent="0.2">
      <c r="A6609">
        <v>0.70235000000000003</v>
      </c>
      <c r="B6609">
        <v>0.89388317709731002</v>
      </c>
      <c r="C6609">
        <v>0.87958258155204205</v>
      </c>
      <c r="D6609">
        <v>0.94420040670360905</v>
      </c>
      <c r="E6609">
        <v>0.93433012141903105</v>
      </c>
    </row>
    <row r="6610" spans="1:5" x14ac:dyDescent="0.2">
      <c r="A6610">
        <v>0.70268333333333299</v>
      </c>
      <c r="B6610">
        <v>0.89401784972940002</v>
      </c>
      <c r="C6610">
        <v>0.87973415280732603</v>
      </c>
      <c r="D6610">
        <v>0.94427680121695001</v>
      </c>
      <c r="E6610">
        <v>0.93442719271108698</v>
      </c>
    </row>
    <row r="6611" spans="1:5" x14ac:dyDescent="0.2">
      <c r="A6611">
        <v>0.70301666666666696</v>
      </c>
      <c r="B6611">
        <v>0.89415247876569903</v>
      </c>
      <c r="C6611">
        <v>0.87988567827849296</v>
      </c>
      <c r="D6611">
        <v>0.94435316443594497</v>
      </c>
      <c r="E6611">
        <v>0.93452421861411095</v>
      </c>
    </row>
    <row r="6612" spans="1:5" x14ac:dyDescent="0.2">
      <c r="A6612">
        <v>0.70335000000000003</v>
      </c>
      <c r="B6612">
        <v>0.89428706424074</v>
      </c>
      <c r="C6612">
        <v>0.88003715800083304</v>
      </c>
      <c r="D6612">
        <v>0.94442949642254304</v>
      </c>
      <c r="E6612">
        <v>0.93462119909436003</v>
      </c>
    </row>
    <row r="6613" spans="1:5" x14ac:dyDescent="0.2">
      <c r="A6613">
        <v>0.70368333333333299</v>
      </c>
      <c r="B6613">
        <v>0.89442160618905697</v>
      </c>
      <c r="C6613">
        <v>0.88018859200963495</v>
      </c>
      <c r="D6613">
        <v>0.94450579723869199</v>
      </c>
      <c r="E6613">
        <v>0.93471813411809401</v>
      </c>
    </row>
    <row r="6614" spans="1:5" x14ac:dyDescent="0.2">
      <c r="A6614">
        <v>0.70401666666666696</v>
      </c>
      <c r="B6614">
        <v>0.89455610464517998</v>
      </c>
      <c r="C6614">
        <v>0.88033998034018701</v>
      </c>
      <c r="D6614">
        <v>0.94458206694634295</v>
      </c>
      <c r="E6614">
        <v>0.93481502365157099</v>
      </c>
    </row>
    <row r="6615" spans="1:5" x14ac:dyDescent="0.2">
      <c r="A6615">
        <v>0.70435000000000003</v>
      </c>
      <c r="B6615">
        <v>0.89469055964364297</v>
      </c>
      <c r="C6615">
        <v>0.88049132302777799</v>
      </c>
      <c r="D6615">
        <v>0.94465830560744202</v>
      </c>
      <c r="E6615">
        <v>0.93491186766104795</v>
      </c>
    </row>
    <row r="6616" spans="1:5" x14ac:dyDescent="0.2">
      <c r="A6616">
        <v>0.704683333333333</v>
      </c>
      <c r="B6616">
        <v>0.89482497121897797</v>
      </c>
      <c r="C6616">
        <v>0.88064262010769701</v>
      </c>
      <c r="D6616">
        <v>0.94473451328393998</v>
      </c>
      <c r="E6616">
        <v>0.93500866611278499</v>
      </c>
    </row>
    <row r="6617" spans="1:5" x14ac:dyDescent="0.2">
      <c r="A6617">
        <v>0.70501666666666696</v>
      </c>
      <c r="B6617">
        <v>0.89495933940571804</v>
      </c>
      <c r="C6617">
        <v>0.88079387161523204</v>
      </c>
      <c r="D6617">
        <v>0.94481069003778495</v>
      </c>
      <c r="E6617">
        <v>0.93510541897304</v>
      </c>
    </row>
    <row r="6618" spans="1:5" x14ac:dyDescent="0.2">
      <c r="A6618">
        <v>0.70535000000000003</v>
      </c>
      <c r="B6618">
        <v>0.89509366423839498</v>
      </c>
      <c r="C6618">
        <v>0.88094507758567298</v>
      </c>
      <c r="D6618">
        <v>0.94488683593092504</v>
      </c>
      <c r="E6618">
        <v>0.93520212620807097</v>
      </c>
    </row>
    <row r="6619" spans="1:5" x14ac:dyDescent="0.2">
      <c r="A6619">
        <v>0.705683333333333</v>
      </c>
      <c r="B6619">
        <v>0.89522794575154097</v>
      </c>
      <c r="C6619">
        <v>0.88109623805430703</v>
      </c>
      <c r="D6619">
        <v>0.94496295102531003</v>
      </c>
      <c r="E6619">
        <v>0.935298787784136</v>
      </c>
    </row>
    <row r="6620" spans="1:5" x14ac:dyDescent="0.2">
      <c r="A6620">
        <v>0.70601666666666696</v>
      </c>
      <c r="B6620">
        <v>0.89536218397968903</v>
      </c>
      <c r="C6620">
        <v>0.88124735305642499</v>
      </c>
      <c r="D6620">
        <v>0.94503903538288803</v>
      </c>
      <c r="E6620">
        <v>0.93539540366749396</v>
      </c>
    </row>
    <row r="6621" spans="1:5" x14ac:dyDescent="0.2">
      <c r="A6621">
        <v>0.70635000000000003</v>
      </c>
      <c r="B6621">
        <v>0.895496378957372</v>
      </c>
      <c r="C6621">
        <v>0.88139842262731405</v>
      </c>
      <c r="D6621">
        <v>0.94511508906560804</v>
      </c>
      <c r="E6621">
        <v>0.93549197382440297</v>
      </c>
    </row>
    <row r="6622" spans="1:5" x14ac:dyDescent="0.2">
      <c r="A6622">
        <v>0.706683333333333</v>
      </c>
      <c r="B6622">
        <v>0.89563053071912202</v>
      </c>
      <c r="C6622">
        <v>0.88154944680226299</v>
      </c>
      <c r="D6622">
        <v>0.94519111213541895</v>
      </c>
      <c r="E6622">
        <v>0.935588498221122</v>
      </c>
    </row>
    <row r="6623" spans="1:5" x14ac:dyDescent="0.2">
      <c r="A6623">
        <v>0.70701666666666696</v>
      </c>
      <c r="B6623">
        <v>0.89576463929947103</v>
      </c>
      <c r="C6623">
        <v>0.88170042561656103</v>
      </c>
      <c r="D6623">
        <v>0.94526710465427</v>
      </c>
      <c r="E6623">
        <v>0.93568497682390905</v>
      </c>
    </row>
    <row r="6624" spans="1:5" x14ac:dyDescent="0.2">
      <c r="A6624">
        <v>0.70735000000000003</v>
      </c>
      <c r="B6624">
        <v>0.89589870473295197</v>
      </c>
      <c r="C6624">
        <v>0.88185135910549795</v>
      </c>
      <c r="D6624">
        <v>0.94534306668410895</v>
      </c>
      <c r="E6624">
        <v>0.93578140959902201</v>
      </c>
    </row>
    <row r="6625" spans="1:5" x14ac:dyDescent="0.2">
      <c r="A6625">
        <v>0.707683333333333</v>
      </c>
      <c r="B6625">
        <v>0.89603272705409698</v>
      </c>
      <c r="C6625">
        <v>0.88200224730436005</v>
      </c>
      <c r="D6625">
        <v>0.94541899828688503</v>
      </c>
      <c r="E6625">
        <v>0.93587779651271996</v>
      </c>
    </row>
    <row r="6626" spans="1:5" x14ac:dyDescent="0.2">
      <c r="A6626">
        <v>0.70801666666666696</v>
      </c>
      <c r="B6626">
        <v>0.896166706297439</v>
      </c>
      <c r="C6626">
        <v>0.88215309024843802</v>
      </c>
      <c r="D6626">
        <v>0.94549489952454702</v>
      </c>
      <c r="E6626">
        <v>0.93597413753126102</v>
      </c>
    </row>
    <row r="6627" spans="1:5" x14ac:dyDescent="0.2">
      <c r="A6627">
        <v>0.70835000000000004</v>
      </c>
      <c r="B6627">
        <v>0.89630064249750996</v>
      </c>
      <c r="C6627">
        <v>0.88230388797301895</v>
      </c>
      <c r="D6627">
        <v>0.94557077045904403</v>
      </c>
      <c r="E6627">
        <v>0.93607043262090295</v>
      </c>
    </row>
    <row r="6628" spans="1:5" x14ac:dyDescent="0.2">
      <c r="A6628">
        <v>0.708683333333333</v>
      </c>
      <c r="B6628">
        <v>0.89643453568884301</v>
      </c>
      <c r="C6628">
        <v>0.88245464051339395</v>
      </c>
      <c r="D6628">
        <v>0.94564661115232496</v>
      </c>
      <c r="E6628">
        <v>0.93616668174790496</v>
      </c>
    </row>
    <row r="6629" spans="1:5" x14ac:dyDescent="0.2">
      <c r="A6629">
        <v>0.70901666666666696</v>
      </c>
      <c r="B6629">
        <v>0.89656838590596999</v>
      </c>
      <c r="C6629">
        <v>0.88260534790485001</v>
      </c>
      <c r="D6629">
        <v>0.94572242166633702</v>
      </c>
      <c r="E6629">
        <v>0.93626288487852605</v>
      </c>
    </row>
    <row r="6630" spans="1:5" x14ac:dyDescent="0.2">
      <c r="A6630">
        <v>0.70935000000000004</v>
      </c>
      <c r="B6630">
        <v>0.89670219318342403</v>
      </c>
      <c r="C6630">
        <v>0.88275601018267602</v>
      </c>
      <c r="D6630">
        <v>0.945798202063031</v>
      </c>
      <c r="E6630">
        <v>0.93635904197902298</v>
      </c>
    </row>
    <row r="6631" spans="1:5" x14ac:dyDescent="0.2">
      <c r="A6631">
        <v>0.709683333333333</v>
      </c>
      <c r="B6631">
        <v>0.89683595755573697</v>
      </c>
      <c r="C6631">
        <v>0.88290662738216097</v>
      </c>
      <c r="D6631">
        <v>0.94587395240435501</v>
      </c>
      <c r="E6631">
        <v>0.93645515301565396</v>
      </c>
    </row>
    <row r="6632" spans="1:5" x14ac:dyDescent="0.2">
      <c r="A6632">
        <v>0.71001666666666696</v>
      </c>
      <c r="B6632">
        <v>0.89696967905744096</v>
      </c>
      <c r="C6632">
        <v>0.88305719953859396</v>
      </c>
      <c r="D6632">
        <v>0.94594967275225805</v>
      </c>
      <c r="E6632">
        <v>0.93655121795467999</v>
      </c>
    </row>
    <row r="6633" spans="1:5" x14ac:dyDescent="0.2">
      <c r="A6633">
        <v>0.71035000000000004</v>
      </c>
      <c r="B6633">
        <v>0.89710335772281402</v>
      </c>
      <c r="C6633">
        <v>0.88320772668698799</v>
      </c>
      <c r="D6633">
        <v>0.94602536316868802</v>
      </c>
      <c r="E6633">
        <v>0.93664723676235595</v>
      </c>
    </row>
    <row r="6634" spans="1:5" x14ac:dyDescent="0.2">
      <c r="A6634">
        <v>0.710683333333333</v>
      </c>
      <c r="B6634">
        <v>0.897236993585248</v>
      </c>
      <c r="C6634">
        <v>0.88335820886140803</v>
      </c>
      <c r="D6634">
        <v>0.94610102371559401</v>
      </c>
      <c r="E6634">
        <v>0.93674320940494304</v>
      </c>
    </row>
    <row r="6635" spans="1:5" x14ac:dyDescent="0.2">
      <c r="A6635">
        <v>0.71101666666666696</v>
      </c>
      <c r="B6635">
        <v>0.897370586677947</v>
      </c>
      <c r="C6635">
        <v>0.883508646095715</v>
      </c>
      <c r="D6635">
        <v>0.94617665445492505</v>
      </c>
      <c r="E6635">
        <v>0.93683913584869805</v>
      </c>
    </row>
    <row r="6636" spans="1:5" x14ac:dyDescent="0.2">
      <c r="A6636">
        <v>0.71135000000000004</v>
      </c>
      <c r="B6636">
        <v>0.89750413703411702</v>
      </c>
      <c r="C6636">
        <v>0.88365903842377003</v>
      </c>
      <c r="D6636">
        <v>0.94625225544863101</v>
      </c>
      <c r="E6636">
        <v>0.93693501605988005</v>
      </c>
    </row>
    <row r="6637" spans="1:5" x14ac:dyDescent="0.2">
      <c r="A6637">
        <v>0.711683333333333</v>
      </c>
      <c r="B6637">
        <v>0.89763764468696094</v>
      </c>
      <c r="C6637">
        <v>0.88380938587943403</v>
      </c>
      <c r="D6637">
        <v>0.94632782675865801</v>
      </c>
      <c r="E6637">
        <v>0.93703085000474695</v>
      </c>
    </row>
    <row r="6638" spans="1:5" x14ac:dyDescent="0.2">
      <c r="A6638">
        <v>0.71201666666666696</v>
      </c>
      <c r="B6638">
        <v>0.89777110966968199</v>
      </c>
      <c r="C6638">
        <v>0.88395968849656803</v>
      </c>
      <c r="D6638">
        <v>0.94640336844695805</v>
      </c>
      <c r="E6638">
        <v>0.93712663764955695</v>
      </c>
    </row>
    <row r="6639" spans="1:5" x14ac:dyDescent="0.2">
      <c r="A6639">
        <v>0.71235000000000004</v>
      </c>
      <c r="B6639">
        <v>0.89790453201548603</v>
      </c>
      <c r="C6639">
        <v>0.88410994630903394</v>
      </c>
      <c r="D6639">
        <v>0.94647888057547702</v>
      </c>
      <c r="E6639">
        <v>0.93722237896056904</v>
      </c>
    </row>
    <row r="6640" spans="1:5" x14ac:dyDescent="0.2">
      <c r="A6640">
        <v>0.712683333333333</v>
      </c>
      <c r="B6640">
        <v>0.89803791175757597</v>
      </c>
      <c r="C6640">
        <v>0.88426015935069102</v>
      </c>
      <c r="D6640">
        <v>0.94655436320616504</v>
      </c>
      <c r="E6640">
        <v>0.93731807390404198</v>
      </c>
    </row>
    <row r="6641" spans="1:5" x14ac:dyDescent="0.2">
      <c r="A6641">
        <v>0.71301666666666697</v>
      </c>
      <c r="B6641">
        <v>0.89817124892915701</v>
      </c>
      <c r="C6641">
        <v>0.88441032765540195</v>
      </c>
      <c r="D6641">
        <v>0.94662981640097099</v>
      </c>
      <c r="E6641">
        <v>0.937413722446233</v>
      </c>
    </row>
    <row r="6642" spans="1:5" x14ac:dyDescent="0.2">
      <c r="A6642">
        <v>0.71335000000000004</v>
      </c>
      <c r="B6642">
        <v>0.89830454356343203</v>
      </c>
      <c r="C6642">
        <v>0.88456045125702698</v>
      </c>
      <c r="D6642">
        <v>0.94670524022184399</v>
      </c>
      <c r="E6642">
        <v>0.93750932455340097</v>
      </c>
    </row>
    <row r="6643" spans="1:5" x14ac:dyDescent="0.2">
      <c r="A6643">
        <v>0.713683333333333</v>
      </c>
      <c r="B6643">
        <v>0.89843779569360604</v>
      </c>
      <c r="C6643">
        <v>0.88471053018942603</v>
      </c>
      <c r="D6643">
        <v>0.94678063473073204</v>
      </c>
      <c r="E6643">
        <v>0.93760488019180399</v>
      </c>
    </row>
    <row r="6644" spans="1:5" x14ac:dyDescent="0.2">
      <c r="A6644">
        <v>0.71401666666666697</v>
      </c>
      <c r="B6644">
        <v>0.89857100535288204</v>
      </c>
      <c r="C6644">
        <v>0.884860564486463</v>
      </c>
      <c r="D6644">
        <v>0.94685599998958403</v>
      </c>
      <c r="E6644">
        <v>0.93770038932770206</v>
      </c>
    </row>
    <row r="6645" spans="1:5" x14ac:dyDescent="0.2">
      <c r="A6645">
        <v>0.71435000000000004</v>
      </c>
      <c r="B6645">
        <v>0.898704172574465</v>
      </c>
      <c r="C6645">
        <v>0.88501055418199603</v>
      </c>
      <c r="D6645">
        <v>0.94693133606034896</v>
      </c>
      <c r="E6645">
        <v>0.93779585192735104</v>
      </c>
    </row>
    <row r="6646" spans="1:5" x14ac:dyDescent="0.2">
      <c r="A6646">
        <v>0.714683333333333</v>
      </c>
      <c r="B6646">
        <v>0.89883729739155904</v>
      </c>
      <c r="C6646">
        <v>0.88516049930988705</v>
      </c>
      <c r="D6646">
        <v>0.94700664300497595</v>
      </c>
      <c r="E6646">
        <v>0.93789126795701006</v>
      </c>
    </row>
    <row r="6647" spans="1:5" x14ac:dyDescent="0.2">
      <c r="A6647">
        <v>0.71501666666666697</v>
      </c>
      <c r="B6647">
        <v>0.89897037983736705</v>
      </c>
      <c r="C6647">
        <v>0.88531039990399796</v>
      </c>
      <c r="D6647">
        <v>0.94708192088541299</v>
      </c>
      <c r="E6647">
        <v>0.93798663738293897</v>
      </c>
    </row>
    <row r="6648" spans="1:5" x14ac:dyDescent="0.2">
      <c r="A6648">
        <v>0.71535000000000004</v>
      </c>
      <c r="B6648">
        <v>0.89910341994509502</v>
      </c>
      <c r="C6648">
        <v>0.88546025599818901</v>
      </c>
      <c r="D6648">
        <v>0.94715716976360997</v>
      </c>
      <c r="E6648">
        <v>0.938081960171394</v>
      </c>
    </row>
    <row r="6649" spans="1:5" x14ac:dyDescent="0.2">
      <c r="A6649">
        <v>0.715683333333333</v>
      </c>
      <c r="B6649">
        <v>0.89923641774794605</v>
      </c>
      <c r="C6649">
        <v>0.885610067626321</v>
      </c>
      <c r="D6649">
        <v>0.94723238970151402</v>
      </c>
      <c r="E6649">
        <v>0.93817723628863503</v>
      </c>
    </row>
    <row r="6650" spans="1:5" x14ac:dyDescent="0.2">
      <c r="A6650">
        <v>0.71601666666666697</v>
      </c>
      <c r="B6650">
        <v>0.89936937327912403</v>
      </c>
      <c r="C6650">
        <v>0.88575983482225495</v>
      </c>
      <c r="D6650">
        <v>0.94730758076107502</v>
      </c>
      <c r="E6650">
        <v>0.93827246570092004</v>
      </c>
    </row>
    <row r="6651" spans="1:5" x14ac:dyDescent="0.2">
      <c r="A6651">
        <v>0.71635000000000004</v>
      </c>
      <c r="B6651">
        <v>0.89950228657183395</v>
      </c>
      <c r="C6651">
        <v>0.88590955761985202</v>
      </c>
      <c r="D6651">
        <v>0.94738274300424197</v>
      </c>
      <c r="E6651">
        <v>0.93836764837450803</v>
      </c>
    </row>
    <row r="6652" spans="1:5" x14ac:dyDescent="0.2">
      <c r="A6652">
        <v>0.71668333333333301</v>
      </c>
      <c r="B6652">
        <v>0.89963515765927904</v>
      </c>
      <c r="C6652">
        <v>0.88605923605297399</v>
      </c>
      <c r="D6652">
        <v>0.94745787649296398</v>
      </c>
      <c r="E6652">
        <v>0.93846278427565499</v>
      </c>
    </row>
    <row r="6653" spans="1:5" x14ac:dyDescent="0.2">
      <c r="A6653">
        <v>0.71701666666666697</v>
      </c>
      <c r="B6653">
        <v>0.89976798657466295</v>
      </c>
      <c r="C6653">
        <v>0.886208870155481</v>
      </c>
      <c r="D6653">
        <v>0.94753298128918795</v>
      </c>
      <c r="E6653">
        <v>0.93855787337062202</v>
      </c>
    </row>
    <row r="6654" spans="1:5" x14ac:dyDescent="0.2">
      <c r="A6654">
        <v>0.71735000000000004</v>
      </c>
      <c r="B6654">
        <v>0.89990077335119101</v>
      </c>
      <c r="C6654">
        <v>0.88635845996123397</v>
      </c>
      <c r="D6654">
        <v>0.94760805745486498</v>
      </c>
      <c r="E6654">
        <v>0.93865291562566699</v>
      </c>
    </row>
    <row r="6655" spans="1:5" x14ac:dyDescent="0.2">
      <c r="A6655">
        <v>0.71768333333333301</v>
      </c>
      <c r="B6655">
        <v>0.90003351802206699</v>
      </c>
      <c r="C6655">
        <v>0.88650800550409403</v>
      </c>
      <c r="D6655">
        <v>0.94768310505194198</v>
      </c>
      <c r="E6655">
        <v>0.93874791100704702</v>
      </c>
    </row>
    <row r="6656" spans="1:5" x14ac:dyDescent="0.2">
      <c r="A6656">
        <v>0.71801666666666697</v>
      </c>
      <c r="B6656">
        <v>0.90016622062049401</v>
      </c>
      <c r="C6656">
        <v>0.88665750681792299</v>
      </c>
      <c r="D6656">
        <v>0.94775812414236904</v>
      </c>
      <c r="E6656">
        <v>0.93884285948102097</v>
      </c>
    </row>
    <row r="6657" spans="1:5" x14ac:dyDescent="0.2">
      <c r="A6657">
        <v>0.71835000000000004</v>
      </c>
      <c r="B6657">
        <v>0.90029888117967705</v>
      </c>
      <c r="C6657">
        <v>0.88680696393658098</v>
      </c>
      <c r="D6657">
        <v>0.94783311478809396</v>
      </c>
      <c r="E6657">
        <v>0.93893776101384796</v>
      </c>
    </row>
    <row r="6658" spans="1:5" x14ac:dyDescent="0.2">
      <c r="A6658">
        <v>0.71868333333333301</v>
      </c>
      <c r="B6658">
        <v>0.90043149973282</v>
      </c>
      <c r="C6658">
        <v>0.88695637689392903</v>
      </c>
      <c r="D6658">
        <v>0.94790807705106594</v>
      </c>
      <c r="E6658">
        <v>0.93903261557178497</v>
      </c>
    </row>
    <row r="6659" spans="1:5" x14ac:dyDescent="0.2">
      <c r="A6659">
        <v>0.71901666666666697</v>
      </c>
      <c r="B6659">
        <v>0.90056407631312796</v>
      </c>
      <c r="C6659">
        <v>0.88710574572382805</v>
      </c>
      <c r="D6659">
        <v>0.94798301099323501</v>
      </c>
      <c r="E6659">
        <v>0.93912742312109199</v>
      </c>
    </row>
    <row r="6660" spans="1:5" x14ac:dyDescent="0.2">
      <c r="A6660">
        <v>0.71935000000000004</v>
      </c>
      <c r="B6660">
        <v>0.90069661095380305</v>
      </c>
      <c r="C6660">
        <v>0.88725507046013996</v>
      </c>
      <c r="D6660">
        <v>0.94805791667654704</v>
      </c>
      <c r="E6660">
        <v>0.93922218362802601</v>
      </c>
    </row>
    <row r="6661" spans="1:5" x14ac:dyDescent="0.2">
      <c r="A6661">
        <v>0.71968333333333301</v>
      </c>
      <c r="B6661">
        <v>0.90082910368805102</v>
      </c>
      <c r="C6661">
        <v>0.887404351136725</v>
      </c>
      <c r="D6661">
        <v>0.94813279416295404</v>
      </c>
      <c r="E6661">
        <v>0.93931689705884702</v>
      </c>
    </row>
    <row r="6662" spans="1:5" x14ac:dyDescent="0.2">
      <c r="A6662">
        <v>0.72001666666666697</v>
      </c>
      <c r="B6662">
        <v>0.90096155454907501</v>
      </c>
      <c r="C6662">
        <v>0.88755358778744398</v>
      </c>
      <c r="D6662">
        <v>0.94820764351440201</v>
      </c>
      <c r="E6662">
        <v>0.93941156337981102</v>
      </c>
    </row>
    <row r="6663" spans="1:5" x14ac:dyDescent="0.2">
      <c r="A6663">
        <v>0.72035000000000005</v>
      </c>
      <c r="B6663">
        <v>0.90109396356984395</v>
      </c>
      <c r="C6663">
        <v>0.88770278044595896</v>
      </c>
      <c r="D6663">
        <v>0.94828246479284195</v>
      </c>
      <c r="E6663">
        <v>0.93950618255717899</v>
      </c>
    </row>
    <row r="6664" spans="1:5" x14ac:dyDescent="0.2">
      <c r="A6664">
        <v>0.72068333333333301</v>
      </c>
      <c r="B6664">
        <v>0.90122633078251702</v>
      </c>
      <c r="C6664">
        <v>0.88785192914523903</v>
      </c>
      <c r="D6664">
        <v>0.94835725806022197</v>
      </c>
      <c r="E6664">
        <v>0.93960075455720704</v>
      </c>
    </row>
    <row r="6665" spans="1:5" x14ac:dyDescent="0.2">
      <c r="A6665">
        <v>0.72101666666666697</v>
      </c>
      <c r="B6665">
        <v>0.90135865621907796</v>
      </c>
      <c r="C6665">
        <v>0.88800103391810903</v>
      </c>
      <c r="D6665">
        <v>0.94843202337848997</v>
      </c>
      <c r="E6665">
        <v>0.93969527934615504</v>
      </c>
    </row>
    <row r="6666" spans="1:5" x14ac:dyDescent="0.2">
      <c r="A6666">
        <v>0.72135000000000005</v>
      </c>
      <c r="B6666">
        <v>0.90149093991151297</v>
      </c>
      <c r="C6666">
        <v>0.88815009479739004</v>
      </c>
      <c r="D6666">
        <v>0.94850676080959495</v>
      </c>
      <c r="E6666">
        <v>0.93978975689027999</v>
      </c>
    </row>
    <row r="6667" spans="1:5" x14ac:dyDescent="0.2">
      <c r="A6667">
        <v>0.72168333333333301</v>
      </c>
      <c r="B6667">
        <v>0.90162318189180501</v>
      </c>
      <c r="C6667">
        <v>0.88829911181590604</v>
      </c>
      <c r="D6667">
        <v>0.94858147041548702</v>
      </c>
      <c r="E6667">
        <v>0.93988418715584199</v>
      </c>
    </row>
    <row r="6668" spans="1:5" x14ac:dyDescent="0.2">
      <c r="A6668">
        <v>0.72201666666666697</v>
      </c>
      <c r="B6668">
        <v>0.90175538219193896</v>
      </c>
      <c r="C6668">
        <v>0.88844808500647898</v>
      </c>
      <c r="D6668">
        <v>0.94865615225811395</v>
      </c>
      <c r="E6668">
        <v>0.93997857010909902</v>
      </c>
    </row>
    <row r="6669" spans="1:5" x14ac:dyDescent="0.2">
      <c r="A6669">
        <v>0.72235000000000005</v>
      </c>
      <c r="B6669">
        <v>0.90188754084389899</v>
      </c>
      <c r="C6669">
        <v>0.88859701440193195</v>
      </c>
      <c r="D6669">
        <v>0.94873080639942398</v>
      </c>
      <c r="E6669">
        <v>0.94007290571630797</v>
      </c>
    </row>
    <row r="6670" spans="1:5" x14ac:dyDescent="0.2">
      <c r="A6670">
        <v>0.72268333333333301</v>
      </c>
      <c r="B6670">
        <v>0.90201965787966998</v>
      </c>
      <c r="C6670">
        <v>0.88874590003508802</v>
      </c>
      <c r="D6670">
        <v>0.94880543290136699</v>
      </c>
      <c r="E6670">
        <v>0.94016719394372905</v>
      </c>
    </row>
    <row r="6671" spans="1:5" x14ac:dyDescent="0.2">
      <c r="A6671">
        <v>0.72301666666666697</v>
      </c>
      <c r="B6671">
        <v>0.90215173333123599</v>
      </c>
      <c r="C6671">
        <v>0.88889474193876905</v>
      </c>
      <c r="D6671">
        <v>0.94888003182589098</v>
      </c>
      <c r="E6671">
        <v>0.94026143475761903</v>
      </c>
    </row>
    <row r="6672" spans="1:5" x14ac:dyDescent="0.2">
      <c r="A6672">
        <v>0.72335000000000005</v>
      </c>
      <c r="B6672">
        <v>0.90228376723058301</v>
      </c>
      <c r="C6672">
        <v>0.88904354014579901</v>
      </c>
      <c r="D6672">
        <v>0.94895460323494596</v>
      </c>
      <c r="E6672">
        <v>0.94035562812423701</v>
      </c>
    </row>
    <row r="6673" spans="1:5" x14ac:dyDescent="0.2">
      <c r="A6673">
        <v>0.72368333333333301</v>
      </c>
      <c r="B6673">
        <v>0.902415759609694</v>
      </c>
      <c r="C6673">
        <v>0.88919229468899996</v>
      </c>
      <c r="D6673">
        <v>0.94902914719047904</v>
      </c>
      <c r="E6673">
        <v>0.94044977400984198</v>
      </c>
    </row>
    <row r="6674" spans="1:5" x14ac:dyDescent="0.2">
      <c r="A6674">
        <v>0.72401666666666697</v>
      </c>
      <c r="B6674">
        <v>0.90254771050055305</v>
      </c>
      <c r="C6674">
        <v>0.889341005601195</v>
      </c>
      <c r="D6674">
        <v>0.94910366375444</v>
      </c>
      <c r="E6674">
        <v>0.94054387238069104</v>
      </c>
    </row>
    <row r="6675" spans="1:5" x14ac:dyDescent="0.2">
      <c r="A6675">
        <v>0.72435000000000005</v>
      </c>
      <c r="B6675">
        <v>0.902679619935146</v>
      </c>
      <c r="C6675">
        <v>0.88948967291520697</v>
      </c>
      <c r="D6675">
        <v>0.94917815298877795</v>
      </c>
      <c r="E6675">
        <v>0.94063792320304396</v>
      </c>
    </row>
    <row r="6676" spans="1:5" x14ac:dyDescent="0.2">
      <c r="A6676">
        <v>0.72468333333333301</v>
      </c>
      <c r="B6676">
        <v>0.90281148794545696</v>
      </c>
      <c r="C6676">
        <v>0.88963829666385896</v>
      </c>
      <c r="D6676">
        <v>0.94925261495544</v>
      </c>
      <c r="E6676">
        <v>0.94073192644315795</v>
      </c>
    </row>
    <row r="6677" spans="1:5" x14ac:dyDescent="0.2">
      <c r="A6677">
        <v>0.72501666666666698</v>
      </c>
      <c r="B6677">
        <v>0.90294331456346999</v>
      </c>
      <c r="C6677">
        <v>0.88978687687997204</v>
      </c>
      <c r="D6677">
        <v>0.94932704971637705</v>
      </c>
      <c r="E6677">
        <v>0.94082588206729101</v>
      </c>
    </row>
    <row r="6678" spans="1:5" x14ac:dyDescent="0.2">
      <c r="A6678">
        <v>0.72535000000000005</v>
      </c>
      <c r="B6678">
        <v>0.90307509982116996</v>
      </c>
      <c r="C6678">
        <v>0.88993541359637096</v>
      </c>
      <c r="D6678">
        <v>0.94940145733353698</v>
      </c>
      <c r="E6678">
        <v>0.94091979004170301</v>
      </c>
    </row>
    <row r="6679" spans="1:5" x14ac:dyDescent="0.2">
      <c r="A6679">
        <v>0.72568333333333301</v>
      </c>
      <c r="B6679">
        <v>0.90320684375054205</v>
      </c>
      <c r="C6679">
        <v>0.89008390684587702</v>
      </c>
      <c r="D6679">
        <v>0.94947583786886802</v>
      </c>
      <c r="E6679">
        <v>0.94101365033265205</v>
      </c>
    </row>
    <row r="6680" spans="1:5" x14ac:dyDescent="0.2">
      <c r="A6680">
        <v>0.72601666666666698</v>
      </c>
      <c r="B6680">
        <v>0.90333854638356903</v>
      </c>
      <c r="C6680">
        <v>0.89023235666131495</v>
      </c>
      <c r="D6680">
        <v>0.94955019138431995</v>
      </c>
      <c r="E6680">
        <v>0.94110746290639602</v>
      </c>
    </row>
    <row r="6681" spans="1:5" x14ac:dyDescent="0.2">
      <c r="A6681">
        <v>0.72635000000000005</v>
      </c>
      <c r="B6681">
        <v>0.90347020775223597</v>
      </c>
      <c r="C6681">
        <v>0.89038076307550496</v>
      </c>
      <c r="D6681">
        <v>0.949624517941841</v>
      </c>
      <c r="E6681">
        <v>0.94120122772919301</v>
      </c>
    </row>
    <row r="6682" spans="1:5" x14ac:dyDescent="0.2">
      <c r="A6682">
        <v>0.72668333333333301</v>
      </c>
      <c r="B6682">
        <v>0.90360182788852905</v>
      </c>
      <c r="C6682">
        <v>0.890529126121272</v>
      </c>
      <c r="D6682">
        <v>0.94969881760338004</v>
      </c>
      <c r="E6682">
        <v>0.94129494476730102</v>
      </c>
    </row>
    <row r="6683" spans="1:5" x14ac:dyDescent="0.2">
      <c r="A6683">
        <v>0.72701666666666698</v>
      </c>
      <c r="B6683">
        <v>0.90373340682443004</v>
      </c>
      <c r="C6683">
        <v>0.89067744583143804</v>
      </c>
      <c r="D6683">
        <v>0.94977309043088498</v>
      </c>
      <c r="E6683">
        <v>0.94138861398698004</v>
      </c>
    </row>
    <row r="6684" spans="1:5" x14ac:dyDescent="0.2">
      <c r="A6684">
        <v>0.72735000000000005</v>
      </c>
      <c r="B6684">
        <v>0.90386494459192601</v>
      </c>
      <c r="C6684">
        <v>0.89082572223882495</v>
      </c>
      <c r="D6684">
        <v>0.94984733648630604</v>
      </c>
      <c r="E6684">
        <v>0.94148223535448705</v>
      </c>
    </row>
    <row r="6685" spans="1:5" x14ac:dyDescent="0.2">
      <c r="A6685">
        <v>0.72768333333333302</v>
      </c>
      <c r="B6685">
        <v>0.90399644122300005</v>
      </c>
      <c r="C6685">
        <v>0.89097395537625701</v>
      </c>
      <c r="D6685">
        <v>0.94992155583159199</v>
      </c>
      <c r="E6685">
        <v>0.94157580883608105</v>
      </c>
    </row>
    <row r="6686" spans="1:5" x14ac:dyDescent="0.2">
      <c r="A6686">
        <v>0.72801666666666698</v>
      </c>
      <c r="B6686">
        <v>0.90412789674963601</v>
      </c>
      <c r="C6686">
        <v>0.89112214527655698</v>
      </c>
      <c r="D6686">
        <v>0.94999574852868995</v>
      </c>
      <c r="E6686">
        <v>0.94166933439802003</v>
      </c>
    </row>
    <row r="6687" spans="1:5" x14ac:dyDescent="0.2">
      <c r="A6687">
        <v>0.72835000000000005</v>
      </c>
      <c r="B6687">
        <v>0.90425931120381997</v>
      </c>
      <c r="C6687">
        <v>0.89127029197254604</v>
      </c>
      <c r="D6687">
        <v>0.95006991463955104</v>
      </c>
      <c r="E6687">
        <v>0.94176281200656298</v>
      </c>
    </row>
    <row r="6688" spans="1:5" x14ac:dyDescent="0.2">
      <c r="A6688">
        <v>0.72868333333333302</v>
      </c>
      <c r="B6688">
        <v>0.90439068461753602</v>
      </c>
      <c r="C6688">
        <v>0.89141839549704804</v>
      </c>
      <c r="D6688">
        <v>0.95014405422612203</v>
      </c>
      <c r="E6688">
        <v>0.94185624162796799</v>
      </c>
    </row>
    <row r="6689" spans="1:5" x14ac:dyDescent="0.2">
      <c r="A6689">
        <v>0.72901666666666698</v>
      </c>
      <c r="B6689">
        <v>0.90452201702276702</v>
      </c>
      <c r="C6689">
        <v>0.89156645588288597</v>
      </c>
      <c r="D6689">
        <v>0.95021816735035303</v>
      </c>
      <c r="E6689">
        <v>0.94194962322849296</v>
      </c>
    </row>
    <row r="6690" spans="1:5" x14ac:dyDescent="0.2">
      <c r="A6690">
        <v>0.72935000000000005</v>
      </c>
      <c r="B6690">
        <v>0.90465330845150005</v>
      </c>
      <c r="C6690">
        <v>0.89171447316288199</v>
      </c>
      <c r="D6690">
        <v>0.95029225407419204</v>
      </c>
      <c r="E6690">
        <v>0.94204295677439598</v>
      </c>
    </row>
    <row r="6691" spans="1:5" x14ac:dyDescent="0.2">
      <c r="A6691">
        <v>0.72968333333333302</v>
      </c>
      <c r="B6691">
        <v>0.90478455893571796</v>
      </c>
      <c r="C6691">
        <v>0.89186244736985998</v>
      </c>
      <c r="D6691">
        <v>0.95036631445958797</v>
      </c>
      <c r="E6691">
        <v>0.94213624223193704</v>
      </c>
    </row>
    <row r="6692" spans="1:5" x14ac:dyDescent="0.2">
      <c r="A6692">
        <v>0.73001666666666698</v>
      </c>
      <c r="B6692">
        <v>0.90491576850740596</v>
      </c>
      <c r="C6692">
        <v>0.892010378536641</v>
      </c>
      <c r="D6692">
        <v>0.95044034856849002</v>
      </c>
      <c r="E6692">
        <v>0.94222947956737302</v>
      </c>
    </row>
    <row r="6693" spans="1:5" x14ac:dyDescent="0.2">
      <c r="A6693">
        <v>0.73035000000000005</v>
      </c>
      <c r="B6693">
        <v>0.90504693719832996</v>
      </c>
      <c r="C6693">
        <v>0.89215826669579701</v>
      </c>
      <c r="D6693">
        <v>0.95051435646284599</v>
      </c>
      <c r="E6693">
        <v>0.94232266874696302</v>
      </c>
    </row>
    <row r="6694" spans="1:5" x14ac:dyDescent="0.2">
      <c r="A6694">
        <v>0.73068333333333302</v>
      </c>
      <c r="B6694">
        <v>0.90517806503951004</v>
      </c>
      <c r="C6694">
        <v>0.89230611187902897</v>
      </c>
      <c r="D6694">
        <v>0.95058833820460598</v>
      </c>
      <c r="E6694">
        <v>0.94241580973696504</v>
      </c>
    </row>
    <row r="6695" spans="1:5" x14ac:dyDescent="0.2">
      <c r="A6695">
        <v>0.73101666666666698</v>
      </c>
      <c r="B6695">
        <v>0.90530915206180496</v>
      </c>
      <c r="C6695">
        <v>0.89245391411785102</v>
      </c>
      <c r="D6695">
        <v>0.95066229385571799</v>
      </c>
      <c r="E6695">
        <v>0.94250890250363695</v>
      </c>
    </row>
    <row r="6696" spans="1:5" x14ac:dyDescent="0.2">
      <c r="A6696">
        <v>0.73134999999999994</v>
      </c>
      <c r="B6696">
        <v>0.90544019829607003</v>
      </c>
      <c r="C6696">
        <v>0.89260167344377805</v>
      </c>
      <c r="D6696">
        <v>0.95073622347813103</v>
      </c>
      <c r="E6696">
        <v>0.94260194701323796</v>
      </c>
    </row>
    <row r="6697" spans="1:5" x14ac:dyDescent="0.2">
      <c r="A6697">
        <v>0.73168333333333302</v>
      </c>
      <c r="B6697">
        <v>0.90557120377316602</v>
      </c>
      <c r="C6697">
        <v>0.89274938988832397</v>
      </c>
      <c r="D6697">
        <v>0.95081012713379398</v>
      </c>
      <c r="E6697">
        <v>0.94269494323202696</v>
      </c>
    </row>
    <row r="6698" spans="1:5" x14ac:dyDescent="0.2">
      <c r="A6698">
        <v>0.73201666666666698</v>
      </c>
      <c r="B6698">
        <v>0.90570216852394902</v>
      </c>
      <c r="C6698">
        <v>0.89289706348300502</v>
      </c>
      <c r="D6698">
        <v>0.95088400488465497</v>
      </c>
      <c r="E6698">
        <v>0.94278789112626105</v>
      </c>
    </row>
    <row r="6699" spans="1:5" x14ac:dyDescent="0.2">
      <c r="A6699">
        <v>0.73234999999999995</v>
      </c>
      <c r="B6699">
        <v>0.90583309257927802</v>
      </c>
      <c r="C6699">
        <v>0.89304469425933397</v>
      </c>
      <c r="D6699">
        <v>0.95095785679266398</v>
      </c>
      <c r="E6699">
        <v>0.94288079066219899</v>
      </c>
    </row>
    <row r="6700" spans="1:5" x14ac:dyDescent="0.2">
      <c r="A6700">
        <v>0.73268333333333302</v>
      </c>
      <c r="B6700">
        <v>0.90596397597000999</v>
      </c>
      <c r="C6700">
        <v>0.89319228224882696</v>
      </c>
      <c r="D6700">
        <v>0.95103168291976803</v>
      </c>
      <c r="E6700">
        <v>0.94297364180609899</v>
      </c>
    </row>
    <row r="6701" spans="1:5" x14ac:dyDescent="0.2">
      <c r="A6701">
        <v>0.73301666666666698</v>
      </c>
      <c r="B6701">
        <v>0.90609481872700304</v>
      </c>
      <c r="C6701">
        <v>0.89333982748299701</v>
      </c>
      <c r="D6701">
        <v>0.951105483327918</v>
      </c>
      <c r="E6701">
        <v>0.94306644452421995</v>
      </c>
    </row>
    <row r="6702" spans="1:5" x14ac:dyDescent="0.2">
      <c r="A6702">
        <v>0.73334999999999995</v>
      </c>
      <c r="B6702">
        <v>0.90622562088111602</v>
      </c>
      <c r="C6702">
        <v>0.893487329993359</v>
      </c>
      <c r="D6702">
        <v>0.95117925807906101</v>
      </c>
      <c r="E6702">
        <v>0.94315919878282095</v>
      </c>
    </row>
    <row r="6703" spans="1:5" x14ac:dyDescent="0.2">
      <c r="A6703">
        <v>0.73368333333333302</v>
      </c>
      <c r="B6703">
        <v>0.90635638246320605</v>
      </c>
      <c r="C6703">
        <v>0.89363478981142797</v>
      </c>
      <c r="D6703">
        <v>0.95125300723514705</v>
      </c>
      <c r="E6703">
        <v>0.94325190454815799</v>
      </c>
    </row>
    <row r="6704" spans="1:5" x14ac:dyDescent="0.2">
      <c r="A6704">
        <v>0.73401666666666698</v>
      </c>
      <c r="B6704">
        <v>0.90648710350413098</v>
      </c>
      <c r="C6704">
        <v>0.89378220696871902</v>
      </c>
      <c r="D6704">
        <v>0.95132673085812403</v>
      </c>
      <c r="E6704">
        <v>0.94334456178649195</v>
      </c>
    </row>
    <row r="6705" spans="1:5" x14ac:dyDescent="0.2">
      <c r="A6705">
        <v>0.73434999999999995</v>
      </c>
      <c r="B6705">
        <v>0.90661778403475002</v>
      </c>
      <c r="C6705">
        <v>0.89392958149674495</v>
      </c>
      <c r="D6705">
        <v>0.95140042900994104</v>
      </c>
      <c r="E6705">
        <v>0.94343717046407904</v>
      </c>
    </row>
    <row r="6706" spans="1:5" x14ac:dyDescent="0.2">
      <c r="A6706">
        <v>0.73468333333333302</v>
      </c>
      <c r="B6706">
        <v>0.90674842408591905</v>
      </c>
      <c r="C6706">
        <v>0.894076913427022</v>
      </c>
      <c r="D6706">
        <v>0.95147410175254699</v>
      </c>
      <c r="E6706">
        <v>0.94352973054717904</v>
      </c>
    </row>
    <row r="6707" spans="1:5" x14ac:dyDescent="0.2">
      <c r="A6707">
        <v>0.73501666666666698</v>
      </c>
      <c r="B6707">
        <v>0.90687902368849704</v>
      </c>
      <c r="C6707">
        <v>0.89422420279106296</v>
      </c>
      <c r="D6707">
        <v>0.95154774914789098</v>
      </c>
      <c r="E6707">
        <v>0.94362224200205003</v>
      </c>
    </row>
    <row r="6708" spans="1:5" x14ac:dyDescent="0.2">
      <c r="A6708">
        <v>0.73534999999999995</v>
      </c>
      <c r="B6708">
        <v>0.90700958287334299</v>
      </c>
      <c r="C6708">
        <v>0.89437144962038495</v>
      </c>
      <c r="D6708">
        <v>0.95162137125792101</v>
      </c>
      <c r="E6708">
        <v>0.94371470479495101</v>
      </c>
    </row>
    <row r="6709" spans="1:5" x14ac:dyDescent="0.2">
      <c r="A6709">
        <v>0.73568333333333302</v>
      </c>
      <c r="B6709">
        <v>0.90714010167131298</v>
      </c>
      <c r="C6709">
        <v>0.89451865394649999</v>
      </c>
      <c r="D6709">
        <v>0.95169496814458598</v>
      </c>
      <c r="E6709">
        <v>0.94380711889213897</v>
      </c>
    </row>
    <row r="6710" spans="1:5" x14ac:dyDescent="0.2">
      <c r="A6710">
        <v>0.73601666666666699</v>
      </c>
      <c r="B6710">
        <v>0.907270580113266</v>
      </c>
      <c r="C6710">
        <v>0.89466581580092397</v>
      </c>
      <c r="D6710">
        <v>0.95176853986983501</v>
      </c>
      <c r="E6710">
        <v>0.94389948425987302</v>
      </c>
    </row>
    <row r="6711" spans="1:5" x14ac:dyDescent="0.2">
      <c r="A6711">
        <v>0.73634999999999995</v>
      </c>
      <c r="B6711">
        <v>0.90740101823006003</v>
      </c>
      <c r="C6711">
        <v>0.89481293521517102</v>
      </c>
      <c r="D6711">
        <v>0.95184208649561697</v>
      </c>
      <c r="E6711">
        <v>0.94399180086441103</v>
      </c>
    </row>
    <row r="6712" spans="1:5" x14ac:dyDescent="0.2">
      <c r="A6712">
        <v>0.73668333333333302</v>
      </c>
      <c r="B6712">
        <v>0.90753141605255205</v>
      </c>
      <c r="C6712">
        <v>0.89496001222075605</v>
      </c>
      <c r="D6712">
        <v>0.95191560808387998</v>
      </c>
      <c r="E6712">
        <v>0.944084068672012</v>
      </c>
    </row>
    <row r="6713" spans="1:5" x14ac:dyDescent="0.2">
      <c r="A6713">
        <v>0.73701666666666699</v>
      </c>
      <c r="B6713">
        <v>0.90766177361160105</v>
      </c>
      <c r="C6713">
        <v>0.89510704684919296</v>
      </c>
      <c r="D6713">
        <v>0.95198910469657405</v>
      </c>
      <c r="E6713">
        <v>0.94417628764893502</v>
      </c>
    </row>
    <row r="6714" spans="1:5" x14ac:dyDescent="0.2">
      <c r="A6714">
        <v>0.73734999999999995</v>
      </c>
      <c r="B6714">
        <v>0.90779209093806501</v>
      </c>
      <c r="C6714">
        <v>0.89525403913199697</v>
      </c>
      <c r="D6714">
        <v>0.95206257639564695</v>
      </c>
      <c r="E6714">
        <v>0.94426845776143697</v>
      </c>
    </row>
    <row r="6715" spans="1:5" x14ac:dyDescent="0.2">
      <c r="A6715">
        <v>0.73768333333333302</v>
      </c>
      <c r="B6715">
        <v>0.90792236806280102</v>
      </c>
      <c r="C6715">
        <v>0.895400989100682</v>
      </c>
      <c r="D6715">
        <v>0.95213602324304802</v>
      </c>
      <c r="E6715">
        <v>0.94436057897577597</v>
      </c>
    </row>
    <row r="6716" spans="1:5" x14ac:dyDescent="0.2">
      <c r="A6716">
        <v>0.73801666666666699</v>
      </c>
      <c r="B6716">
        <v>0.90805260501666696</v>
      </c>
      <c r="C6716">
        <v>0.89554789678676305</v>
      </c>
      <c r="D6716">
        <v>0.95220944530072504</v>
      </c>
      <c r="E6716">
        <v>0.94445265125821198</v>
      </c>
    </row>
    <row r="6717" spans="1:5" x14ac:dyDescent="0.2">
      <c r="A6717">
        <v>0.73834999999999995</v>
      </c>
      <c r="B6717">
        <v>0.90818280183052202</v>
      </c>
      <c r="C6717">
        <v>0.89569476222175504</v>
      </c>
      <c r="D6717">
        <v>0.95228284263062801</v>
      </c>
      <c r="E6717">
        <v>0.94454467457500302</v>
      </c>
    </row>
    <row r="6718" spans="1:5" x14ac:dyDescent="0.2">
      <c r="A6718">
        <v>0.73868333333333303</v>
      </c>
      <c r="B6718">
        <v>0.90831295853522298</v>
      </c>
      <c r="C6718">
        <v>0.89584158543717196</v>
      </c>
      <c r="D6718">
        <v>0.95235621529470504</v>
      </c>
      <c r="E6718">
        <v>0.94463664889240595</v>
      </c>
    </row>
    <row r="6719" spans="1:5" x14ac:dyDescent="0.2">
      <c r="A6719">
        <v>0.73901666666666699</v>
      </c>
      <c r="B6719">
        <v>0.90844307516162803</v>
      </c>
      <c r="C6719">
        <v>0.89598836646452795</v>
      </c>
      <c r="D6719">
        <v>0.95242956335490603</v>
      </c>
      <c r="E6719">
        <v>0.94472857417668099</v>
      </c>
    </row>
    <row r="6720" spans="1:5" x14ac:dyDescent="0.2">
      <c r="A6720">
        <v>0.73934999999999995</v>
      </c>
      <c r="B6720">
        <v>0.90857315174059605</v>
      </c>
      <c r="C6720">
        <v>0.89613510533533802</v>
      </c>
      <c r="D6720">
        <v>0.95250288687317797</v>
      </c>
      <c r="E6720">
        <v>0.94482045039408602</v>
      </c>
    </row>
    <row r="6721" spans="1:5" x14ac:dyDescent="0.2">
      <c r="A6721">
        <v>0.73968333333333303</v>
      </c>
      <c r="B6721">
        <v>0.90870318830298302</v>
      </c>
      <c r="C6721">
        <v>0.89628180208111696</v>
      </c>
      <c r="D6721">
        <v>0.95257618591147097</v>
      </c>
      <c r="E6721">
        <v>0.94491227751087803</v>
      </c>
    </row>
    <row r="6722" spans="1:5" x14ac:dyDescent="0.2">
      <c r="A6722">
        <v>0.74001666666666699</v>
      </c>
      <c r="B6722">
        <v>0.90883318487964904</v>
      </c>
      <c r="C6722">
        <v>0.89642845673337901</v>
      </c>
      <c r="D6722">
        <v>0.95264946053173305</v>
      </c>
      <c r="E6722">
        <v>0.94500405549331701</v>
      </c>
    </row>
    <row r="6723" spans="1:5" x14ac:dyDescent="0.2">
      <c r="A6723">
        <v>0.74034999999999995</v>
      </c>
      <c r="B6723">
        <v>0.90896314150122604</v>
      </c>
      <c r="C6723">
        <v>0.896575069323433</v>
      </c>
      <c r="D6723">
        <v>0.95272271079591297</v>
      </c>
      <c r="E6723">
        <v>0.94509578430766095</v>
      </c>
    </row>
    <row r="6724" spans="1:5" x14ac:dyDescent="0.2">
      <c r="A6724">
        <v>0.74068333333333303</v>
      </c>
      <c r="B6724">
        <v>0.90909305819757602</v>
      </c>
      <c r="C6724">
        <v>0.89672163988188502</v>
      </c>
      <c r="D6724">
        <v>0.95279593676595997</v>
      </c>
      <c r="E6724">
        <v>0.94518746392016795</v>
      </c>
    </row>
    <row r="6725" spans="1:5" x14ac:dyDescent="0.2">
      <c r="A6725">
        <v>0.74101666666666699</v>
      </c>
      <c r="B6725">
        <v>0.90922293499839302</v>
      </c>
      <c r="C6725">
        <v>0.89686816843918604</v>
      </c>
      <c r="D6725">
        <v>0.95286913850382304</v>
      </c>
      <c r="E6725">
        <v>0.945279094297097</v>
      </c>
    </row>
    <row r="6726" spans="1:5" x14ac:dyDescent="0.2">
      <c r="A6726">
        <v>0.74134999999999995</v>
      </c>
      <c r="B6726">
        <v>0.90935277193337305</v>
      </c>
      <c r="C6726">
        <v>0.89701465502578903</v>
      </c>
      <c r="D6726">
        <v>0.95294231607145097</v>
      </c>
      <c r="E6726">
        <v>0.94537067540470598</v>
      </c>
    </row>
    <row r="6727" spans="1:5" x14ac:dyDescent="0.2">
      <c r="A6727">
        <v>0.74168333333333303</v>
      </c>
      <c r="B6727">
        <v>0.90948256903221003</v>
      </c>
      <c r="C6727">
        <v>0.89716109967214597</v>
      </c>
      <c r="D6727">
        <v>0.95301546953079197</v>
      </c>
      <c r="E6727">
        <v>0.945462207209252</v>
      </c>
    </row>
    <row r="6728" spans="1:5" x14ac:dyDescent="0.2">
      <c r="A6728">
        <v>0.74201666666666699</v>
      </c>
      <c r="B6728">
        <v>0.90961232632459899</v>
      </c>
      <c r="C6728">
        <v>0.89730750240870905</v>
      </c>
      <c r="D6728">
        <v>0.95308859894379505</v>
      </c>
      <c r="E6728">
        <v>0.94555368967699605</v>
      </c>
    </row>
    <row r="6729" spans="1:5" x14ac:dyDescent="0.2">
      <c r="A6729">
        <v>0.74234999999999995</v>
      </c>
      <c r="B6729">
        <v>0.90974204384023605</v>
      </c>
      <c r="C6729">
        <v>0.89745386326593202</v>
      </c>
      <c r="D6729">
        <v>0.95316170437240899</v>
      </c>
      <c r="E6729">
        <v>0.94564512277419499</v>
      </c>
    </row>
    <row r="6730" spans="1:5" x14ac:dyDescent="0.2">
      <c r="A6730">
        <v>0.74268333333333303</v>
      </c>
      <c r="B6730">
        <v>0.90987172160881402</v>
      </c>
      <c r="C6730">
        <v>0.89760018227426497</v>
      </c>
      <c r="D6730">
        <v>0.95323478587858201</v>
      </c>
      <c r="E6730">
        <v>0.94573650646710605</v>
      </c>
    </row>
    <row r="6731" spans="1:5" x14ac:dyDescent="0.2">
      <c r="A6731">
        <v>0.74301666666666699</v>
      </c>
      <c r="B6731">
        <v>0.91000135966002904</v>
      </c>
      <c r="C6731">
        <v>0.89774645946416198</v>
      </c>
      <c r="D6731">
        <v>0.95330784352426401</v>
      </c>
      <c r="E6731">
        <v>0.94582784072199</v>
      </c>
    </row>
    <row r="6732" spans="1:5" x14ac:dyDescent="0.2">
      <c r="A6732">
        <v>0.74334999999999996</v>
      </c>
      <c r="B6732">
        <v>0.91013095802357602</v>
      </c>
      <c r="C6732">
        <v>0.89789269486607504</v>
      </c>
      <c r="D6732">
        <v>0.95338087737140398</v>
      </c>
      <c r="E6732">
        <v>0.94591912550510404</v>
      </c>
    </row>
    <row r="6733" spans="1:5" x14ac:dyDescent="0.2">
      <c r="A6733">
        <v>0.74368333333333303</v>
      </c>
      <c r="B6733">
        <v>0.91026051672914898</v>
      </c>
      <c r="C6733">
        <v>0.89803888851045599</v>
      </c>
      <c r="D6733">
        <v>0.95345388748194904</v>
      </c>
      <c r="E6733">
        <v>0.94601036078270595</v>
      </c>
    </row>
    <row r="6734" spans="1:5" x14ac:dyDescent="0.2">
      <c r="A6734">
        <v>0.74401666666666699</v>
      </c>
      <c r="B6734">
        <v>0.91039003580644395</v>
      </c>
      <c r="C6734">
        <v>0.89818504042775804</v>
      </c>
      <c r="D6734">
        <v>0.95352687391784896</v>
      </c>
      <c r="E6734">
        <v>0.94610154652105605</v>
      </c>
    </row>
    <row r="6735" spans="1:5" x14ac:dyDescent="0.2">
      <c r="A6735">
        <v>0.74434999999999996</v>
      </c>
      <c r="B6735">
        <v>0.91051951528515596</v>
      </c>
      <c r="C6735">
        <v>0.89833115064843305</v>
      </c>
      <c r="D6735">
        <v>0.95359983674105298</v>
      </c>
      <c r="E6735">
        <v>0.94619268268640999</v>
      </c>
    </row>
    <row r="6736" spans="1:5" x14ac:dyDescent="0.2">
      <c r="A6736">
        <v>0.74468333333333303</v>
      </c>
      <c r="B6736">
        <v>0.91064895519497802</v>
      </c>
      <c r="C6736">
        <v>0.898477219202933</v>
      </c>
      <c r="D6736">
        <v>0.95367277601350897</v>
      </c>
      <c r="E6736">
        <v>0.94628376924502799</v>
      </c>
    </row>
    <row r="6737" spans="1:5" x14ac:dyDescent="0.2">
      <c r="A6737">
        <v>0.74501666666666699</v>
      </c>
      <c r="B6737">
        <v>0.91077835556560705</v>
      </c>
      <c r="C6737">
        <v>0.89862324612171196</v>
      </c>
      <c r="D6737">
        <v>0.95374569179716695</v>
      </c>
      <c r="E6737">
        <v>0.94637480616316805</v>
      </c>
    </row>
    <row r="6738" spans="1:5" x14ac:dyDescent="0.2">
      <c r="A6738">
        <v>0.74534999999999996</v>
      </c>
      <c r="B6738">
        <v>0.91090771642673596</v>
      </c>
      <c r="C6738">
        <v>0.89876923143522003</v>
      </c>
      <c r="D6738">
        <v>0.95381858415397403</v>
      </c>
      <c r="E6738">
        <v>0.94646579340708903</v>
      </c>
    </row>
    <row r="6739" spans="1:5" x14ac:dyDescent="0.2">
      <c r="A6739">
        <v>0.74568333333333303</v>
      </c>
      <c r="B6739">
        <v>0.911037037808062</v>
      </c>
      <c r="C6739">
        <v>0.89891517517391095</v>
      </c>
      <c r="D6739">
        <v>0.95389145314587998</v>
      </c>
      <c r="E6739">
        <v>0.94655673094304804</v>
      </c>
    </row>
    <row r="6740" spans="1:5" x14ac:dyDescent="0.2">
      <c r="A6740">
        <v>0.74601666666666699</v>
      </c>
      <c r="B6740">
        <v>0.91116631973927797</v>
      </c>
      <c r="C6740">
        <v>0.89906107736823704</v>
      </c>
      <c r="D6740">
        <v>0.95396429883483402</v>
      </c>
      <c r="E6740">
        <v>0.94664761873730396</v>
      </c>
    </row>
    <row r="6741" spans="1:5" x14ac:dyDescent="0.2">
      <c r="A6741">
        <v>0.74634999999999996</v>
      </c>
      <c r="B6741">
        <v>0.91129556225008002</v>
      </c>
      <c r="C6741">
        <v>0.89920693804865004</v>
      </c>
      <c r="D6741">
        <v>0.95403712128278395</v>
      </c>
      <c r="E6741">
        <v>0.94673845675611601</v>
      </c>
    </row>
    <row r="6742" spans="1:5" x14ac:dyDescent="0.2">
      <c r="A6742">
        <v>0.74668333333333303</v>
      </c>
      <c r="B6742">
        <v>0.91142476537016204</v>
      </c>
      <c r="C6742">
        <v>0.89935275724560204</v>
      </c>
      <c r="D6742">
        <v>0.95410992055167898</v>
      </c>
      <c r="E6742">
        <v>0.94682924496574095</v>
      </c>
    </row>
    <row r="6743" spans="1:5" x14ac:dyDescent="0.2">
      <c r="A6743">
        <v>0.747016666666667</v>
      </c>
      <c r="B6743">
        <v>0.91155392912921995</v>
      </c>
      <c r="C6743">
        <v>0.89949853498954702</v>
      </c>
      <c r="D6743">
        <v>0.954182696703468</v>
      </c>
      <c r="E6743">
        <v>0.94691998333243899</v>
      </c>
    </row>
    <row r="6744" spans="1:5" x14ac:dyDescent="0.2">
      <c r="A6744">
        <v>0.74734999999999996</v>
      </c>
      <c r="B6744">
        <v>0.91168305355694801</v>
      </c>
      <c r="C6744">
        <v>0.89964427131093605</v>
      </c>
      <c r="D6744">
        <v>0.95425544980010002</v>
      </c>
      <c r="E6744">
        <v>0.94701067182246701</v>
      </c>
    </row>
    <row r="6745" spans="1:5" x14ac:dyDescent="0.2">
      <c r="A6745">
        <v>0.74768333333333303</v>
      </c>
      <c r="B6745">
        <v>0.91181213868304101</v>
      </c>
      <c r="C6745">
        <v>0.89978996624022201</v>
      </c>
      <c r="D6745">
        <v>0.95432817990352303</v>
      </c>
      <c r="E6745">
        <v>0.94710131040208401</v>
      </c>
    </row>
    <row r="6746" spans="1:5" x14ac:dyDescent="0.2">
      <c r="A6746">
        <v>0.748016666666667</v>
      </c>
      <c r="B6746">
        <v>0.91194118453719397</v>
      </c>
      <c r="C6746">
        <v>0.89993561980785697</v>
      </c>
      <c r="D6746">
        <v>0.95440088707568704</v>
      </c>
      <c r="E6746">
        <v>0.94719189903754897</v>
      </c>
    </row>
    <row r="6747" spans="1:5" x14ac:dyDescent="0.2">
      <c r="A6747">
        <v>0.74834999999999996</v>
      </c>
      <c r="B6747">
        <v>0.91207019114910204</v>
      </c>
      <c r="C6747">
        <v>0.90008123204429402</v>
      </c>
      <c r="D6747">
        <v>0.95447357137853905</v>
      </c>
      <c r="E6747">
        <v>0.947282437695119</v>
      </c>
    </row>
    <row r="6748" spans="1:5" x14ac:dyDescent="0.2">
      <c r="A6748">
        <v>0.74868333333333303</v>
      </c>
      <c r="B6748">
        <v>0.91219915854846001</v>
      </c>
      <c r="C6748">
        <v>0.90022680297998403</v>
      </c>
      <c r="D6748">
        <v>0.95454623287402995</v>
      </c>
      <c r="E6748">
        <v>0.94737292634105297</v>
      </c>
    </row>
    <row r="6749" spans="1:5" x14ac:dyDescent="0.2">
      <c r="A6749">
        <v>0.749016666666667</v>
      </c>
      <c r="B6749">
        <v>0.91232808676496202</v>
      </c>
      <c r="C6749">
        <v>0.90037233264538097</v>
      </c>
      <c r="D6749">
        <v>0.95461887162410697</v>
      </c>
      <c r="E6749">
        <v>0.94746336494160899</v>
      </c>
    </row>
    <row r="6750" spans="1:5" x14ac:dyDescent="0.2">
      <c r="A6750">
        <v>0.74934999999999996</v>
      </c>
      <c r="B6750">
        <v>0.91245697582830498</v>
      </c>
      <c r="C6750">
        <v>0.90051782107093603</v>
      </c>
      <c r="D6750">
        <v>0.95469148769071899</v>
      </c>
      <c r="E6750">
        <v>0.94755375346304604</v>
      </c>
    </row>
    <row r="6751" spans="1:5" x14ac:dyDescent="0.2">
      <c r="A6751">
        <v>0.74968333333333304</v>
      </c>
      <c r="B6751">
        <v>0.91258582576818104</v>
      </c>
      <c r="C6751">
        <v>0.90066326828710197</v>
      </c>
      <c r="D6751">
        <v>0.95476408113581601</v>
      </c>
      <c r="E6751">
        <v>0.94764409187162302</v>
      </c>
    </row>
    <row r="6752" spans="1:5" x14ac:dyDescent="0.2">
      <c r="A6752">
        <v>0.750016666666667</v>
      </c>
      <c r="B6752">
        <v>0.91271463661428698</v>
      </c>
      <c r="C6752">
        <v>0.90080867432433198</v>
      </c>
      <c r="D6752">
        <v>0.95483665202134504</v>
      </c>
      <c r="E6752">
        <v>0.94773438013359701</v>
      </c>
    </row>
    <row r="6753" spans="1:5" x14ac:dyDescent="0.2">
      <c r="A6753">
        <v>0.75034999999999996</v>
      </c>
      <c r="B6753">
        <v>0.91284340839614497</v>
      </c>
      <c r="C6753">
        <v>0.90095403921290595</v>
      </c>
      <c r="D6753">
        <v>0.95490920040925598</v>
      </c>
      <c r="E6753">
        <v>0.94782461821522701</v>
      </c>
    </row>
    <row r="6754" spans="1:5" x14ac:dyDescent="0.2">
      <c r="A6754">
        <v>0.75068333333333304</v>
      </c>
      <c r="B6754">
        <v>0.91297214114269098</v>
      </c>
      <c r="C6754">
        <v>0.90109936298251603</v>
      </c>
      <c r="D6754">
        <v>0.95498172636149803</v>
      </c>
      <c r="E6754">
        <v>0.94791480608277101</v>
      </c>
    </row>
    <row r="6755" spans="1:5" x14ac:dyDescent="0.2">
      <c r="A6755">
        <v>0.751016666666667</v>
      </c>
      <c r="B6755">
        <v>0.91310083488272997</v>
      </c>
      <c r="C6755">
        <v>0.90124464566272799</v>
      </c>
      <c r="D6755">
        <v>0.95505422994001898</v>
      </c>
      <c r="E6755">
        <v>0.948004943702487</v>
      </c>
    </row>
    <row r="6756" spans="1:5" x14ac:dyDescent="0.2">
      <c r="A6756">
        <v>0.75134999999999996</v>
      </c>
      <c r="B6756">
        <v>0.91322948964507</v>
      </c>
      <c r="C6756">
        <v>0.90138988728310498</v>
      </c>
      <c r="D6756">
        <v>0.95512671120676895</v>
      </c>
      <c r="E6756">
        <v>0.94809503104063497</v>
      </c>
    </row>
    <row r="6757" spans="1:5" x14ac:dyDescent="0.2">
      <c r="A6757">
        <v>0.75168333333333304</v>
      </c>
      <c r="B6757">
        <v>0.91335810545851703</v>
      </c>
      <c r="C6757">
        <v>0.90153508787321301</v>
      </c>
      <c r="D6757">
        <v>0.95519917022369505</v>
      </c>
      <c r="E6757">
        <v>0.94818506806347203</v>
      </c>
    </row>
    <row r="6758" spans="1:5" x14ac:dyDescent="0.2">
      <c r="A6758">
        <v>0.752016666666667</v>
      </c>
      <c r="B6758">
        <v>0.91348668235188002</v>
      </c>
      <c r="C6758">
        <v>0.90168024746261699</v>
      </c>
      <c r="D6758">
        <v>0.95527160705274705</v>
      </c>
      <c r="E6758">
        <v>0.94827505473725704</v>
      </c>
    </row>
    <row r="6759" spans="1:5" x14ac:dyDescent="0.2">
      <c r="A6759">
        <v>0.75234999999999996</v>
      </c>
      <c r="B6759">
        <v>0.91361522035396403</v>
      </c>
      <c r="C6759">
        <v>0.90182536608088104</v>
      </c>
      <c r="D6759">
        <v>0.95534402175587296</v>
      </c>
      <c r="E6759">
        <v>0.94836499102824801</v>
      </c>
    </row>
    <row r="6760" spans="1:5" x14ac:dyDescent="0.2">
      <c r="A6760">
        <v>0.75268333333333304</v>
      </c>
      <c r="B6760">
        <v>0.91374371949357702</v>
      </c>
      <c r="C6760">
        <v>0.90197044375757096</v>
      </c>
      <c r="D6760">
        <v>0.95541641439502301</v>
      </c>
      <c r="E6760">
        <v>0.94845487690270303</v>
      </c>
    </row>
    <row r="6761" spans="1:5" x14ac:dyDescent="0.2">
      <c r="A6761">
        <v>0.753016666666667</v>
      </c>
      <c r="B6761">
        <v>0.91387217979952595</v>
      </c>
      <c r="C6761">
        <v>0.90211548052225099</v>
      </c>
      <c r="D6761">
        <v>0.95548878503214396</v>
      </c>
      <c r="E6761">
        <v>0.94854471232688098</v>
      </c>
    </row>
    <row r="6762" spans="1:5" x14ac:dyDescent="0.2">
      <c r="A6762">
        <v>0.75334999999999996</v>
      </c>
      <c r="B6762">
        <v>0.914000601300617</v>
      </c>
      <c r="C6762">
        <v>0.90226047640448503</v>
      </c>
      <c r="D6762">
        <v>0.95556113372918705</v>
      </c>
      <c r="E6762">
        <v>0.94863449726703997</v>
      </c>
    </row>
    <row r="6763" spans="1:5" x14ac:dyDescent="0.2">
      <c r="A6763">
        <v>0.75368333333333304</v>
      </c>
      <c r="B6763">
        <v>0.91412898402565801</v>
      </c>
      <c r="C6763">
        <v>0.90240543143384</v>
      </c>
      <c r="D6763">
        <v>0.95563346054809895</v>
      </c>
      <c r="E6763">
        <v>0.94872423168943898</v>
      </c>
    </row>
    <row r="6764" spans="1:5" x14ac:dyDescent="0.2">
      <c r="A6764">
        <v>0.754016666666667</v>
      </c>
      <c r="B6764">
        <v>0.91425732800345605</v>
      </c>
      <c r="C6764">
        <v>0.90255034563988001</v>
      </c>
      <c r="D6764">
        <v>0.95570576555082898</v>
      </c>
      <c r="E6764">
        <v>0.94881391556033601</v>
      </c>
    </row>
    <row r="6765" spans="1:5" x14ac:dyDescent="0.2">
      <c r="A6765">
        <v>0.75434999999999997</v>
      </c>
      <c r="B6765">
        <v>0.91438563326281697</v>
      </c>
      <c r="C6765">
        <v>0.90269521905216998</v>
      </c>
      <c r="D6765">
        <v>0.95577804879932704</v>
      </c>
      <c r="E6765">
        <v>0.94890354884598904</v>
      </c>
    </row>
    <row r="6766" spans="1:5" x14ac:dyDescent="0.2">
      <c r="A6766">
        <v>0.75468333333333304</v>
      </c>
      <c r="B6766">
        <v>0.91451389983254905</v>
      </c>
      <c r="C6766">
        <v>0.90284005170027304</v>
      </c>
      <c r="D6766">
        <v>0.95585031035554102</v>
      </c>
      <c r="E6766">
        <v>0.94899313151265696</v>
      </c>
    </row>
    <row r="6767" spans="1:5" x14ac:dyDescent="0.2">
      <c r="A6767">
        <v>0.755016666666667</v>
      </c>
      <c r="B6767">
        <v>0.91464212774145903</v>
      </c>
      <c r="C6767">
        <v>0.90298484361375697</v>
      </c>
      <c r="D6767">
        <v>0.95592255028141904</v>
      </c>
      <c r="E6767">
        <v>0.94908266352659698</v>
      </c>
    </row>
    <row r="6768" spans="1:5" x14ac:dyDescent="0.2">
      <c r="A6768">
        <v>0.75534999999999997</v>
      </c>
      <c r="B6768">
        <v>0.91477031701835299</v>
      </c>
      <c r="C6768">
        <v>0.90312959482218402</v>
      </c>
      <c r="D6768">
        <v>0.95599476863891097</v>
      </c>
      <c r="E6768">
        <v>0.94917214485406998</v>
      </c>
    </row>
    <row r="6769" spans="1:5" x14ac:dyDescent="0.2">
      <c r="A6769">
        <v>0.75568333333333304</v>
      </c>
      <c r="B6769">
        <v>0.91489846769203997</v>
      </c>
      <c r="C6769">
        <v>0.90327430535512099</v>
      </c>
      <c r="D6769">
        <v>0.95606696548996495</v>
      </c>
      <c r="E6769">
        <v>0.94926157546133205</v>
      </c>
    </row>
    <row r="6770" spans="1:5" x14ac:dyDescent="0.2">
      <c r="A6770">
        <v>0.756016666666667</v>
      </c>
      <c r="B6770">
        <v>0.91502657979132396</v>
      </c>
      <c r="C6770">
        <v>0.90341897524213199</v>
      </c>
      <c r="D6770">
        <v>0.95613914089653096</v>
      </c>
      <c r="E6770">
        <v>0.94935095531464198</v>
      </c>
    </row>
    <row r="6771" spans="1:5" x14ac:dyDescent="0.2">
      <c r="A6771">
        <v>0.75634999999999997</v>
      </c>
      <c r="B6771">
        <v>0.915154653345015</v>
      </c>
      <c r="C6771">
        <v>0.90356360451278095</v>
      </c>
      <c r="D6771">
        <v>0.95621129492055601</v>
      </c>
      <c r="E6771">
        <v>0.94944028438025796</v>
      </c>
    </row>
    <row r="6772" spans="1:5" x14ac:dyDescent="0.2">
      <c r="A6772">
        <v>0.75668333333333304</v>
      </c>
      <c r="B6772">
        <v>0.91528268838191795</v>
      </c>
      <c r="C6772">
        <v>0.90370819319663498</v>
      </c>
      <c r="D6772">
        <v>0.95628342762398999</v>
      </c>
      <c r="E6772">
        <v>0.94952956262443999</v>
      </c>
    </row>
    <row r="6773" spans="1:5" x14ac:dyDescent="0.2">
      <c r="A6773">
        <v>0.757016666666667</v>
      </c>
      <c r="B6773">
        <v>0.91541068493084099</v>
      </c>
      <c r="C6773">
        <v>0.90385274132325599</v>
      </c>
      <c r="D6773">
        <v>0.95635553906878101</v>
      </c>
      <c r="E6773">
        <v>0.94961879001344496</v>
      </c>
    </row>
    <row r="6774" spans="1:5" x14ac:dyDescent="0.2">
      <c r="A6774">
        <v>0.75734999999999997</v>
      </c>
      <c r="B6774">
        <v>0.91553864302058996</v>
      </c>
      <c r="C6774">
        <v>0.90399724892221101</v>
      </c>
      <c r="D6774">
        <v>0.95642762931687897</v>
      </c>
      <c r="E6774">
        <v>0.94970796651353095</v>
      </c>
    </row>
    <row r="6775" spans="1:5" x14ac:dyDescent="0.2">
      <c r="A6775">
        <v>0.75768333333333304</v>
      </c>
      <c r="B6775">
        <v>0.91566656267997304</v>
      </c>
      <c r="C6775">
        <v>0.90414171602306503</v>
      </c>
      <c r="D6775">
        <v>0.95649969843023197</v>
      </c>
      <c r="E6775">
        <v>0.94979709209095697</v>
      </c>
    </row>
    <row r="6776" spans="1:5" x14ac:dyDescent="0.2">
      <c r="A6776">
        <v>0.75801666666666701</v>
      </c>
      <c r="B6776">
        <v>0.91579444393779696</v>
      </c>
      <c r="C6776">
        <v>0.90428614265538199</v>
      </c>
      <c r="D6776">
        <v>0.95657174647078802</v>
      </c>
      <c r="E6776">
        <v>0.94988616671198201</v>
      </c>
    </row>
    <row r="6777" spans="1:5" x14ac:dyDescent="0.2">
      <c r="A6777">
        <v>0.75834999999999997</v>
      </c>
      <c r="B6777">
        <v>0.91592228682286803</v>
      </c>
      <c r="C6777">
        <v>0.90443052884872599</v>
      </c>
      <c r="D6777">
        <v>0.95664377350049801</v>
      </c>
      <c r="E6777">
        <v>0.94997519034286304</v>
      </c>
    </row>
    <row r="6778" spans="1:5" x14ac:dyDescent="0.2">
      <c r="A6778">
        <v>0.75868333333333304</v>
      </c>
      <c r="B6778">
        <v>0.91605009136399396</v>
      </c>
      <c r="C6778">
        <v>0.90457487463266395</v>
      </c>
      <c r="D6778">
        <v>0.95671577958130805</v>
      </c>
      <c r="E6778">
        <v>0.95006416294985996</v>
      </c>
    </row>
    <row r="6779" spans="1:5" x14ac:dyDescent="0.2">
      <c r="A6779">
        <v>0.75901666666666701</v>
      </c>
      <c r="B6779">
        <v>0.91617785758998105</v>
      </c>
      <c r="C6779">
        <v>0.904719180036759</v>
      </c>
      <c r="D6779">
        <v>0.95678776477516903</v>
      </c>
      <c r="E6779">
        <v>0.95015308449922997</v>
      </c>
    </row>
    <row r="6780" spans="1:5" x14ac:dyDescent="0.2">
      <c r="A6780">
        <v>0.75934999999999997</v>
      </c>
      <c r="B6780">
        <v>0.91630558552963703</v>
      </c>
      <c r="C6780">
        <v>0.90486344509057703</v>
      </c>
      <c r="D6780">
        <v>0.95685972914402895</v>
      </c>
      <c r="E6780">
        <v>0.95024195495723196</v>
      </c>
    </row>
    <row r="6781" spans="1:5" x14ac:dyDescent="0.2">
      <c r="A6781">
        <v>0.75968333333333304</v>
      </c>
      <c r="B6781">
        <v>0.91643327521176898</v>
      </c>
      <c r="C6781">
        <v>0.90500766982368197</v>
      </c>
      <c r="D6781">
        <v>0.95693167274983604</v>
      </c>
      <c r="E6781">
        <v>0.95033077429012303</v>
      </c>
    </row>
    <row r="6782" spans="1:5" x14ac:dyDescent="0.2">
      <c r="A6782">
        <v>0.76001666666666701</v>
      </c>
      <c r="B6782">
        <v>0.91656092666518296</v>
      </c>
      <c r="C6782">
        <v>0.90515185426563904</v>
      </c>
      <c r="D6782">
        <v>0.95700359565453497</v>
      </c>
      <c r="E6782">
        <v>0.95041954246416405</v>
      </c>
    </row>
    <row r="6783" spans="1:5" x14ac:dyDescent="0.2">
      <c r="A6783">
        <v>0.76034999999999997</v>
      </c>
      <c r="B6783">
        <v>0.91668853991843902</v>
      </c>
      <c r="C6783">
        <v>0.90529599844574604</v>
      </c>
      <c r="D6783">
        <v>0.95707549786632695</v>
      </c>
      <c r="E6783">
        <v>0.95050825944561201</v>
      </c>
    </row>
    <row r="6784" spans="1:5" x14ac:dyDescent="0.2">
      <c r="A6784">
        <v>0.76068333333333304</v>
      </c>
      <c r="B6784">
        <v>0.91681611499924198</v>
      </c>
      <c r="C6784">
        <v>0.90544010239237804</v>
      </c>
      <c r="D6784">
        <v>0.95714737920832405</v>
      </c>
      <c r="E6784">
        <v>0.95059692520072403</v>
      </c>
    </row>
    <row r="6785" spans="1:5" x14ac:dyDescent="0.2">
      <c r="A6785">
        <v>0.76101666666666701</v>
      </c>
      <c r="B6785">
        <v>0.91694365193511296</v>
      </c>
      <c r="C6785">
        <v>0.90558416613371195</v>
      </c>
      <c r="D6785">
        <v>0.95721923946382104</v>
      </c>
      <c r="E6785">
        <v>0.95068553969576097</v>
      </c>
    </row>
    <row r="6786" spans="1:5" x14ac:dyDescent="0.2">
      <c r="A6786">
        <v>0.76134999999999997</v>
      </c>
      <c r="B6786">
        <v>0.91707115075357404</v>
      </c>
      <c r="C6786">
        <v>0.90572818969792501</v>
      </c>
      <c r="D6786">
        <v>0.95729107841611005</v>
      </c>
      <c r="E6786">
        <v>0.95077410289697895</v>
      </c>
    </row>
    <row r="6787" spans="1:5" x14ac:dyDescent="0.2">
      <c r="A6787">
        <v>0.76168333333333305</v>
      </c>
      <c r="B6787">
        <v>0.91719861148214699</v>
      </c>
      <c r="C6787">
        <v>0.90587217311319401</v>
      </c>
      <c r="D6787">
        <v>0.957362895848484</v>
      </c>
      <c r="E6787">
        <v>0.95086261477063805</v>
      </c>
    </row>
    <row r="6788" spans="1:5" x14ac:dyDescent="0.2">
      <c r="A6788">
        <v>0.76201666666666701</v>
      </c>
      <c r="B6788">
        <v>0.91732603414835401</v>
      </c>
      <c r="C6788">
        <v>0.90601611640769597</v>
      </c>
      <c r="D6788">
        <v>0.95743469154423599</v>
      </c>
      <c r="E6788">
        <v>0.95095107528299605</v>
      </c>
    </row>
    <row r="6789" spans="1:5" x14ac:dyDescent="0.2">
      <c r="A6789">
        <v>0.76234999999999997</v>
      </c>
      <c r="B6789">
        <v>0.91745341877971498</v>
      </c>
      <c r="C6789">
        <v>0.90616001960960801</v>
      </c>
      <c r="D6789">
        <v>0.95750646528665995</v>
      </c>
      <c r="E6789">
        <v>0.95103948440031105</v>
      </c>
    </row>
    <row r="6790" spans="1:5" x14ac:dyDescent="0.2">
      <c r="A6790">
        <v>0.76268333333333305</v>
      </c>
      <c r="B6790">
        <v>0.917580765403752</v>
      </c>
      <c r="C6790">
        <v>0.90630388274710805</v>
      </c>
      <c r="D6790">
        <v>0.95757821685904898</v>
      </c>
      <c r="E6790">
        <v>0.95112784208884105</v>
      </c>
    </row>
    <row r="6791" spans="1:5" x14ac:dyDescent="0.2">
      <c r="A6791">
        <v>0.76301666666666701</v>
      </c>
      <c r="B6791">
        <v>0.91770807404798804</v>
      </c>
      <c r="C6791">
        <v>0.90644770584837098</v>
      </c>
      <c r="D6791">
        <v>0.957649946044696</v>
      </c>
      <c r="E6791">
        <v>0.95121614831484502</v>
      </c>
    </row>
    <row r="6792" spans="1:5" x14ac:dyDescent="0.2">
      <c r="A6792">
        <v>0.76334999999999997</v>
      </c>
      <c r="B6792">
        <v>0.91783534473994299</v>
      </c>
      <c r="C6792">
        <v>0.90659148894157704</v>
      </c>
      <c r="D6792">
        <v>0.95772165262689402</v>
      </c>
      <c r="E6792">
        <v>0.95130440304458197</v>
      </c>
    </row>
    <row r="6793" spans="1:5" x14ac:dyDescent="0.2">
      <c r="A6793">
        <v>0.76368333333333305</v>
      </c>
      <c r="B6793">
        <v>0.91796257750714005</v>
      </c>
      <c r="C6793">
        <v>0.90673523205490103</v>
      </c>
      <c r="D6793">
        <v>0.95779333638893605</v>
      </c>
      <c r="E6793">
        <v>0.95139260624430899</v>
      </c>
    </row>
    <row r="6794" spans="1:5" x14ac:dyDescent="0.2">
      <c r="A6794">
        <v>0.76401666666666701</v>
      </c>
      <c r="B6794">
        <v>0.91808977237709899</v>
      </c>
      <c r="C6794">
        <v>0.90687893521651997</v>
      </c>
      <c r="D6794">
        <v>0.95786499711411599</v>
      </c>
      <c r="E6794">
        <v>0.95148075788028497</v>
      </c>
    </row>
    <row r="6795" spans="1:5" x14ac:dyDescent="0.2">
      <c r="A6795">
        <v>0.76434999999999997</v>
      </c>
      <c r="B6795">
        <v>0.91821692937734301</v>
      </c>
      <c r="C6795">
        <v>0.90702259845461297</v>
      </c>
      <c r="D6795">
        <v>0.95793663458572598</v>
      </c>
      <c r="E6795">
        <v>0.951568857918768</v>
      </c>
    </row>
    <row r="6796" spans="1:5" x14ac:dyDescent="0.2">
      <c r="A6796">
        <v>0.76468333333333305</v>
      </c>
      <c r="B6796">
        <v>0.91834404853539198</v>
      </c>
      <c r="C6796">
        <v>0.90716622179735495</v>
      </c>
      <c r="D6796">
        <v>0.95800824858706102</v>
      </c>
      <c r="E6796">
        <v>0.95165690632601696</v>
      </c>
    </row>
    <row r="6797" spans="1:5" x14ac:dyDescent="0.2">
      <c r="A6797">
        <v>0.76501666666666701</v>
      </c>
      <c r="B6797">
        <v>0.91847112987877</v>
      </c>
      <c r="C6797">
        <v>0.90730980527292304</v>
      </c>
      <c r="D6797">
        <v>0.95807983890141202</v>
      </c>
      <c r="E6797">
        <v>0.95174490306829096</v>
      </c>
    </row>
    <row r="6798" spans="1:5" x14ac:dyDescent="0.2">
      <c r="A6798">
        <v>0.76534999999999997</v>
      </c>
      <c r="B6798">
        <v>0.91859817343499595</v>
      </c>
      <c r="C6798">
        <v>0.90745334890949603</v>
      </c>
      <c r="D6798">
        <v>0.95815140531207299</v>
      </c>
      <c r="E6798">
        <v>0.95183284811184599</v>
      </c>
    </row>
    <row r="6799" spans="1:5" x14ac:dyDescent="0.2">
      <c r="A6799">
        <v>0.76568333333333305</v>
      </c>
      <c r="B6799">
        <v>0.91872517923159303</v>
      </c>
      <c r="C6799">
        <v>0.90759685273525004</v>
      </c>
      <c r="D6799">
        <v>0.95822294760233795</v>
      </c>
      <c r="E6799">
        <v>0.95192074142294303</v>
      </c>
    </row>
    <row r="6800" spans="1:5" x14ac:dyDescent="0.2">
      <c r="A6800">
        <v>0.76601666666666701</v>
      </c>
      <c r="B6800">
        <v>0.918852147296083</v>
      </c>
      <c r="C6800">
        <v>0.90774031677836198</v>
      </c>
      <c r="D6800">
        <v>0.95829446555550002</v>
      </c>
      <c r="E6800">
        <v>0.95200858296783897</v>
      </c>
    </row>
    <row r="6801" spans="1:5" x14ac:dyDescent="0.2">
      <c r="A6801">
        <v>0.76634999999999998</v>
      </c>
      <c r="B6801">
        <v>0.91897907765598696</v>
      </c>
      <c r="C6801">
        <v>0.90788374106700898</v>
      </c>
      <c r="D6801">
        <v>0.95836595895485099</v>
      </c>
      <c r="E6801">
        <v>0.95209637271279202</v>
      </c>
    </row>
    <row r="6802" spans="1:5" x14ac:dyDescent="0.2">
      <c r="A6802">
        <v>0.76668333333333305</v>
      </c>
      <c r="B6802">
        <v>0.91910597033882602</v>
      </c>
      <c r="C6802">
        <v>0.90802712562936805</v>
      </c>
      <c r="D6802">
        <v>0.958437427583685</v>
      </c>
      <c r="E6802">
        <v>0.95218411062406105</v>
      </c>
    </row>
    <row r="6803" spans="1:5" x14ac:dyDescent="0.2">
      <c r="A6803">
        <v>0.76701666666666701</v>
      </c>
      <c r="B6803">
        <v>0.91923282537212203</v>
      </c>
      <c r="C6803">
        <v>0.90817047049361599</v>
      </c>
      <c r="D6803">
        <v>0.95850887122529504</v>
      </c>
      <c r="E6803">
        <v>0.95227179666790496</v>
      </c>
    </row>
    <row r="6804" spans="1:5" x14ac:dyDescent="0.2">
      <c r="A6804">
        <v>0.76734999999999998</v>
      </c>
      <c r="B6804">
        <v>0.91935964278339799</v>
      </c>
      <c r="C6804">
        <v>0.90831377568793104</v>
      </c>
      <c r="D6804">
        <v>0.95858028966297404</v>
      </c>
      <c r="E6804">
        <v>0.95235943081058105</v>
      </c>
    </row>
    <row r="6805" spans="1:5" x14ac:dyDescent="0.2">
      <c r="A6805">
        <v>0.76768333333333305</v>
      </c>
      <c r="B6805">
        <v>0.91948642260017299</v>
      </c>
      <c r="C6805">
        <v>0.90845704124048998</v>
      </c>
      <c r="D6805">
        <v>0.95865168268001599</v>
      </c>
      <c r="E6805">
        <v>0.952447013018348</v>
      </c>
    </row>
    <row r="6806" spans="1:5" x14ac:dyDescent="0.2">
      <c r="A6806">
        <v>0.76801666666666701</v>
      </c>
      <c r="B6806">
        <v>0.91961316484997102</v>
      </c>
      <c r="C6806">
        <v>0.90860026717946796</v>
      </c>
      <c r="D6806">
        <v>0.95872305005971303</v>
      </c>
      <c r="E6806">
        <v>0.95253454325746501</v>
      </c>
    </row>
    <row r="6807" spans="1:5" x14ac:dyDescent="0.2">
      <c r="A6807">
        <v>0.76834999999999998</v>
      </c>
      <c r="B6807">
        <v>0.91973986956031195</v>
      </c>
      <c r="C6807">
        <v>0.90874345353304498</v>
      </c>
      <c r="D6807">
        <v>0.95879439158535995</v>
      </c>
      <c r="E6807">
        <v>0.95262202149418895</v>
      </c>
    </row>
    <row r="6808" spans="1:5" x14ac:dyDescent="0.2">
      <c r="A6808">
        <v>0.76868333333333305</v>
      </c>
      <c r="B6808">
        <v>0.91986653675871799</v>
      </c>
      <c r="C6808">
        <v>0.90888660032939605</v>
      </c>
      <c r="D6808">
        <v>0.95886570704024798</v>
      </c>
      <c r="E6808">
        <v>0.95270944769478005</v>
      </c>
    </row>
    <row r="6809" spans="1:5" x14ac:dyDescent="0.2">
      <c r="A6809">
        <v>0.76901666666666701</v>
      </c>
      <c r="B6809">
        <v>0.91999316647271001</v>
      </c>
      <c r="C6809">
        <v>0.90902970759669899</v>
      </c>
      <c r="D6809">
        <v>0.95893699620767103</v>
      </c>
      <c r="E6809">
        <v>0.95279682182549497</v>
      </c>
    </row>
    <row r="6810" spans="1:5" x14ac:dyDescent="0.2">
      <c r="A6810">
        <v>0.76934999999999998</v>
      </c>
      <c r="B6810">
        <v>0.920119758729812</v>
      </c>
      <c r="C6810">
        <v>0.90917277536313101</v>
      </c>
      <c r="D6810">
        <v>0.959008258870922</v>
      </c>
      <c r="E6810">
        <v>0.95288414385259301</v>
      </c>
    </row>
    <row r="6811" spans="1:5" x14ac:dyDescent="0.2">
      <c r="A6811">
        <v>0.76968333333333305</v>
      </c>
      <c r="B6811">
        <v>0.92024631355754305</v>
      </c>
      <c r="C6811">
        <v>0.90931580365686804</v>
      </c>
      <c r="D6811">
        <v>0.95907949481329602</v>
      </c>
      <c r="E6811">
        <v>0.95297141374233196</v>
      </c>
    </row>
    <row r="6812" spans="1:5" x14ac:dyDescent="0.2">
      <c r="A6812">
        <v>0.77001666666666702</v>
      </c>
      <c r="B6812">
        <v>0.92037283098342504</v>
      </c>
      <c r="C6812">
        <v>0.90945879250608896</v>
      </c>
      <c r="D6812">
        <v>0.95915070381808298</v>
      </c>
      <c r="E6812">
        <v>0.95305863146097103</v>
      </c>
    </row>
    <row r="6813" spans="1:5" x14ac:dyDescent="0.2">
      <c r="A6813">
        <v>0.77034999999999998</v>
      </c>
      <c r="B6813">
        <v>0.92049931103485805</v>
      </c>
      <c r="C6813">
        <v>0.90960174193888299</v>
      </c>
      <c r="D6813">
        <v>0.95922188566857902</v>
      </c>
      <c r="E6813">
        <v>0.95314579697476798</v>
      </c>
    </row>
    <row r="6814" spans="1:5" x14ac:dyDescent="0.2">
      <c r="A6814">
        <v>0.77068333333333305</v>
      </c>
      <c r="B6814">
        <v>0.92062575373881606</v>
      </c>
      <c r="C6814">
        <v>0.909744651983041</v>
      </c>
      <c r="D6814">
        <v>0.95929304014807504</v>
      </c>
      <c r="E6814">
        <v>0.95323291024998102</v>
      </c>
    </row>
    <row r="6815" spans="1:5" x14ac:dyDescent="0.2">
      <c r="A6815">
        <v>0.77101666666666702</v>
      </c>
      <c r="B6815">
        <v>0.920752159122184</v>
      </c>
      <c r="C6815">
        <v>0.90988752266629003</v>
      </c>
      <c r="D6815">
        <v>0.95936416703986604</v>
      </c>
      <c r="E6815">
        <v>0.95331997125286905</v>
      </c>
    </row>
    <row r="6816" spans="1:5" x14ac:dyDescent="0.2">
      <c r="A6816">
        <v>0.77134999999999998</v>
      </c>
      <c r="B6816">
        <v>0.92087852721184704</v>
      </c>
      <c r="C6816">
        <v>0.91003035401635701</v>
      </c>
      <c r="D6816">
        <v>0.95943526612724395</v>
      </c>
      <c r="E6816">
        <v>0.95340697994969004</v>
      </c>
    </row>
    <row r="6817" spans="1:5" x14ac:dyDescent="0.2">
      <c r="A6817">
        <v>0.77168333333333305</v>
      </c>
      <c r="B6817">
        <v>0.92100485803468901</v>
      </c>
      <c r="C6817">
        <v>0.91017314606097</v>
      </c>
      <c r="D6817">
        <v>0.95950633719350298</v>
      </c>
      <c r="E6817">
        <v>0.95349393630670298</v>
      </c>
    </row>
    <row r="6818" spans="1:5" x14ac:dyDescent="0.2">
      <c r="A6818">
        <v>0.77201666666666702</v>
      </c>
      <c r="B6818">
        <v>0.92113115161759396</v>
      </c>
      <c r="C6818">
        <v>0.91031589882785402</v>
      </c>
      <c r="D6818">
        <v>0.95957738002193504</v>
      </c>
      <c r="E6818">
        <v>0.95358084029016499</v>
      </c>
    </row>
    <row r="6819" spans="1:5" x14ac:dyDescent="0.2">
      <c r="A6819">
        <v>0.77234999999999998</v>
      </c>
      <c r="B6819">
        <v>0.92125740798744704</v>
      </c>
      <c r="C6819">
        <v>0.91045861234473602</v>
      </c>
      <c r="D6819">
        <v>0.95964839439583505</v>
      </c>
      <c r="E6819">
        <v>0.95366769186633604</v>
      </c>
    </row>
    <row r="6820" spans="1:5" x14ac:dyDescent="0.2">
      <c r="A6820">
        <v>0.77268333333333294</v>
      </c>
      <c r="B6820">
        <v>0.92138362717113198</v>
      </c>
      <c r="C6820">
        <v>0.91060128663934403</v>
      </c>
      <c r="D6820">
        <v>0.959719380098494</v>
      </c>
      <c r="E6820">
        <v>0.95375449100147303</v>
      </c>
    </row>
    <row r="6821" spans="1:5" x14ac:dyDescent="0.2">
      <c r="A6821">
        <v>0.77301666666666702</v>
      </c>
      <c r="B6821">
        <v>0.92150980919553305</v>
      </c>
      <c r="C6821">
        <v>0.91074392173940499</v>
      </c>
      <c r="D6821">
        <v>0.95979033691320703</v>
      </c>
      <c r="E6821">
        <v>0.95384123766183504</v>
      </c>
    </row>
    <row r="6822" spans="1:5" x14ac:dyDescent="0.2">
      <c r="A6822">
        <v>0.77334999999999998</v>
      </c>
      <c r="B6822">
        <v>0.92163595408753496</v>
      </c>
      <c r="C6822">
        <v>0.91088651767264395</v>
      </c>
      <c r="D6822">
        <v>0.95986126462326604</v>
      </c>
      <c r="E6822">
        <v>0.95392793181368096</v>
      </c>
    </row>
    <row r="6823" spans="1:5" x14ac:dyDescent="0.2">
      <c r="A6823">
        <v>0.77368333333333295</v>
      </c>
      <c r="B6823">
        <v>0.92176206187402299</v>
      </c>
      <c r="C6823">
        <v>0.91102907446678905</v>
      </c>
      <c r="D6823">
        <v>0.95993216301196405</v>
      </c>
      <c r="E6823">
        <v>0.95401457342326801</v>
      </c>
    </row>
    <row r="6824" spans="1:5" x14ac:dyDescent="0.2">
      <c r="A6824">
        <v>0.77401666666666702</v>
      </c>
      <c r="B6824">
        <v>0.92188813258188096</v>
      </c>
      <c r="C6824">
        <v>0.911171592149567</v>
      </c>
      <c r="D6824">
        <v>0.96000303186259595</v>
      </c>
      <c r="E6824">
        <v>0.95410116245685495</v>
      </c>
    </row>
    <row r="6825" spans="1:5" x14ac:dyDescent="0.2">
      <c r="A6825">
        <v>0.77434999999999998</v>
      </c>
      <c r="B6825">
        <v>0.92201416623799204</v>
      </c>
      <c r="C6825">
        <v>0.91131407074870496</v>
      </c>
      <c r="D6825">
        <v>0.96007387095845298</v>
      </c>
      <c r="E6825">
        <v>0.95418769888069999</v>
      </c>
    </row>
    <row r="6826" spans="1:5" x14ac:dyDescent="0.2">
      <c r="A6826">
        <v>0.77468333333333295</v>
      </c>
      <c r="B6826">
        <v>0.92214016286924305</v>
      </c>
      <c r="C6826">
        <v>0.91145651029192798</v>
      </c>
      <c r="D6826">
        <v>0.96014468008283005</v>
      </c>
      <c r="E6826">
        <v>0.95427418266106301</v>
      </c>
    </row>
    <row r="6827" spans="1:5" x14ac:dyDescent="0.2">
      <c r="A6827">
        <v>0.77501666666666702</v>
      </c>
      <c r="B6827">
        <v>0.92226612250251605</v>
      </c>
      <c r="C6827">
        <v>0.91159891080696498</v>
      </c>
      <c r="D6827">
        <v>0.96021545901901895</v>
      </c>
      <c r="E6827">
        <v>0.95436061376420001</v>
      </c>
    </row>
    <row r="6828" spans="1:5" x14ac:dyDescent="0.2">
      <c r="A6828">
        <v>0.77534999999999998</v>
      </c>
      <c r="B6828">
        <v>0.92239204516469697</v>
      </c>
      <c r="C6828">
        <v>0.91174127232154301</v>
      </c>
      <c r="D6828">
        <v>0.96028620755031302</v>
      </c>
      <c r="E6828">
        <v>0.95444699215637097</v>
      </c>
    </row>
    <row r="6829" spans="1:5" x14ac:dyDescent="0.2">
      <c r="A6829">
        <v>0.77568333333333295</v>
      </c>
      <c r="B6829">
        <v>0.92251793088266898</v>
      </c>
      <c r="C6829">
        <v>0.91188359486338699</v>
      </c>
      <c r="D6829">
        <v>0.96035692546000595</v>
      </c>
      <c r="E6829">
        <v>0.95453331780383399</v>
      </c>
    </row>
    <row r="6830" spans="1:5" x14ac:dyDescent="0.2">
      <c r="A6830">
        <v>0.77601666666666702</v>
      </c>
      <c r="B6830">
        <v>0.92264377968331801</v>
      </c>
      <c r="C6830">
        <v>0.91202587846022498</v>
      </c>
      <c r="D6830">
        <v>0.96042761253139097</v>
      </c>
      <c r="E6830">
        <v>0.95461959067284696</v>
      </c>
    </row>
    <row r="6831" spans="1:5" x14ac:dyDescent="0.2">
      <c r="A6831">
        <v>0.77634999999999998</v>
      </c>
      <c r="B6831">
        <v>0.92276959159352701</v>
      </c>
      <c r="C6831">
        <v>0.91216812313978302</v>
      </c>
      <c r="D6831">
        <v>0.96049826854776099</v>
      </c>
      <c r="E6831">
        <v>0.95470581072966898</v>
      </c>
    </row>
    <row r="6832" spans="1:5" x14ac:dyDescent="0.2">
      <c r="A6832">
        <v>0.77668333333333295</v>
      </c>
      <c r="B6832">
        <v>0.92289536664018201</v>
      </c>
      <c r="C6832">
        <v>0.91231032892978903</v>
      </c>
      <c r="D6832">
        <v>0.96056889329240902</v>
      </c>
      <c r="E6832">
        <v>0.95479197794055803</v>
      </c>
    </row>
    <row r="6833" spans="1:5" x14ac:dyDescent="0.2">
      <c r="A6833">
        <v>0.77701666666666702</v>
      </c>
      <c r="B6833">
        <v>0.92302110485016597</v>
      </c>
      <c r="C6833">
        <v>0.91245249585796895</v>
      </c>
      <c r="D6833">
        <v>0.96063948654862796</v>
      </c>
      <c r="E6833">
        <v>0.95487809227177201</v>
      </c>
    </row>
    <row r="6834" spans="1:5" x14ac:dyDescent="0.2">
      <c r="A6834">
        <v>0.77734999999999999</v>
      </c>
      <c r="B6834">
        <v>0.92314680625036405</v>
      </c>
      <c r="C6834">
        <v>0.91259462395205004</v>
      </c>
      <c r="D6834">
        <v>0.96071004809971206</v>
      </c>
      <c r="E6834">
        <v>0.95496415368956999</v>
      </c>
    </row>
    <row r="6835" spans="1:5" x14ac:dyDescent="0.2">
      <c r="A6835">
        <v>0.77768333333333295</v>
      </c>
      <c r="B6835">
        <v>0.92327247086765996</v>
      </c>
      <c r="C6835">
        <v>0.91273671323975902</v>
      </c>
      <c r="D6835">
        <v>0.96078057772895398</v>
      </c>
      <c r="E6835">
        <v>0.95505016216020999</v>
      </c>
    </row>
    <row r="6836" spans="1:5" x14ac:dyDescent="0.2">
      <c r="A6836">
        <v>0.77801666666666702</v>
      </c>
      <c r="B6836">
        <v>0.92339809872893897</v>
      </c>
      <c r="C6836">
        <v>0.91287876374882304</v>
      </c>
      <c r="D6836">
        <v>0.96085107521964697</v>
      </c>
      <c r="E6836">
        <v>0.95513611764994999</v>
      </c>
    </row>
    <row r="6837" spans="1:5" x14ac:dyDescent="0.2">
      <c r="A6837">
        <v>0.77834999999999999</v>
      </c>
      <c r="B6837">
        <v>0.92352368986108502</v>
      </c>
      <c r="C6837">
        <v>0.91302077550696903</v>
      </c>
      <c r="D6837">
        <v>0.96092154035508304</v>
      </c>
      <c r="E6837">
        <v>0.95522202012504898</v>
      </c>
    </row>
    <row r="6838" spans="1:5" x14ac:dyDescent="0.2">
      <c r="A6838">
        <v>0.77868333333333295</v>
      </c>
      <c r="B6838">
        <v>0.92364924429098305</v>
      </c>
      <c r="C6838">
        <v>0.91316274854192303</v>
      </c>
      <c r="D6838">
        <v>0.96099197291855698</v>
      </c>
      <c r="E6838">
        <v>0.95530786955176605</v>
      </c>
    </row>
    <row r="6839" spans="1:5" x14ac:dyDescent="0.2">
      <c r="A6839">
        <v>0.77901666666666702</v>
      </c>
      <c r="B6839">
        <v>0.92377476204551701</v>
      </c>
      <c r="C6839">
        <v>0.91330468288141198</v>
      </c>
      <c r="D6839">
        <v>0.96106237269336103</v>
      </c>
      <c r="E6839">
        <v>0.95539366589635799</v>
      </c>
    </row>
    <row r="6840" spans="1:5" x14ac:dyDescent="0.2">
      <c r="A6840">
        <v>0.77934999999999999</v>
      </c>
      <c r="B6840">
        <v>0.92390024315157104</v>
      </c>
      <c r="C6840">
        <v>0.91344657855316302</v>
      </c>
      <c r="D6840">
        <v>0.96113273946278899</v>
      </c>
      <c r="E6840">
        <v>0.955479409125084</v>
      </c>
    </row>
    <row r="6841" spans="1:5" x14ac:dyDescent="0.2">
      <c r="A6841">
        <v>0.77968333333333295</v>
      </c>
      <c r="B6841">
        <v>0.92402568763602999</v>
      </c>
      <c r="C6841">
        <v>0.91358843558490299</v>
      </c>
      <c r="D6841">
        <v>0.96120307301013397</v>
      </c>
      <c r="E6841">
        <v>0.95556509920420196</v>
      </c>
    </row>
    <row r="6842" spans="1:5" x14ac:dyDescent="0.2">
      <c r="A6842">
        <v>0.78001666666666702</v>
      </c>
      <c r="B6842">
        <v>0.92415109552577801</v>
      </c>
      <c r="C6842">
        <v>0.91373025400435903</v>
      </c>
      <c r="D6842">
        <v>0.96127337311868899</v>
      </c>
      <c r="E6842">
        <v>0.95565073609997098</v>
      </c>
    </row>
    <row r="6843" spans="1:5" x14ac:dyDescent="0.2">
      <c r="A6843">
        <v>0.78034999999999999</v>
      </c>
      <c r="B6843">
        <v>0.92427646684749598</v>
      </c>
      <c r="C6843">
        <v>0.91387203383897198</v>
      </c>
      <c r="D6843">
        <v>0.96134363957174696</v>
      </c>
      <c r="E6843">
        <v>0.95573631977864903</v>
      </c>
    </row>
    <row r="6844" spans="1:5" x14ac:dyDescent="0.2">
      <c r="A6844">
        <v>0.78068333333333295</v>
      </c>
      <c r="B6844">
        <v>0.92440180162716501</v>
      </c>
      <c r="C6844">
        <v>0.91401377511520399</v>
      </c>
      <c r="D6844">
        <v>0.96141387215260099</v>
      </c>
      <c r="E6844">
        <v>0.95582185020649502</v>
      </c>
    </row>
    <row r="6845" spans="1:5" x14ac:dyDescent="0.2">
      <c r="A6845">
        <v>0.78101666666666703</v>
      </c>
      <c r="B6845">
        <v>0.92452709989061399</v>
      </c>
      <c r="C6845">
        <v>0.91415547785930096</v>
      </c>
      <c r="D6845">
        <v>0.961484070644544</v>
      </c>
      <c r="E6845">
        <v>0.95590732734976602</v>
      </c>
    </row>
    <row r="6846" spans="1:5" x14ac:dyDescent="0.2">
      <c r="A6846">
        <v>0.78134999999999999</v>
      </c>
      <c r="B6846">
        <v>0.92465236166367304</v>
      </c>
      <c r="C6846">
        <v>0.914297142097514</v>
      </c>
      <c r="D6846">
        <v>0.96155423483087099</v>
      </c>
      <c r="E6846">
        <v>0.95599275117472104</v>
      </c>
    </row>
    <row r="6847" spans="1:5" x14ac:dyDescent="0.2">
      <c r="A6847">
        <v>0.78168333333333295</v>
      </c>
      <c r="B6847">
        <v>0.92477758697217105</v>
      </c>
      <c r="C6847">
        <v>0.91443876785609202</v>
      </c>
      <c r="D6847">
        <v>0.96162436449487299</v>
      </c>
      <c r="E6847">
        <v>0.95607812164761896</v>
      </c>
    </row>
    <row r="6848" spans="1:5" x14ac:dyDescent="0.2">
      <c r="A6848">
        <v>0.78201666666666703</v>
      </c>
      <c r="B6848">
        <v>0.92490277584193803</v>
      </c>
      <c r="C6848">
        <v>0.914580355161282</v>
      </c>
      <c r="D6848">
        <v>0.96169445941984399</v>
      </c>
      <c r="E6848">
        <v>0.95616343873471799</v>
      </c>
    </row>
    <row r="6849" spans="1:5" x14ac:dyDescent="0.2">
      <c r="A6849">
        <v>0.78234999999999999</v>
      </c>
      <c r="B6849">
        <v>0.92502792829880498</v>
      </c>
      <c r="C6849">
        <v>0.91472190403933495</v>
      </c>
      <c r="D6849">
        <v>0.96176451938907703</v>
      </c>
      <c r="E6849">
        <v>0.956248702402276</v>
      </c>
    </row>
    <row r="6850" spans="1:5" x14ac:dyDescent="0.2">
      <c r="A6850">
        <v>0.78268333333333295</v>
      </c>
      <c r="B6850">
        <v>0.92515304436859902</v>
      </c>
      <c r="C6850">
        <v>0.914863414516499</v>
      </c>
      <c r="D6850">
        <v>0.961834544185866</v>
      </c>
      <c r="E6850">
        <v>0.95633391261655198</v>
      </c>
    </row>
    <row r="6851" spans="1:5" x14ac:dyDescent="0.2">
      <c r="A6851">
        <v>0.78301666666666703</v>
      </c>
      <c r="B6851">
        <v>0.92527812407715204</v>
      </c>
      <c r="C6851">
        <v>0.91500488661902302</v>
      </c>
      <c r="D6851">
        <v>0.96190453359350303</v>
      </c>
      <c r="E6851">
        <v>0.95641906934380405</v>
      </c>
    </row>
    <row r="6852" spans="1:5" x14ac:dyDescent="0.2">
      <c r="A6852">
        <v>0.78334999999999999</v>
      </c>
      <c r="B6852">
        <v>0.92540316745029205</v>
      </c>
      <c r="C6852">
        <v>0.91514632037315602</v>
      </c>
      <c r="D6852">
        <v>0.96197448739528202</v>
      </c>
      <c r="E6852">
        <v>0.95650417255028997</v>
      </c>
    </row>
    <row r="6853" spans="1:5" x14ac:dyDescent="0.2">
      <c r="A6853">
        <v>0.78368333333333295</v>
      </c>
      <c r="B6853">
        <v>0.92552817451384894</v>
      </c>
      <c r="C6853">
        <v>0.91528771580514701</v>
      </c>
      <c r="D6853">
        <v>0.96204440537449598</v>
      </c>
      <c r="E6853">
        <v>0.95658922220226805</v>
      </c>
    </row>
    <row r="6854" spans="1:5" x14ac:dyDescent="0.2">
      <c r="A6854">
        <v>0.78401666666666703</v>
      </c>
      <c r="B6854">
        <v>0.92565314529365395</v>
      </c>
      <c r="C6854">
        <v>0.91542907294124498</v>
      </c>
      <c r="D6854">
        <v>0.96211428731443804</v>
      </c>
      <c r="E6854">
        <v>0.95667421826599797</v>
      </c>
    </row>
    <row r="6855" spans="1:5" x14ac:dyDescent="0.2">
      <c r="A6855">
        <v>0.78434999999999999</v>
      </c>
      <c r="B6855">
        <v>0.92577807981553495</v>
      </c>
      <c r="C6855">
        <v>0.91557039180769895</v>
      </c>
      <c r="D6855">
        <v>0.962184132998401</v>
      </c>
      <c r="E6855">
        <v>0.95675916070773803</v>
      </c>
    </row>
    <row r="6856" spans="1:5" x14ac:dyDescent="0.2">
      <c r="A6856">
        <v>0.78468333333333296</v>
      </c>
      <c r="B6856">
        <v>0.92590297810532196</v>
      </c>
      <c r="C6856">
        <v>0.91571167243075602</v>
      </c>
      <c r="D6856">
        <v>0.96225394220967897</v>
      </c>
      <c r="E6856">
        <v>0.95684404949374502</v>
      </c>
    </row>
    <row r="6857" spans="1:5" x14ac:dyDescent="0.2">
      <c r="A6857">
        <v>0.78501666666666703</v>
      </c>
      <c r="B6857">
        <v>0.92602784018884599</v>
      </c>
      <c r="C6857">
        <v>0.91585291483666798</v>
      </c>
      <c r="D6857">
        <v>0.96232371473156397</v>
      </c>
      <c r="E6857">
        <v>0.95692888459027903</v>
      </c>
    </row>
    <row r="6858" spans="1:5" x14ac:dyDescent="0.2">
      <c r="A6858">
        <v>0.78534999999999999</v>
      </c>
      <c r="B6858">
        <v>0.92615266609193403</v>
      </c>
      <c r="C6858">
        <v>0.91599411905168204</v>
      </c>
      <c r="D6858">
        <v>0.96239345034735002</v>
      </c>
      <c r="E6858">
        <v>0.95701366596359705</v>
      </c>
    </row>
    <row r="6859" spans="1:5" x14ac:dyDescent="0.2">
      <c r="A6859">
        <v>0.78568333333333296</v>
      </c>
      <c r="B6859">
        <v>0.92627745584041798</v>
      </c>
      <c r="C6859">
        <v>0.916135285102047</v>
      </c>
      <c r="D6859">
        <v>0.96246314884033002</v>
      </c>
      <c r="E6859">
        <v>0.95709839357995796</v>
      </c>
    </row>
    <row r="6860" spans="1:5" x14ac:dyDescent="0.2">
      <c r="A6860">
        <v>0.78601666666666703</v>
      </c>
      <c r="B6860">
        <v>0.92640220946012697</v>
      </c>
      <c r="C6860">
        <v>0.91627641301401297</v>
      </c>
      <c r="D6860">
        <v>0.96253280999379698</v>
      </c>
      <c r="E6860">
        <v>0.95718306740561998</v>
      </c>
    </row>
    <row r="6861" spans="1:5" x14ac:dyDescent="0.2">
      <c r="A6861">
        <v>0.78634999999999999</v>
      </c>
      <c r="B6861">
        <v>0.92652692697688999</v>
      </c>
      <c r="C6861">
        <v>0.91641750281382806</v>
      </c>
      <c r="D6861">
        <v>0.96260243359104403</v>
      </c>
      <c r="E6861">
        <v>0.95726768740684198</v>
      </c>
    </row>
    <row r="6862" spans="1:5" x14ac:dyDescent="0.2">
      <c r="A6862">
        <v>0.78668333333333296</v>
      </c>
      <c r="B6862">
        <v>0.92665160841653704</v>
      </c>
      <c r="C6862">
        <v>0.91655855452774104</v>
      </c>
      <c r="D6862">
        <v>0.96267201941536495</v>
      </c>
      <c r="E6862">
        <v>0.95735225354988196</v>
      </c>
    </row>
    <row r="6863" spans="1:5" x14ac:dyDescent="0.2">
      <c r="A6863">
        <v>0.78701666666666703</v>
      </c>
      <c r="B6863">
        <v>0.92677625380489803</v>
      </c>
      <c r="C6863">
        <v>0.91669956818200105</v>
      </c>
      <c r="D6863">
        <v>0.962741567250052</v>
      </c>
      <c r="E6863">
        <v>0.95743676580099801</v>
      </c>
    </row>
    <row r="6864" spans="1:5" x14ac:dyDescent="0.2">
      <c r="A6864">
        <v>0.78734999999999999</v>
      </c>
      <c r="B6864">
        <v>0.92690086316780296</v>
      </c>
      <c r="C6864">
        <v>0.91684054380285696</v>
      </c>
      <c r="D6864">
        <v>0.96281107687839995</v>
      </c>
      <c r="E6864">
        <v>0.95752122412645002</v>
      </c>
    </row>
    <row r="6865" spans="1:5" x14ac:dyDescent="0.2">
      <c r="A6865">
        <v>0.78768333333333296</v>
      </c>
      <c r="B6865">
        <v>0.92702543653108005</v>
      </c>
      <c r="C6865">
        <v>0.916981481416558</v>
      </c>
      <c r="D6865">
        <v>0.96288054808370005</v>
      </c>
      <c r="E6865">
        <v>0.95760562849249398</v>
      </c>
    </row>
    <row r="6866" spans="1:5" x14ac:dyDescent="0.2">
      <c r="A6866">
        <v>0.78801666666666703</v>
      </c>
      <c r="B6866">
        <v>0.92714997392056098</v>
      </c>
      <c r="C6866">
        <v>0.91712238104935195</v>
      </c>
      <c r="D6866">
        <v>0.96294998064924697</v>
      </c>
      <c r="E6866">
        <v>0.95768997886538998</v>
      </c>
    </row>
    <row r="6867" spans="1:5" x14ac:dyDescent="0.2">
      <c r="A6867">
        <v>0.78835</v>
      </c>
      <c r="B6867">
        <v>0.92727447536207297</v>
      </c>
      <c r="C6867">
        <v>0.91726324272748905</v>
      </c>
      <c r="D6867">
        <v>0.96301937435833296</v>
      </c>
      <c r="E6867">
        <v>0.95777427521139602</v>
      </c>
    </row>
    <row r="6868" spans="1:5" x14ac:dyDescent="0.2">
      <c r="A6868">
        <v>0.78868333333333296</v>
      </c>
      <c r="B6868">
        <v>0.92739894088144703</v>
      </c>
      <c r="C6868">
        <v>0.91740406647721795</v>
      </c>
      <c r="D6868">
        <v>0.96308872899425102</v>
      </c>
      <c r="E6868">
        <v>0.95785851749676998</v>
      </c>
    </row>
    <row r="6869" spans="1:5" x14ac:dyDescent="0.2">
      <c r="A6869">
        <v>0.78901666666666703</v>
      </c>
      <c r="B6869">
        <v>0.92752337050451406</v>
      </c>
      <c r="C6869">
        <v>0.917544852324788</v>
      </c>
      <c r="D6869">
        <v>0.96315804434029495</v>
      </c>
      <c r="E6869">
        <v>0.95794270568777096</v>
      </c>
    </row>
    <row r="6870" spans="1:5" x14ac:dyDescent="0.2">
      <c r="A6870">
        <v>0.78935</v>
      </c>
      <c r="B6870">
        <v>0.92764776425710105</v>
      </c>
      <c r="C6870">
        <v>0.91768560029644697</v>
      </c>
      <c r="D6870">
        <v>0.96322732017975798</v>
      </c>
      <c r="E6870">
        <v>0.95802683975065595</v>
      </c>
    </row>
    <row r="6871" spans="1:5" x14ac:dyDescent="0.2">
      <c r="A6871">
        <v>0.78968333333333296</v>
      </c>
      <c r="B6871">
        <v>0.92777212216503901</v>
      </c>
      <c r="C6871">
        <v>0.91782631041844398</v>
      </c>
      <c r="D6871">
        <v>0.96329655629593303</v>
      </c>
      <c r="E6871">
        <v>0.95811091965168504</v>
      </c>
    </row>
    <row r="6872" spans="1:5" x14ac:dyDescent="0.2">
      <c r="A6872">
        <v>0.79001666666666703</v>
      </c>
      <c r="B6872">
        <v>0.92789644425415796</v>
      </c>
      <c r="C6872">
        <v>0.91796698271702803</v>
      </c>
      <c r="D6872">
        <v>0.96336575247211398</v>
      </c>
      <c r="E6872">
        <v>0.95819494535711602</v>
      </c>
    </row>
    <row r="6873" spans="1:5" x14ac:dyDescent="0.2">
      <c r="A6873">
        <v>0.79035</v>
      </c>
      <c r="B6873">
        <v>0.92802073055010903</v>
      </c>
      <c r="C6873">
        <v>0.91810761721838996</v>
      </c>
      <c r="D6873">
        <v>0.96343490849159297</v>
      </c>
      <c r="E6873">
        <v>0.95827891683320698</v>
      </c>
    </row>
    <row r="6874" spans="1:5" x14ac:dyDescent="0.2">
      <c r="A6874">
        <v>0.79068333333333296</v>
      </c>
      <c r="B6874">
        <v>0.92814498107793197</v>
      </c>
      <c r="C6874">
        <v>0.91824821394851697</v>
      </c>
      <c r="D6874">
        <v>0.96350402413766301</v>
      </c>
      <c r="E6874">
        <v>0.95836283404621703</v>
      </c>
    </row>
    <row r="6875" spans="1:5" x14ac:dyDescent="0.2">
      <c r="A6875">
        <v>0.79101666666666703</v>
      </c>
      <c r="B6875">
        <v>0.92826919586253598</v>
      </c>
      <c r="C6875">
        <v>0.91838877293335397</v>
      </c>
      <c r="D6875">
        <v>0.963573099193618</v>
      </c>
      <c r="E6875">
        <v>0.95844669696240303</v>
      </c>
    </row>
    <row r="6876" spans="1:5" x14ac:dyDescent="0.2">
      <c r="A6876">
        <v>0.79135</v>
      </c>
      <c r="B6876">
        <v>0.92839337492882801</v>
      </c>
      <c r="C6876">
        <v>0.91852929419884299</v>
      </c>
      <c r="D6876">
        <v>0.96364213344275196</v>
      </c>
      <c r="E6876">
        <v>0.95853050554802399</v>
      </c>
    </row>
    <row r="6877" spans="1:5" x14ac:dyDescent="0.2">
      <c r="A6877">
        <v>0.79168333333333296</v>
      </c>
      <c r="B6877">
        <v>0.92851751830171703</v>
      </c>
      <c r="C6877">
        <v>0.91866977777093095</v>
      </c>
      <c r="D6877">
        <v>0.96371112666835601</v>
      </c>
      <c r="E6877">
        <v>0.95861425976933901</v>
      </c>
    </row>
    <row r="6878" spans="1:5" x14ac:dyDescent="0.2">
      <c r="A6878">
        <v>0.79201666666666704</v>
      </c>
      <c r="B6878">
        <v>0.92864162600611</v>
      </c>
      <c r="C6878">
        <v>0.91881022367555998</v>
      </c>
      <c r="D6878">
        <v>0.96378007865372495</v>
      </c>
      <c r="E6878">
        <v>0.95869795959260695</v>
      </c>
    </row>
    <row r="6879" spans="1:5" x14ac:dyDescent="0.2">
      <c r="A6879">
        <v>0.79235</v>
      </c>
      <c r="B6879">
        <v>0.928765698066916</v>
      </c>
      <c r="C6879">
        <v>0.91895063193867499</v>
      </c>
      <c r="D6879">
        <v>0.96384898918215101</v>
      </c>
      <c r="E6879">
        <v>0.95878160498408405</v>
      </c>
    </row>
    <row r="6880" spans="1:5" x14ac:dyDescent="0.2">
      <c r="A6880">
        <v>0.79268333333333296</v>
      </c>
      <c r="B6880">
        <v>0.928889734509044</v>
      </c>
      <c r="C6880">
        <v>0.91909100258622001</v>
      </c>
      <c r="D6880">
        <v>0.96391785803692698</v>
      </c>
      <c r="E6880">
        <v>0.95886519591003005</v>
      </c>
    </row>
    <row r="6881" spans="1:5" x14ac:dyDescent="0.2">
      <c r="A6881">
        <v>0.79301666666666704</v>
      </c>
      <c r="B6881">
        <v>0.92901373535739995</v>
      </c>
      <c r="C6881">
        <v>0.91923133564413995</v>
      </c>
      <c r="D6881">
        <v>0.96398668500134799</v>
      </c>
      <c r="E6881">
        <v>0.95894873233670297</v>
      </c>
    </row>
    <row r="6882" spans="1:5" x14ac:dyDescent="0.2">
      <c r="A6882">
        <v>0.79335</v>
      </c>
      <c r="B6882">
        <v>0.92913770063689405</v>
      </c>
      <c r="C6882">
        <v>0.91937163113837805</v>
      </c>
      <c r="D6882">
        <v>0.96405546985870505</v>
      </c>
      <c r="E6882">
        <v>0.959032214230362</v>
      </c>
    </row>
    <row r="6883" spans="1:5" x14ac:dyDescent="0.2">
      <c r="A6883">
        <v>0.79368333333333296</v>
      </c>
      <c r="B6883">
        <v>0.92926163037243303</v>
      </c>
      <c r="C6883">
        <v>0.91951188909487802</v>
      </c>
      <c r="D6883">
        <v>0.96412421239229296</v>
      </c>
      <c r="E6883">
        <v>0.95911564155726403</v>
      </c>
    </row>
    <row r="6884" spans="1:5" x14ac:dyDescent="0.2">
      <c r="A6884">
        <v>0.79401666666666704</v>
      </c>
      <c r="B6884">
        <v>0.92938552458892598</v>
      </c>
      <c r="C6884">
        <v>0.91965210953958598</v>
      </c>
      <c r="D6884">
        <v>0.96419291238540406</v>
      </c>
      <c r="E6884">
        <v>0.95919901428366805</v>
      </c>
    </row>
    <row r="6885" spans="1:5" x14ac:dyDescent="0.2">
      <c r="A6885">
        <v>0.79435</v>
      </c>
      <c r="B6885">
        <v>0.92950938331127997</v>
      </c>
      <c r="C6885">
        <v>0.91979229249844396</v>
      </c>
      <c r="D6885">
        <v>0.96426156962133203</v>
      </c>
      <c r="E6885">
        <v>0.95928233237583305</v>
      </c>
    </row>
    <row r="6886" spans="1:5" x14ac:dyDescent="0.2">
      <c r="A6886">
        <v>0.79468333333333296</v>
      </c>
      <c r="B6886">
        <v>0.92963320656440396</v>
      </c>
      <c r="C6886">
        <v>0.91993243799739799</v>
      </c>
      <c r="D6886">
        <v>0.96433018388337</v>
      </c>
      <c r="E6886">
        <v>0.95936559580001701</v>
      </c>
    </row>
    <row r="6887" spans="1:5" x14ac:dyDescent="0.2">
      <c r="A6887">
        <v>0.79501666666666704</v>
      </c>
      <c r="B6887">
        <v>0.92975699437320503</v>
      </c>
      <c r="C6887">
        <v>0.92007254606239097</v>
      </c>
      <c r="D6887">
        <v>0.96439875495480998</v>
      </c>
      <c r="E6887">
        <v>0.95944880452247805</v>
      </c>
    </row>
    <row r="6888" spans="1:5" x14ac:dyDescent="0.2">
      <c r="A6888">
        <v>0.79535</v>
      </c>
      <c r="B6888">
        <v>0.92988074676259302</v>
      </c>
      <c r="C6888">
        <v>0.92021261671936705</v>
      </c>
      <c r="D6888">
        <v>0.96446728261894599</v>
      </c>
      <c r="E6888">
        <v>0.95953195850947504</v>
      </c>
    </row>
    <row r="6889" spans="1:5" x14ac:dyDescent="0.2">
      <c r="A6889">
        <v>0.79568333333333296</v>
      </c>
      <c r="B6889">
        <v>0.93000446375747503</v>
      </c>
      <c r="C6889">
        <v>0.92035264999427102</v>
      </c>
      <c r="D6889">
        <v>0.96453576665907204</v>
      </c>
      <c r="E6889">
        <v>0.95961505772726596</v>
      </c>
    </row>
    <row r="6890" spans="1:5" x14ac:dyDescent="0.2">
      <c r="A6890">
        <v>0.79601666666666704</v>
      </c>
      <c r="B6890">
        <v>0.93012814538275901</v>
      </c>
      <c r="C6890">
        <v>0.92049264591304603</v>
      </c>
      <c r="D6890">
        <v>0.96460420685848003</v>
      </c>
      <c r="E6890">
        <v>0.95969810214210904</v>
      </c>
    </row>
    <row r="6891" spans="1:5" x14ac:dyDescent="0.2">
      <c r="A6891">
        <v>0.79635</v>
      </c>
      <c r="B6891">
        <v>0.93025179166335403</v>
      </c>
      <c r="C6891">
        <v>0.92063260450163797</v>
      </c>
      <c r="D6891">
        <v>0.96467260300046398</v>
      </c>
      <c r="E6891">
        <v>0.95978109172026305</v>
      </c>
    </row>
    <row r="6892" spans="1:5" x14ac:dyDescent="0.2">
      <c r="A6892">
        <v>0.79668333333333297</v>
      </c>
      <c r="B6892">
        <v>0.93037540262416696</v>
      </c>
      <c r="C6892">
        <v>0.92077252578599</v>
      </c>
      <c r="D6892">
        <v>0.96474095486831601</v>
      </c>
      <c r="E6892">
        <v>0.95986402642798596</v>
      </c>
    </row>
    <row r="6893" spans="1:5" x14ac:dyDescent="0.2">
      <c r="A6893">
        <v>0.79701666666666704</v>
      </c>
      <c r="B6893">
        <v>0.93049897829010597</v>
      </c>
      <c r="C6893">
        <v>0.92091240979204603</v>
      </c>
      <c r="D6893">
        <v>0.96480926224533003</v>
      </c>
      <c r="E6893">
        <v>0.959946906231537</v>
      </c>
    </row>
    <row r="6894" spans="1:5" x14ac:dyDescent="0.2">
      <c r="A6894">
        <v>0.79735</v>
      </c>
      <c r="B6894">
        <v>0.93062251868608103</v>
      </c>
      <c r="C6894">
        <v>0.92105225654574996</v>
      </c>
      <c r="D6894">
        <v>0.96487752491480006</v>
      </c>
      <c r="E6894">
        <v>0.96002973109717304</v>
      </c>
    </row>
    <row r="6895" spans="1:5" x14ac:dyDescent="0.2">
      <c r="A6895">
        <v>0.79768333333333297</v>
      </c>
      <c r="B6895">
        <v>0.930746023836998</v>
      </c>
      <c r="C6895">
        <v>0.92119206607304704</v>
      </c>
      <c r="D6895">
        <v>0.96494574266001798</v>
      </c>
      <c r="E6895">
        <v>0.96011250099115397</v>
      </c>
    </row>
    <row r="6896" spans="1:5" x14ac:dyDescent="0.2">
      <c r="A6896">
        <v>0.79801666666666704</v>
      </c>
      <c r="B6896">
        <v>0.93086949376776695</v>
      </c>
      <c r="C6896">
        <v>0.92133183839988098</v>
      </c>
      <c r="D6896">
        <v>0.96501391526427704</v>
      </c>
      <c r="E6896">
        <v>0.960195215879737</v>
      </c>
    </row>
    <row r="6897" spans="1:5" x14ac:dyDescent="0.2">
      <c r="A6897">
        <v>0.79835</v>
      </c>
      <c r="B6897">
        <v>0.93099292850329396</v>
      </c>
      <c r="C6897">
        <v>0.921471573552196</v>
      </c>
      <c r="D6897">
        <v>0.96508204251087104</v>
      </c>
      <c r="E6897">
        <v>0.960277875729181</v>
      </c>
    </row>
    <row r="6898" spans="1:5" x14ac:dyDescent="0.2">
      <c r="A6898">
        <v>0.79868333333333297</v>
      </c>
      <c r="B6898">
        <v>0.93111632806848899</v>
      </c>
      <c r="C6898">
        <v>0.92161127155593603</v>
      </c>
      <c r="D6898">
        <v>0.96515012418309298</v>
      </c>
      <c r="E6898">
        <v>0.96036048050574496</v>
      </c>
    </row>
    <row r="6899" spans="1:5" x14ac:dyDescent="0.2">
      <c r="A6899">
        <v>0.79901666666666704</v>
      </c>
      <c r="B6899">
        <v>0.931239692488259</v>
      </c>
      <c r="C6899">
        <v>0.92175093243704498</v>
      </c>
      <c r="D6899">
        <v>0.965218160064236</v>
      </c>
      <c r="E6899">
        <v>0.960443030175686</v>
      </c>
    </row>
    <row r="6900" spans="1:5" x14ac:dyDescent="0.2">
      <c r="A6900">
        <v>0.79935</v>
      </c>
      <c r="B6900">
        <v>0.93136302178751196</v>
      </c>
      <c r="C6900">
        <v>0.92189055622146798</v>
      </c>
      <c r="D6900">
        <v>0.96528614993759299</v>
      </c>
      <c r="E6900">
        <v>0.96052552470526298</v>
      </c>
    </row>
    <row r="6901" spans="1:5" x14ac:dyDescent="0.2">
      <c r="A6901">
        <v>0.79968333333333297</v>
      </c>
      <c r="B6901">
        <v>0.93148631599115805</v>
      </c>
      <c r="C6901">
        <v>0.92203014293514896</v>
      </c>
      <c r="D6901">
        <v>0.96535409358645696</v>
      </c>
      <c r="E6901">
        <v>0.96060796406073501</v>
      </c>
    </row>
    <row r="6902" spans="1:5" x14ac:dyDescent="0.2">
      <c r="A6902">
        <v>0.80001666666666704</v>
      </c>
      <c r="B6902">
        <v>0.93160957512410303</v>
      </c>
      <c r="C6902">
        <v>0.92216969260403103</v>
      </c>
      <c r="D6902">
        <v>0.96542199079412205</v>
      </c>
      <c r="E6902">
        <v>0.96069034820835897</v>
      </c>
    </row>
    <row r="6903" spans="1:5" x14ac:dyDescent="0.2">
      <c r="A6903">
        <v>0.80035000000000001</v>
      </c>
      <c r="B6903">
        <v>0.93173279921114105</v>
      </c>
      <c r="C6903">
        <v>0.922309205253807</v>
      </c>
      <c r="D6903">
        <v>0.96548984134388005</v>
      </c>
      <c r="E6903">
        <v>0.96077267711439496</v>
      </c>
    </row>
    <row r="6904" spans="1:5" x14ac:dyDescent="0.2">
      <c r="A6904">
        <v>0.80068333333333297</v>
      </c>
      <c r="B6904">
        <v>0.93185598827667404</v>
      </c>
      <c r="C6904">
        <v>0.92244868090930598</v>
      </c>
      <c r="D6904">
        <v>0.96555764501902597</v>
      </c>
      <c r="E6904">
        <v>0.96085495074509997</v>
      </c>
    </row>
    <row r="6905" spans="1:5" x14ac:dyDescent="0.2">
      <c r="A6905">
        <v>0.80101666666666704</v>
      </c>
      <c r="B6905">
        <v>0.931979142345016</v>
      </c>
      <c r="C6905">
        <v>0.92258811959516795</v>
      </c>
      <c r="D6905">
        <v>0.96562540160285204</v>
      </c>
      <c r="E6905">
        <v>0.96093716906673299</v>
      </c>
    </row>
    <row r="6906" spans="1:5" x14ac:dyDescent="0.2">
      <c r="A6906">
        <v>0.80135000000000001</v>
      </c>
      <c r="B6906">
        <v>0.93210226144048303</v>
      </c>
      <c r="C6906">
        <v>0.92272752133603297</v>
      </c>
      <c r="D6906">
        <v>0.96569311087864995</v>
      </c>
      <c r="E6906">
        <v>0.96101933204555201</v>
      </c>
    </row>
    <row r="6907" spans="1:5" x14ac:dyDescent="0.2">
      <c r="A6907">
        <v>0.80168333333333297</v>
      </c>
      <c r="B6907">
        <v>0.93222534558739101</v>
      </c>
      <c r="C6907">
        <v>0.922866886156544</v>
      </c>
      <c r="D6907">
        <v>0.96576077262971605</v>
      </c>
      <c r="E6907">
        <v>0.96110143964781602</v>
      </c>
    </row>
    <row r="6908" spans="1:5" x14ac:dyDescent="0.2">
      <c r="A6908">
        <v>0.80201666666666704</v>
      </c>
      <c r="B6908">
        <v>0.93234839481005505</v>
      </c>
      <c r="C6908">
        <v>0.92300621408134098</v>
      </c>
      <c r="D6908">
        <v>0.96582838663934001</v>
      </c>
      <c r="E6908">
        <v>0.96118349183978302</v>
      </c>
    </row>
    <row r="6909" spans="1:5" x14ac:dyDescent="0.2">
      <c r="A6909">
        <v>0.80235000000000001</v>
      </c>
      <c r="B6909">
        <v>0.93247140913279203</v>
      </c>
      <c r="C6909">
        <v>0.92314550513506499</v>
      </c>
      <c r="D6909">
        <v>0.96589595269081796</v>
      </c>
      <c r="E6909">
        <v>0.96126548858771199</v>
      </c>
    </row>
    <row r="6910" spans="1:5" x14ac:dyDescent="0.2">
      <c r="A6910">
        <v>0.80268333333333297</v>
      </c>
      <c r="B6910">
        <v>0.93259438857991594</v>
      </c>
      <c r="C6910">
        <v>0.92328475934235799</v>
      </c>
      <c r="D6910">
        <v>0.96596347056744203</v>
      </c>
      <c r="E6910">
        <v>0.96134742985786004</v>
      </c>
    </row>
    <row r="6911" spans="1:5" x14ac:dyDescent="0.2">
      <c r="A6911">
        <v>0.80301666666666704</v>
      </c>
      <c r="B6911">
        <v>0.93271733317574401</v>
      </c>
      <c r="C6911">
        <v>0.92342397672786003</v>
      </c>
      <c r="D6911">
        <v>0.96603094005250401</v>
      </c>
      <c r="E6911">
        <v>0.96142931561648604</v>
      </c>
    </row>
    <row r="6912" spans="1:5" x14ac:dyDescent="0.2">
      <c r="A6912">
        <v>0.80335000000000001</v>
      </c>
      <c r="B6912">
        <v>0.93284024294459</v>
      </c>
      <c r="C6912">
        <v>0.92356315731621297</v>
      </c>
      <c r="D6912">
        <v>0.96609836092929902</v>
      </c>
      <c r="E6912">
        <v>0.96151114582984898</v>
      </c>
    </row>
    <row r="6913" spans="1:5" x14ac:dyDescent="0.2">
      <c r="A6913">
        <v>0.80368333333333297</v>
      </c>
      <c r="B6913">
        <v>0.93296311791077102</v>
      </c>
      <c r="C6913">
        <v>0.92370230113205698</v>
      </c>
      <c r="D6913">
        <v>0.96616573298111996</v>
      </c>
      <c r="E6913">
        <v>0.96159292046420597</v>
      </c>
    </row>
    <row r="6914" spans="1:5" x14ac:dyDescent="0.2">
      <c r="A6914">
        <v>0.80401666666666705</v>
      </c>
      <c r="B6914">
        <v>0.93308595809860195</v>
      </c>
      <c r="C6914">
        <v>0.92384140820003402</v>
      </c>
      <c r="D6914">
        <v>0.96623305599125897</v>
      </c>
      <c r="E6914">
        <v>0.961674639485817</v>
      </c>
    </row>
    <row r="6915" spans="1:5" x14ac:dyDescent="0.2">
      <c r="A6915">
        <v>0.80435000000000001</v>
      </c>
      <c r="B6915">
        <v>0.93320876353239901</v>
      </c>
      <c r="C6915">
        <v>0.92398047854478504</v>
      </c>
      <c r="D6915">
        <v>0.96630032974300994</v>
      </c>
      <c r="E6915">
        <v>0.96175630286093905</v>
      </c>
    </row>
    <row r="6916" spans="1:5" x14ac:dyDescent="0.2">
      <c r="A6916">
        <v>0.80468333333333297</v>
      </c>
      <c r="B6916">
        <v>0.93333153423647697</v>
      </c>
      <c r="C6916">
        <v>0.92411951219095101</v>
      </c>
      <c r="D6916">
        <v>0.96636755401966601</v>
      </c>
      <c r="E6916">
        <v>0.96183791055583201</v>
      </c>
    </row>
    <row r="6917" spans="1:5" x14ac:dyDescent="0.2">
      <c r="A6917">
        <v>0.80501666666666705</v>
      </c>
      <c r="B6917">
        <v>0.93345427023515304</v>
      </c>
      <c r="C6917">
        <v>0.92425850916317298</v>
      </c>
      <c r="D6917">
        <v>0.96643472860451995</v>
      </c>
      <c r="E6917">
        <v>0.96191946253675198</v>
      </c>
    </row>
    <row r="6918" spans="1:5" x14ac:dyDescent="0.2">
      <c r="A6918">
        <v>0.80535000000000001</v>
      </c>
      <c r="B6918">
        <v>0.933576971552741</v>
      </c>
      <c r="C6918">
        <v>0.92439746948609203</v>
      </c>
      <c r="D6918">
        <v>0.96650185328086602</v>
      </c>
      <c r="E6918">
        <v>0.96200095876995995</v>
      </c>
    </row>
    <row r="6919" spans="1:5" x14ac:dyDescent="0.2">
      <c r="A6919">
        <v>0.80568333333333297</v>
      </c>
      <c r="B6919">
        <v>0.93369963821355695</v>
      </c>
      <c r="C6919">
        <v>0.92453639318434899</v>
      </c>
      <c r="D6919">
        <v>0.96656892783199599</v>
      </c>
      <c r="E6919">
        <v>0.96208239922171201</v>
      </c>
    </row>
    <row r="6920" spans="1:5" x14ac:dyDescent="0.2">
      <c r="A6920">
        <v>0.80601666666666705</v>
      </c>
      <c r="B6920">
        <v>0.933822270241918</v>
      </c>
      <c r="C6920">
        <v>0.92467528028258505</v>
      </c>
      <c r="D6920">
        <v>0.96663595204120401</v>
      </c>
      <c r="E6920">
        <v>0.96216378385826795</v>
      </c>
    </row>
    <row r="6921" spans="1:5" x14ac:dyDescent="0.2">
      <c r="A6921">
        <v>0.80635000000000001</v>
      </c>
      <c r="B6921">
        <v>0.93394486766213802</v>
      </c>
      <c r="C6921">
        <v>0.92481413080544095</v>
      </c>
      <c r="D6921">
        <v>0.96670292569178196</v>
      </c>
      <c r="E6921">
        <v>0.96224511264588597</v>
      </c>
    </row>
    <row r="6922" spans="1:5" x14ac:dyDescent="0.2">
      <c r="A6922">
        <v>0.80668333333333297</v>
      </c>
      <c r="B6922">
        <v>0.93406743049853302</v>
      </c>
      <c r="C6922">
        <v>0.92495294477755896</v>
      </c>
      <c r="D6922">
        <v>0.96676984856702497</v>
      </c>
      <c r="E6922">
        <v>0.96232638555082295</v>
      </c>
    </row>
    <row r="6923" spans="1:5" x14ac:dyDescent="0.2">
      <c r="A6923">
        <v>0.80701666666666705</v>
      </c>
      <c r="B6923">
        <v>0.93418995877541899</v>
      </c>
      <c r="C6923">
        <v>0.92509172222358005</v>
      </c>
      <c r="D6923">
        <v>0.96683672045022495</v>
      </c>
      <c r="E6923">
        <v>0.96240760253933999</v>
      </c>
    </row>
    <row r="6924" spans="1:5" x14ac:dyDescent="0.2">
      <c r="A6924">
        <v>0.80735000000000001</v>
      </c>
      <c r="B6924">
        <v>0.93431245251711104</v>
      </c>
      <c r="C6924">
        <v>0.92523046316814295</v>
      </c>
      <c r="D6924">
        <v>0.96690354112467602</v>
      </c>
      <c r="E6924">
        <v>0.96248876357769297</v>
      </c>
    </row>
    <row r="6925" spans="1:5" x14ac:dyDescent="0.2">
      <c r="A6925">
        <v>0.80768333333333298</v>
      </c>
      <c r="B6925">
        <v>0.93443491174792603</v>
      </c>
      <c r="C6925">
        <v>0.92536916763589205</v>
      </c>
      <c r="D6925">
        <v>0.96697031037366998</v>
      </c>
      <c r="E6925">
        <v>0.962569868632142</v>
      </c>
    </row>
    <row r="6926" spans="1:5" x14ac:dyDescent="0.2">
      <c r="A6926">
        <v>0.80801666666666705</v>
      </c>
      <c r="B6926">
        <v>0.93455733649217798</v>
      </c>
      <c r="C6926">
        <v>0.92550783565146599</v>
      </c>
      <c r="D6926">
        <v>0.96703702798050095</v>
      </c>
      <c r="E6926">
        <v>0.96265091766894395</v>
      </c>
    </row>
    <row r="6927" spans="1:5" x14ac:dyDescent="0.2">
      <c r="A6927">
        <v>0.80835000000000001</v>
      </c>
      <c r="B6927">
        <v>0.93467972677418398</v>
      </c>
      <c r="C6927">
        <v>0.92564646723950705</v>
      </c>
      <c r="D6927">
        <v>0.96710369372846094</v>
      </c>
      <c r="E6927">
        <v>0.96273191065435804</v>
      </c>
    </row>
    <row r="6928" spans="1:5" x14ac:dyDescent="0.2">
      <c r="A6928">
        <v>0.80868333333333298</v>
      </c>
      <c r="B6928">
        <v>0.93480208261825903</v>
      </c>
      <c r="C6928">
        <v>0.92578506242465597</v>
      </c>
      <c r="D6928">
        <v>0.96717030740084498</v>
      </c>
      <c r="E6928">
        <v>0.96281284755464303</v>
      </c>
    </row>
    <row r="6929" spans="1:5" x14ac:dyDescent="0.2">
      <c r="A6929">
        <v>0.80901666666666705</v>
      </c>
      <c r="B6929">
        <v>0.93492440404871802</v>
      </c>
      <c r="C6929">
        <v>0.92592362123155403</v>
      </c>
      <c r="D6929">
        <v>0.96723686878094495</v>
      </c>
      <c r="E6929">
        <v>0.96289372833605602</v>
      </c>
    </row>
    <row r="6930" spans="1:5" x14ac:dyDescent="0.2">
      <c r="A6930">
        <v>0.80935000000000001</v>
      </c>
      <c r="B6930">
        <v>0.93504669108987803</v>
      </c>
      <c r="C6930">
        <v>0.92606214368484197</v>
      </c>
      <c r="D6930">
        <v>0.96730337765205499</v>
      </c>
      <c r="E6930">
        <v>0.96297455296485601</v>
      </c>
    </row>
    <row r="6931" spans="1:5" x14ac:dyDescent="0.2">
      <c r="A6931">
        <v>0.80968333333333298</v>
      </c>
      <c r="B6931">
        <v>0.93516894376605297</v>
      </c>
      <c r="C6931">
        <v>0.92620062980916096</v>
      </c>
      <c r="D6931">
        <v>0.96736983379746699</v>
      </c>
      <c r="E6931">
        <v>0.96305532140730199</v>
      </c>
    </row>
    <row r="6932" spans="1:5" x14ac:dyDescent="0.2">
      <c r="A6932">
        <v>0.81001666666666705</v>
      </c>
      <c r="B6932">
        <v>0.93529116210156005</v>
      </c>
      <c r="C6932">
        <v>0.92633907962915196</v>
      </c>
      <c r="D6932">
        <v>0.96743623700047499</v>
      </c>
      <c r="E6932">
        <v>0.96313603362965206</v>
      </c>
    </row>
    <row r="6933" spans="1:5" x14ac:dyDescent="0.2">
      <c r="A6933">
        <v>0.81035000000000001</v>
      </c>
      <c r="B6933">
        <v>0.93541334612049098</v>
      </c>
      <c r="C6933">
        <v>0.92647749316936401</v>
      </c>
      <c r="D6933">
        <v>0.96750258704437297</v>
      </c>
      <c r="E6933">
        <v>0.96321668959816398</v>
      </c>
    </row>
    <row r="6934" spans="1:5" x14ac:dyDescent="0.2">
      <c r="A6934">
        <v>0.81068333333333298</v>
      </c>
      <c r="B6934">
        <v>0.93553549584617501</v>
      </c>
      <c r="C6934">
        <v>0.92661587045402205</v>
      </c>
      <c r="D6934">
        <v>0.96756888371245198</v>
      </c>
      <c r="E6934">
        <v>0.96329728927909697</v>
      </c>
    </row>
    <row r="6935" spans="1:5" x14ac:dyDescent="0.2">
      <c r="A6935">
        <v>0.81101666666666705</v>
      </c>
      <c r="B6935">
        <v>0.93565761130177405</v>
      </c>
      <c r="C6935">
        <v>0.92675421150728698</v>
      </c>
      <c r="D6935">
        <v>0.96763512678800701</v>
      </c>
      <c r="E6935">
        <v>0.96337783263870802</v>
      </c>
    </row>
    <row r="6936" spans="1:5" x14ac:dyDescent="0.2">
      <c r="A6936">
        <v>0.81135000000000002</v>
      </c>
      <c r="B6936">
        <v>0.93577969251045001</v>
      </c>
      <c r="C6936">
        <v>0.92689251635331404</v>
      </c>
      <c r="D6936">
        <v>0.96770131605432996</v>
      </c>
      <c r="E6936">
        <v>0.96345831964325701</v>
      </c>
    </row>
    <row r="6937" spans="1:5" x14ac:dyDescent="0.2">
      <c r="A6937">
        <v>0.81168333333333298</v>
      </c>
      <c r="B6937">
        <v>0.93590173949536604</v>
      </c>
      <c r="C6937">
        <v>0.92703078501626401</v>
      </c>
      <c r="D6937">
        <v>0.96776745129471498</v>
      </c>
      <c r="E6937">
        <v>0.96353875025900204</v>
      </c>
    </row>
    <row r="6938" spans="1:5" x14ac:dyDescent="0.2">
      <c r="A6938">
        <v>0.81201666666666705</v>
      </c>
      <c r="B6938">
        <v>0.93602375227968604</v>
      </c>
      <c r="C6938">
        <v>0.92716901752029401</v>
      </c>
      <c r="D6938">
        <v>0.96783353229245495</v>
      </c>
      <c r="E6938">
        <v>0.96361912445220099</v>
      </c>
    </row>
    <row r="6939" spans="1:5" x14ac:dyDescent="0.2">
      <c r="A6939">
        <v>0.81235000000000002</v>
      </c>
      <c r="B6939">
        <v>0.93614573088657105</v>
      </c>
      <c r="C6939">
        <v>0.92730721388956205</v>
      </c>
      <c r="D6939">
        <v>0.967899558830843</v>
      </c>
      <c r="E6939">
        <v>0.96369944218911197</v>
      </c>
    </row>
    <row r="6940" spans="1:5" x14ac:dyDescent="0.2">
      <c r="A6940">
        <v>0.81268333333333298</v>
      </c>
      <c r="B6940">
        <v>0.93626767533918398</v>
      </c>
      <c r="C6940">
        <v>0.92744537414822603</v>
      </c>
      <c r="D6940">
        <v>0.96796553069317204</v>
      </c>
      <c r="E6940">
        <v>0.96377970343599395</v>
      </c>
    </row>
    <row r="6941" spans="1:5" x14ac:dyDescent="0.2">
      <c r="A6941">
        <v>0.81301666666666705</v>
      </c>
      <c r="B6941">
        <v>0.93638958566068797</v>
      </c>
      <c r="C6941">
        <v>0.92758349832044396</v>
      </c>
      <c r="D6941">
        <v>0.96803144766273597</v>
      </c>
      <c r="E6941">
        <v>0.96385990815910505</v>
      </c>
    </row>
    <row r="6942" spans="1:5" x14ac:dyDescent="0.2">
      <c r="A6942">
        <v>0.81335000000000002</v>
      </c>
      <c r="B6942">
        <v>0.93651146187424605</v>
      </c>
      <c r="C6942">
        <v>0.92772158643037606</v>
      </c>
      <c r="D6942">
        <v>0.96809730952282702</v>
      </c>
      <c r="E6942">
        <v>0.96394005632470303</v>
      </c>
    </row>
    <row r="6943" spans="1:5" x14ac:dyDescent="0.2">
      <c r="A6943">
        <v>0.81368333333333298</v>
      </c>
      <c r="B6943">
        <v>0.93663330400302103</v>
      </c>
      <c r="C6943">
        <v>0.92785963850217801</v>
      </c>
      <c r="D6943">
        <v>0.96816311605673899</v>
      </c>
      <c r="E6943">
        <v>0.964020147899048</v>
      </c>
    </row>
    <row r="6944" spans="1:5" x14ac:dyDescent="0.2">
      <c r="A6944">
        <v>0.81401666666666705</v>
      </c>
      <c r="B6944">
        <v>0.93675511207017503</v>
      </c>
      <c r="C6944">
        <v>0.92799765456000904</v>
      </c>
      <c r="D6944">
        <v>0.96822886704776501</v>
      </c>
      <c r="E6944">
        <v>0.96410018284839705</v>
      </c>
    </row>
    <row r="6945" spans="1:5" x14ac:dyDescent="0.2">
      <c r="A6945">
        <v>0.81435000000000002</v>
      </c>
      <c r="B6945">
        <v>0.93687688609886999</v>
      </c>
      <c r="C6945">
        <v>0.92813563462802695</v>
      </c>
      <c r="D6945">
        <v>0.96829456227919797</v>
      </c>
      <c r="E6945">
        <v>0.96418016113900795</v>
      </c>
    </row>
    <row r="6946" spans="1:5" x14ac:dyDescent="0.2">
      <c r="A6946">
        <v>0.81468333333333298</v>
      </c>
      <c r="B6946">
        <v>0.93699862611227003</v>
      </c>
      <c r="C6946">
        <v>0.92827357873039096</v>
      </c>
      <c r="D6946">
        <v>0.968360201534331</v>
      </c>
      <c r="E6946">
        <v>0.96426008273714103</v>
      </c>
    </row>
    <row r="6947" spans="1:5" x14ac:dyDescent="0.2">
      <c r="A6947">
        <v>0.81501666666666694</v>
      </c>
      <c r="B6947">
        <v>0.93712033213353696</v>
      </c>
      <c r="C6947">
        <v>0.92841148689125796</v>
      </c>
      <c r="D6947">
        <v>0.96842578459645801</v>
      </c>
      <c r="E6947">
        <v>0.96433994760905295</v>
      </c>
    </row>
    <row r="6948" spans="1:5" x14ac:dyDescent="0.2">
      <c r="A6948">
        <v>0.81535000000000002</v>
      </c>
      <c r="B6948">
        <v>0.93724200418583403</v>
      </c>
      <c r="C6948">
        <v>0.92854935913478698</v>
      </c>
      <c r="D6948">
        <v>0.968491311248871</v>
      </c>
      <c r="E6948">
        <v>0.96441975572100203</v>
      </c>
    </row>
    <row r="6949" spans="1:5" x14ac:dyDescent="0.2">
      <c r="A6949">
        <v>0.81568333333333298</v>
      </c>
      <c r="B6949">
        <v>0.93736364229232305</v>
      </c>
      <c r="C6949">
        <v>0.92868719548513601</v>
      </c>
      <c r="D6949">
        <v>0.968556781274865</v>
      </c>
      <c r="E6949">
        <v>0.96449950703924803</v>
      </c>
    </row>
    <row r="6950" spans="1:5" x14ac:dyDescent="0.2">
      <c r="A6950">
        <v>0.81601666666666695</v>
      </c>
      <c r="B6950">
        <v>0.93748524647616804</v>
      </c>
      <c r="C6950">
        <v>0.92882499596646195</v>
      </c>
      <c r="D6950">
        <v>0.96862219445773101</v>
      </c>
      <c r="E6950">
        <v>0.96457920153004795</v>
      </c>
    </row>
    <row r="6951" spans="1:5" x14ac:dyDescent="0.2">
      <c r="A6951">
        <v>0.81635000000000002</v>
      </c>
      <c r="B6951">
        <v>0.93760681676053104</v>
      </c>
      <c r="C6951">
        <v>0.92896276060292504</v>
      </c>
      <c r="D6951">
        <v>0.96868755058076395</v>
      </c>
      <c r="E6951">
        <v>0.964658839159661</v>
      </c>
    </row>
    <row r="6952" spans="1:5" x14ac:dyDescent="0.2">
      <c r="A6952">
        <v>0.81668333333333298</v>
      </c>
      <c r="B6952">
        <v>0.93772835316857395</v>
      </c>
      <c r="C6952">
        <v>0.92910048941868195</v>
      </c>
      <c r="D6952">
        <v>0.96875284942725504</v>
      </c>
      <c r="E6952">
        <v>0.96473841989434606</v>
      </c>
    </row>
    <row r="6953" spans="1:5" x14ac:dyDescent="0.2">
      <c r="A6953">
        <v>0.81701666666666695</v>
      </c>
      <c r="B6953">
        <v>0.93784985572346102</v>
      </c>
      <c r="C6953">
        <v>0.92923818243789202</v>
      </c>
      <c r="D6953">
        <v>0.96881809078049996</v>
      </c>
      <c r="E6953">
        <v>0.96481794370036</v>
      </c>
    </row>
    <row r="6954" spans="1:5" x14ac:dyDescent="0.2">
      <c r="A6954">
        <v>0.81735000000000002</v>
      </c>
      <c r="B6954">
        <v>0.93797132444835396</v>
      </c>
      <c r="C6954">
        <v>0.92937583968471205</v>
      </c>
      <c r="D6954">
        <v>0.96888327442378996</v>
      </c>
      <c r="E6954">
        <v>0.96489741054396205</v>
      </c>
    </row>
    <row r="6955" spans="1:5" x14ac:dyDescent="0.2">
      <c r="A6955">
        <v>0.81768333333333298</v>
      </c>
      <c r="B6955">
        <v>0.93809275936641501</v>
      </c>
      <c r="C6955">
        <v>0.92951346118330103</v>
      </c>
      <c r="D6955">
        <v>0.96894840014041905</v>
      </c>
      <c r="E6955">
        <v>0.96497682039140997</v>
      </c>
    </row>
    <row r="6956" spans="1:5" x14ac:dyDescent="0.2">
      <c r="A6956">
        <v>0.81801666666666695</v>
      </c>
      <c r="B6956">
        <v>0.93821416050080797</v>
      </c>
      <c r="C6956">
        <v>0.92965104695781697</v>
      </c>
      <c r="D6956">
        <v>0.96901346771368002</v>
      </c>
      <c r="E6956">
        <v>0.96505617320896298</v>
      </c>
    </row>
    <row r="6957" spans="1:5" x14ac:dyDescent="0.2">
      <c r="A6957">
        <v>0.81835000000000002</v>
      </c>
      <c r="B6957">
        <v>0.93833552787469499</v>
      </c>
      <c r="C6957">
        <v>0.92978859703241901</v>
      </c>
      <c r="D6957">
        <v>0.96907847692686599</v>
      </c>
      <c r="E6957">
        <v>0.96513546896287905</v>
      </c>
    </row>
    <row r="6958" spans="1:5" x14ac:dyDescent="0.2">
      <c r="A6958">
        <v>0.81868333333333299</v>
      </c>
      <c r="B6958">
        <v>0.93845686151123897</v>
      </c>
      <c r="C6958">
        <v>0.92992611143126302</v>
      </c>
      <c r="D6958">
        <v>0.96914342756327099</v>
      </c>
      <c r="E6958">
        <v>0.96521470761941597</v>
      </c>
    </row>
    <row r="6959" spans="1:5" x14ac:dyDescent="0.2">
      <c r="A6959">
        <v>0.81901666666666695</v>
      </c>
      <c r="B6959">
        <v>0.93857816143360195</v>
      </c>
      <c r="C6959">
        <v>0.93006359017850904</v>
      </c>
      <c r="D6959">
        <v>0.96920831940618701</v>
      </c>
      <c r="E6959">
        <v>0.96529388914483305</v>
      </c>
    </row>
    <row r="6960" spans="1:5" x14ac:dyDescent="0.2">
      <c r="A6960">
        <v>0.81935000000000002</v>
      </c>
      <c r="B6960">
        <v>0.93869942766494796</v>
      </c>
      <c r="C6960">
        <v>0.93020103329831505</v>
      </c>
      <c r="D6960">
        <v>0.96927315223890897</v>
      </c>
      <c r="E6960">
        <v>0.96537301350538895</v>
      </c>
    </row>
    <row r="6961" spans="1:5" x14ac:dyDescent="0.2">
      <c r="A6961">
        <v>0.81968333333333299</v>
      </c>
      <c r="B6961">
        <v>0.93882066022843802</v>
      </c>
      <c r="C6961">
        <v>0.93033844081483896</v>
      </c>
      <c r="D6961">
        <v>0.969337925844728</v>
      </c>
      <c r="E6961">
        <v>0.96545208066734101</v>
      </c>
    </row>
    <row r="6962" spans="1:5" x14ac:dyDescent="0.2">
      <c r="A6962">
        <v>0.82001666666666695</v>
      </c>
      <c r="B6962">
        <v>0.93894185914723605</v>
      </c>
      <c r="C6962">
        <v>0.93047581275223901</v>
      </c>
      <c r="D6962">
        <v>0.96940264000693799</v>
      </c>
      <c r="E6962">
        <v>0.96553109059694797</v>
      </c>
    </row>
    <row r="6963" spans="1:5" x14ac:dyDescent="0.2">
      <c r="A6963">
        <v>0.82035000000000002</v>
      </c>
      <c r="B6963">
        <v>0.93906302444443701</v>
      </c>
      <c r="C6963">
        <v>0.93061314913448201</v>
      </c>
      <c r="D6963">
        <v>0.96946729450883196</v>
      </c>
      <c r="E6963">
        <v>0.96561004326046795</v>
      </c>
    </row>
    <row r="6964" spans="1:5" x14ac:dyDescent="0.2">
      <c r="A6964">
        <v>0.82068333333333299</v>
      </c>
      <c r="B6964">
        <v>0.93918415614290096</v>
      </c>
      <c r="C6964">
        <v>0.93075044998488099</v>
      </c>
      <c r="D6964">
        <v>0.96953188913370403</v>
      </c>
      <c r="E6964">
        <v>0.96568893862416005</v>
      </c>
    </row>
    <row r="6965" spans="1:5" x14ac:dyDescent="0.2">
      <c r="A6965">
        <v>0.82101666666666695</v>
      </c>
      <c r="B6965">
        <v>0.93930525426544098</v>
      </c>
      <c r="C6965">
        <v>0.93088771532660597</v>
      </c>
      <c r="D6965">
        <v>0.969596423664847</v>
      </c>
      <c r="E6965">
        <v>0.96576777665428204</v>
      </c>
    </row>
    <row r="6966" spans="1:5" x14ac:dyDescent="0.2">
      <c r="A6966">
        <v>0.82135000000000002</v>
      </c>
      <c r="B6966">
        <v>0.93942631883486805</v>
      </c>
      <c r="C6966">
        <v>0.93102494518282797</v>
      </c>
      <c r="D6966">
        <v>0.96966089788555299</v>
      </c>
      <c r="E6966">
        <v>0.96584655731709201</v>
      </c>
    </row>
    <row r="6967" spans="1:5" x14ac:dyDescent="0.2">
      <c r="A6967">
        <v>0.82168333333333299</v>
      </c>
      <c r="B6967">
        <v>0.93954734987399302</v>
      </c>
      <c r="C6967">
        <v>0.93116213957671701</v>
      </c>
      <c r="D6967">
        <v>0.96972531157911701</v>
      </c>
      <c r="E6967">
        <v>0.96592528057884897</v>
      </c>
    </row>
    <row r="6968" spans="1:5" x14ac:dyDescent="0.2">
      <c r="A6968">
        <v>0.82201666666666695</v>
      </c>
      <c r="B6968">
        <v>0.93966834740562799</v>
      </c>
      <c r="C6968">
        <v>0.931299298531445</v>
      </c>
      <c r="D6968">
        <v>0.96978966452883097</v>
      </c>
      <c r="E6968">
        <v>0.966003946405811</v>
      </c>
    </row>
    <row r="6969" spans="1:5" x14ac:dyDescent="0.2">
      <c r="A6969">
        <v>0.82235000000000003</v>
      </c>
      <c r="B6969">
        <v>0.93978931145258304</v>
      </c>
      <c r="C6969">
        <v>0.93143642207018196</v>
      </c>
      <c r="D6969">
        <v>0.969853956517988</v>
      </c>
      <c r="E6969">
        <v>0.96608255476423699</v>
      </c>
    </row>
    <row r="6970" spans="1:5" x14ac:dyDescent="0.2">
      <c r="A6970">
        <v>0.82268333333333299</v>
      </c>
      <c r="B6970">
        <v>0.93991024203767104</v>
      </c>
      <c r="C6970">
        <v>0.93157351021609802</v>
      </c>
      <c r="D6970">
        <v>0.969918187329881</v>
      </c>
      <c r="E6970">
        <v>0.96616110562038404</v>
      </c>
    </row>
    <row r="6971" spans="1:5" x14ac:dyDescent="0.2">
      <c r="A6971">
        <v>0.82301666666666695</v>
      </c>
      <c r="B6971">
        <v>0.94003113918370296</v>
      </c>
      <c r="C6971">
        <v>0.93171056299236499</v>
      </c>
      <c r="D6971">
        <v>0.96998235674780398</v>
      </c>
      <c r="E6971">
        <v>0.96623959894051203</v>
      </c>
    </row>
    <row r="6972" spans="1:5" x14ac:dyDescent="0.2">
      <c r="A6972">
        <v>0.82335000000000003</v>
      </c>
      <c r="B6972">
        <v>0.94015200291348999</v>
      </c>
      <c r="C6972">
        <v>0.93184758042215299</v>
      </c>
      <c r="D6972">
        <v>0.97004646455505095</v>
      </c>
      <c r="E6972">
        <v>0.96631803469087796</v>
      </c>
    </row>
    <row r="6973" spans="1:5" x14ac:dyDescent="0.2">
      <c r="A6973">
        <v>0.82368333333333299</v>
      </c>
      <c r="B6973">
        <v>0.94027283324984301</v>
      </c>
      <c r="C6973">
        <v>0.93198456252863204</v>
      </c>
      <c r="D6973">
        <v>0.97011051053491304</v>
      </c>
      <c r="E6973">
        <v>0.96639641283774202</v>
      </c>
    </row>
    <row r="6974" spans="1:5" x14ac:dyDescent="0.2">
      <c r="A6974">
        <v>0.82401666666666695</v>
      </c>
      <c r="B6974">
        <v>0.94039363021557398</v>
      </c>
      <c r="C6974">
        <v>0.93212150933497395</v>
      </c>
      <c r="D6974">
        <v>0.97017449447068405</v>
      </c>
      <c r="E6974">
        <v>0.96647473334736</v>
      </c>
    </row>
    <row r="6975" spans="1:5" x14ac:dyDescent="0.2">
      <c r="A6975">
        <v>0.82435000000000003</v>
      </c>
      <c r="B6975">
        <v>0.940514393833495</v>
      </c>
      <c r="C6975">
        <v>0.93225842086434896</v>
      </c>
      <c r="D6975">
        <v>0.97023841614565798</v>
      </c>
      <c r="E6975">
        <v>0.966552996185993</v>
      </c>
    </row>
    <row r="6976" spans="1:5" x14ac:dyDescent="0.2">
      <c r="A6976">
        <v>0.82468333333333299</v>
      </c>
      <c r="B6976">
        <v>0.94063512412641503</v>
      </c>
      <c r="C6976">
        <v>0.93239529713992797</v>
      </c>
      <c r="D6976">
        <v>0.97030227534312796</v>
      </c>
      <c r="E6976">
        <v>0.96663120131989699</v>
      </c>
    </row>
    <row r="6977" spans="1:5" x14ac:dyDescent="0.2">
      <c r="A6977">
        <v>0.82501666666666695</v>
      </c>
      <c r="B6977">
        <v>0.94075582111714795</v>
      </c>
      <c r="C6977">
        <v>0.93253213818488101</v>
      </c>
      <c r="D6977">
        <v>0.97036607184638601</v>
      </c>
      <c r="E6977">
        <v>0.96670934871533198</v>
      </c>
    </row>
    <row r="6978" spans="1:5" x14ac:dyDescent="0.2">
      <c r="A6978">
        <v>0.82535000000000003</v>
      </c>
      <c r="B6978">
        <v>0.94087648482850506</v>
      </c>
      <c r="C6978">
        <v>0.93266894402237899</v>
      </c>
      <c r="D6978">
        <v>0.97042980543872603</v>
      </c>
      <c r="E6978">
        <v>0.96678743833855596</v>
      </c>
    </row>
    <row r="6979" spans="1:5" x14ac:dyDescent="0.2">
      <c r="A6979">
        <v>0.82568333333333299</v>
      </c>
      <c r="B6979">
        <v>0.94099711528329599</v>
      </c>
      <c r="C6979">
        <v>0.93280571467559403</v>
      </c>
      <c r="D6979">
        <v>0.97049347590344104</v>
      </c>
      <c r="E6979">
        <v>0.96686547015582602</v>
      </c>
    </row>
    <row r="6980" spans="1:5" x14ac:dyDescent="0.2">
      <c r="A6980">
        <v>0.82601666666666695</v>
      </c>
      <c r="B6980">
        <v>0.94111771250433296</v>
      </c>
      <c r="C6980">
        <v>0.93294245016769395</v>
      </c>
      <c r="D6980">
        <v>0.97055708302382504</v>
      </c>
      <c r="E6980">
        <v>0.96694344413340305</v>
      </c>
    </row>
    <row r="6981" spans="1:5" x14ac:dyDescent="0.2">
      <c r="A6981">
        <v>0.82635000000000003</v>
      </c>
      <c r="B6981">
        <v>0.94123827651442704</v>
      </c>
      <c r="C6981">
        <v>0.93307915052185297</v>
      </c>
      <c r="D6981">
        <v>0.97062062658317005</v>
      </c>
      <c r="E6981">
        <v>0.96702136023754304</v>
      </c>
    </row>
    <row r="6982" spans="1:5" x14ac:dyDescent="0.2">
      <c r="A6982">
        <v>0.82668333333333299</v>
      </c>
      <c r="B6982">
        <v>0.94135880733639099</v>
      </c>
      <c r="C6982">
        <v>0.93321581576123902</v>
      </c>
      <c r="D6982">
        <v>0.97068410636476998</v>
      </c>
      <c r="E6982">
        <v>0.96709921843450597</v>
      </c>
    </row>
    <row r="6983" spans="1:5" x14ac:dyDescent="0.2">
      <c r="A6983">
        <v>0.82701666666666696</v>
      </c>
      <c r="B6983">
        <v>0.941479304993035</v>
      </c>
      <c r="C6983">
        <v>0.933352445909023</v>
      </c>
      <c r="D6983">
        <v>0.97074752215191695</v>
      </c>
      <c r="E6983">
        <v>0.96717701869054895</v>
      </c>
    </row>
    <row r="6984" spans="1:5" x14ac:dyDescent="0.2">
      <c r="A6984">
        <v>0.82735000000000003</v>
      </c>
      <c r="B6984">
        <v>0.94159976950716995</v>
      </c>
      <c r="C6984">
        <v>0.93348904098837704</v>
      </c>
      <c r="D6984">
        <v>0.97081087372790598</v>
      </c>
      <c r="E6984">
        <v>0.96725476097193097</v>
      </c>
    </row>
    <row r="6985" spans="1:5" x14ac:dyDescent="0.2">
      <c r="A6985">
        <v>0.82768333333333299</v>
      </c>
      <c r="B6985">
        <v>0.94172020090160802</v>
      </c>
      <c r="C6985">
        <v>0.93362560102247105</v>
      </c>
      <c r="D6985">
        <v>0.97087416087602896</v>
      </c>
      <c r="E6985">
        <v>0.96733244524491102</v>
      </c>
    </row>
    <row r="6986" spans="1:5" x14ac:dyDescent="0.2">
      <c r="A6986">
        <v>0.82801666666666696</v>
      </c>
      <c r="B6986">
        <v>0.94184059919916097</v>
      </c>
      <c r="C6986">
        <v>0.93376212603447595</v>
      </c>
      <c r="D6986">
        <v>0.97093738337957902</v>
      </c>
      <c r="E6986">
        <v>0.96741007147574698</v>
      </c>
    </row>
    <row r="6987" spans="1:5" x14ac:dyDescent="0.2">
      <c r="A6987">
        <v>0.82835000000000003</v>
      </c>
      <c r="B6987">
        <v>0.94196096442263899</v>
      </c>
      <c r="C6987">
        <v>0.93389861604756197</v>
      </c>
      <c r="D6987">
        <v>0.97100054102184896</v>
      </c>
      <c r="E6987">
        <v>0.96748763963069595</v>
      </c>
    </row>
    <row r="6988" spans="1:5" x14ac:dyDescent="0.2">
      <c r="A6988">
        <v>0.82868333333333299</v>
      </c>
      <c r="B6988">
        <v>0.94208129659485496</v>
      </c>
      <c r="C6988">
        <v>0.93403507108490003</v>
      </c>
      <c r="D6988">
        <v>0.97106363358613401</v>
      </c>
      <c r="E6988">
        <v>0.96756514967601803</v>
      </c>
    </row>
    <row r="6989" spans="1:5" x14ac:dyDescent="0.2">
      <c r="A6989">
        <v>0.82901666666666696</v>
      </c>
      <c r="B6989">
        <v>0.94220159573861895</v>
      </c>
      <c r="C6989">
        <v>0.93417149116966103</v>
      </c>
      <c r="D6989">
        <v>0.97112666085572497</v>
      </c>
      <c r="E6989">
        <v>0.967642601577971</v>
      </c>
    </row>
    <row r="6990" spans="1:5" x14ac:dyDescent="0.2">
      <c r="A6990">
        <v>0.82935000000000003</v>
      </c>
      <c r="B6990">
        <v>0.94232186187674305</v>
      </c>
      <c r="C6990">
        <v>0.934307876325016</v>
      </c>
      <c r="D6990">
        <v>0.97118962261391595</v>
      </c>
      <c r="E6990">
        <v>0.96771999530281305</v>
      </c>
    </row>
    <row r="6991" spans="1:5" x14ac:dyDescent="0.2">
      <c r="A6991">
        <v>0.829683333333333</v>
      </c>
      <c r="B6991">
        <v>0.94244209503203802</v>
      </c>
      <c r="C6991">
        <v>0.93444422657413395</v>
      </c>
      <c r="D6991">
        <v>0.97125251864400097</v>
      </c>
      <c r="E6991">
        <v>0.96779733081680297</v>
      </c>
    </row>
    <row r="6992" spans="1:5" x14ac:dyDescent="0.2">
      <c r="A6992">
        <v>0.83001666666666696</v>
      </c>
      <c r="B6992">
        <v>0.94256229522731605</v>
      </c>
      <c r="C6992">
        <v>0.93458054194018803</v>
      </c>
      <c r="D6992">
        <v>0.97131534872927205</v>
      </c>
      <c r="E6992">
        <v>0.96787460808619896</v>
      </c>
    </row>
    <row r="6993" spans="1:5" x14ac:dyDescent="0.2">
      <c r="A6993">
        <v>0.83035000000000003</v>
      </c>
      <c r="B6993">
        <v>0.94268246248519505</v>
      </c>
      <c r="C6993">
        <v>0.93471682244625898</v>
      </c>
      <c r="D6993">
        <v>0.97137811265302298</v>
      </c>
      <c r="E6993">
        <v>0.96795182707725902</v>
      </c>
    </row>
    <row r="6994" spans="1:5" x14ac:dyDescent="0.2">
      <c r="A6994">
        <v>0.830683333333333</v>
      </c>
      <c r="B6994">
        <v>0.94280259682763201</v>
      </c>
      <c r="C6994">
        <v>0.93485306811512703</v>
      </c>
      <c r="D6994">
        <v>0.971440810198546</v>
      </c>
      <c r="E6994">
        <v>0.96802898775624202</v>
      </c>
    </row>
    <row r="6995" spans="1:5" x14ac:dyDescent="0.2">
      <c r="A6995">
        <v>0.83101666666666696</v>
      </c>
      <c r="B6995">
        <v>0.94292269827644204</v>
      </c>
      <c r="C6995">
        <v>0.93498927896950701</v>
      </c>
      <c r="D6995">
        <v>0.97150344114913501</v>
      </c>
      <c r="E6995">
        <v>0.96810609008940596</v>
      </c>
    </row>
    <row r="6996" spans="1:5" x14ac:dyDescent="0.2">
      <c r="A6996">
        <v>0.83135000000000003</v>
      </c>
      <c r="B6996">
        <v>0.94304276685343802</v>
      </c>
      <c r="C6996">
        <v>0.93512545503211397</v>
      </c>
      <c r="D6996">
        <v>0.97156600528808401</v>
      </c>
      <c r="E6996">
        <v>0.96818313404300904</v>
      </c>
    </row>
    <row r="6997" spans="1:5" x14ac:dyDescent="0.2">
      <c r="A6997">
        <v>0.831683333333333</v>
      </c>
      <c r="B6997">
        <v>0.94316280258043395</v>
      </c>
      <c r="C6997">
        <v>0.93526159632566297</v>
      </c>
      <c r="D6997">
        <v>0.97162850239868404</v>
      </c>
      <c r="E6997">
        <v>0.96826011958331004</v>
      </c>
    </row>
    <row r="6998" spans="1:5" x14ac:dyDescent="0.2">
      <c r="A6998">
        <v>0.83201666666666696</v>
      </c>
      <c r="B6998">
        <v>0.94328280547924503</v>
      </c>
      <c r="C6998">
        <v>0.93539770287286605</v>
      </c>
      <c r="D6998">
        <v>0.97169093226423098</v>
      </c>
      <c r="E6998">
        <v>0.96833704667656795</v>
      </c>
    </row>
    <row r="6999" spans="1:5" x14ac:dyDescent="0.2">
      <c r="A6999">
        <v>0.83235000000000003</v>
      </c>
      <c r="B6999">
        <v>0.94340277557168295</v>
      </c>
      <c r="C6999">
        <v>0.93553377469644095</v>
      </c>
      <c r="D6999">
        <v>0.97175329466801497</v>
      </c>
      <c r="E6999">
        <v>0.96841391528903897</v>
      </c>
    </row>
    <row r="7000" spans="1:5" x14ac:dyDescent="0.2">
      <c r="A7000">
        <v>0.832683333333333</v>
      </c>
      <c r="B7000">
        <v>0.94352271287956402</v>
      </c>
      <c r="C7000">
        <v>0.93566981181910103</v>
      </c>
      <c r="D7000">
        <v>0.97181558939333201</v>
      </c>
      <c r="E7000">
        <v>0.968490725386984</v>
      </c>
    </row>
    <row r="7001" spans="1:5" x14ac:dyDescent="0.2">
      <c r="A7001">
        <v>0.83301666666666696</v>
      </c>
      <c r="B7001">
        <v>0.94364261742470101</v>
      </c>
      <c r="C7001">
        <v>0.93580581426356002</v>
      </c>
      <c r="D7001">
        <v>0.97187781622347402</v>
      </c>
      <c r="E7001">
        <v>0.96856747693666001</v>
      </c>
    </row>
    <row r="7002" spans="1:5" x14ac:dyDescent="0.2">
      <c r="A7002">
        <v>0.83335000000000004</v>
      </c>
      <c r="B7002">
        <v>0.94376248922890904</v>
      </c>
      <c r="C7002">
        <v>0.93594178205253398</v>
      </c>
      <c r="D7002">
        <v>0.97193997494173401</v>
      </c>
      <c r="E7002">
        <v>0.968644169904326</v>
      </c>
    </row>
    <row r="7003" spans="1:5" x14ac:dyDescent="0.2">
      <c r="A7003">
        <v>0.833683333333333</v>
      </c>
      <c r="B7003">
        <v>0.94388232831400098</v>
      </c>
      <c r="C7003">
        <v>0.93607771520873695</v>
      </c>
      <c r="D7003">
        <v>0.97200206533140499</v>
      </c>
      <c r="E7003">
        <v>0.96872080425623996</v>
      </c>
    </row>
    <row r="7004" spans="1:5" x14ac:dyDescent="0.2">
      <c r="A7004">
        <v>0.83401666666666696</v>
      </c>
      <c r="B7004">
        <v>0.94400213470179095</v>
      </c>
      <c r="C7004">
        <v>0.93621361375488299</v>
      </c>
      <c r="D7004">
        <v>0.97206408717578097</v>
      </c>
      <c r="E7004">
        <v>0.96879737995866</v>
      </c>
    </row>
    <row r="7005" spans="1:5" x14ac:dyDescent="0.2">
      <c r="A7005">
        <v>0.83435000000000004</v>
      </c>
      <c r="B7005">
        <v>0.94412190841409405</v>
      </c>
      <c r="C7005">
        <v>0.93634947771368704</v>
      </c>
      <c r="D7005">
        <v>0.97212604025815397</v>
      </c>
      <c r="E7005">
        <v>0.96887389697784498</v>
      </c>
    </row>
    <row r="7006" spans="1:5" x14ac:dyDescent="0.2">
      <c r="A7006">
        <v>0.834683333333333</v>
      </c>
      <c r="B7006">
        <v>0.94424164947272304</v>
      </c>
      <c r="C7006">
        <v>0.93648530710786404</v>
      </c>
      <c r="D7006">
        <v>0.972187924361818</v>
      </c>
      <c r="E7006">
        <v>0.96895035528005302</v>
      </c>
    </row>
    <row r="7007" spans="1:5" x14ac:dyDescent="0.2">
      <c r="A7007">
        <v>0.83501666666666696</v>
      </c>
      <c r="B7007">
        <v>0.94436135789949305</v>
      </c>
      <c r="C7007">
        <v>0.93662110196012904</v>
      </c>
      <c r="D7007">
        <v>0.97224973927006697</v>
      </c>
      <c r="E7007">
        <v>0.96902675483154299</v>
      </c>
    </row>
    <row r="7008" spans="1:5" x14ac:dyDescent="0.2">
      <c r="A7008">
        <v>0.83535000000000004</v>
      </c>
      <c r="B7008">
        <v>0.94448103371621706</v>
      </c>
      <c r="C7008">
        <v>0.93675686229319599</v>
      </c>
      <c r="D7008">
        <v>0.972311484766193</v>
      </c>
      <c r="E7008">
        <v>0.969103095598572</v>
      </c>
    </row>
    <row r="7009" spans="1:5" x14ac:dyDescent="0.2">
      <c r="A7009">
        <v>0.835683333333333</v>
      </c>
      <c r="B7009">
        <v>0.94460067694470995</v>
      </c>
      <c r="C7009">
        <v>0.93689258812978005</v>
      </c>
      <c r="D7009">
        <v>0.972373160633489</v>
      </c>
      <c r="E7009">
        <v>0.96917937754740002</v>
      </c>
    </row>
    <row r="7010" spans="1:5" x14ac:dyDescent="0.2">
      <c r="A7010">
        <v>0.83601666666666696</v>
      </c>
      <c r="B7010">
        <v>0.94472028760678495</v>
      </c>
      <c r="C7010">
        <v>0.93702827949259504</v>
      </c>
      <c r="D7010">
        <v>0.97243476665524797</v>
      </c>
      <c r="E7010">
        <v>0.96925560064428395</v>
      </c>
    </row>
    <row r="7011" spans="1:5" x14ac:dyDescent="0.2">
      <c r="A7011">
        <v>0.83635000000000004</v>
      </c>
      <c r="B7011">
        <v>0.94483986572425704</v>
      </c>
      <c r="C7011">
        <v>0.93716393640435502</v>
      </c>
      <c r="D7011">
        <v>0.97249630261476505</v>
      </c>
      <c r="E7011">
        <v>0.969331764855484</v>
      </c>
    </row>
    <row r="7012" spans="1:5" x14ac:dyDescent="0.2">
      <c r="A7012">
        <v>0.836683333333333</v>
      </c>
      <c r="B7012">
        <v>0.94495941131893901</v>
      </c>
      <c r="C7012">
        <v>0.93729955888777705</v>
      </c>
      <c r="D7012">
        <v>0.97255776829533103</v>
      </c>
      <c r="E7012">
        <v>0.96940787014725605</v>
      </c>
    </row>
    <row r="7013" spans="1:5" x14ac:dyDescent="0.2">
      <c r="A7013">
        <v>0.83701666666666696</v>
      </c>
      <c r="B7013">
        <v>0.94507892441264596</v>
      </c>
      <c r="C7013">
        <v>0.93743514696557295</v>
      </c>
      <c r="D7013">
        <v>0.97261916348024102</v>
      </c>
      <c r="E7013">
        <v>0.96948391648586096</v>
      </c>
    </row>
    <row r="7014" spans="1:5" x14ac:dyDescent="0.2">
      <c r="A7014">
        <v>0.83735000000000004</v>
      </c>
      <c r="B7014">
        <v>0.94519840502719199</v>
      </c>
      <c r="C7014">
        <v>0.93757070066046</v>
      </c>
      <c r="D7014">
        <v>0.97268048795278605</v>
      </c>
      <c r="E7014">
        <v>0.96955990383755497</v>
      </c>
    </row>
    <row r="7015" spans="1:5" x14ac:dyDescent="0.2">
      <c r="A7015">
        <v>0.837683333333333</v>
      </c>
      <c r="B7015">
        <v>0.94531785318438999</v>
      </c>
      <c r="C7015">
        <v>0.93770621999515102</v>
      </c>
      <c r="D7015">
        <v>0.97274174149626202</v>
      </c>
      <c r="E7015">
        <v>0.96963583216859806</v>
      </c>
    </row>
    <row r="7016" spans="1:5" x14ac:dyDescent="0.2">
      <c r="A7016">
        <v>0.83801666666666697</v>
      </c>
      <c r="B7016">
        <v>0.94543726890605495</v>
      </c>
      <c r="C7016">
        <v>0.93784170499235997</v>
      </c>
      <c r="D7016">
        <v>0.97280292389395995</v>
      </c>
      <c r="E7016">
        <v>0.96971170144524799</v>
      </c>
    </row>
    <row r="7017" spans="1:5" x14ac:dyDescent="0.2">
      <c r="A7017">
        <v>0.83835000000000004</v>
      </c>
      <c r="B7017">
        <v>0.94555665221399998</v>
      </c>
      <c r="C7017">
        <v>0.937977155674804</v>
      </c>
      <c r="D7017">
        <v>0.97286403492917295</v>
      </c>
      <c r="E7017">
        <v>0.96978751163376298</v>
      </c>
    </row>
    <row r="7018" spans="1:5" x14ac:dyDescent="0.2">
      <c r="A7018">
        <v>0.838683333333333</v>
      </c>
      <c r="B7018">
        <v>0.94567600313004097</v>
      </c>
      <c r="C7018">
        <v>0.93811257206519605</v>
      </c>
      <c r="D7018">
        <v>0.97292507438519604</v>
      </c>
      <c r="E7018">
        <v>0.96986326270040102</v>
      </c>
    </row>
    <row r="7019" spans="1:5" x14ac:dyDescent="0.2">
      <c r="A7019">
        <v>0.83901666666666697</v>
      </c>
      <c r="B7019">
        <v>0.94579532167599001</v>
      </c>
      <c r="C7019">
        <v>0.93824795418625095</v>
      </c>
      <c r="D7019">
        <v>0.97298604204532102</v>
      </c>
      <c r="E7019">
        <v>0.96993895461142099</v>
      </c>
    </row>
    <row r="7020" spans="1:5" x14ac:dyDescent="0.2">
      <c r="A7020">
        <v>0.83935000000000004</v>
      </c>
      <c r="B7020">
        <v>0.945914607873661</v>
      </c>
      <c r="C7020">
        <v>0.93838330206068299</v>
      </c>
      <c r="D7020">
        <v>0.97304693769284101</v>
      </c>
      <c r="E7020">
        <v>0.97001458733308199</v>
      </c>
    </row>
    <row r="7021" spans="1:5" x14ac:dyDescent="0.2">
      <c r="A7021">
        <v>0.839683333333333</v>
      </c>
      <c r="B7021">
        <v>0.94603386174487003</v>
      </c>
      <c r="C7021">
        <v>0.93851861571120798</v>
      </c>
      <c r="D7021">
        <v>0.97310776111105002</v>
      </c>
      <c r="E7021">
        <v>0.97009016083164101</v>
      </c>
    </row>
    <row r="7022" spans="1:5" x14ac:dyDescent="0.2">
      <c r="A7022">
        <v>0.84001666666666697</v>
      </c>
      <c r="B7022">
        <v>0.946153083311429</v>
      </c>
      <c r="C7022">
        <v>0.93865389516053899</v>
      </c>
      <c r="D7022">
        <v>0.97316851208324096</v>
      </c>
      <c r="E7022">
        <v>0.97016567507335805</v>
      </c>
    </row>
    <row r="7023" spans="1:5" x14ac:dyDescent="0.2">
      <c r="A7023">
        <v>0.84035000000000004</v>
      </c>
      <c r="B7023">
        <v>0.94627227259504798</v>
      </c>
      <c r="C7023">
        <v>0.93878914043120498</v>
      </c>
      <c r="D7023">
        <v>0.97322919039270595</v>
      </c>
      <c r="E7023">
        <v>0.97024113002448997</v>
      </c>
    </row>
    <row r="7024" spans="1:5" x14ac:dyDescent="0.2">
      <c r="A7024">
        <v>0.840683333333333</v>
      </c>
      <c r="B7024">
        <v>0.94639142961707001</v>
      </c>
      <c r="C7024">
        <v>0.93892435154509302</v>
      </c>
      <c r="D7024">
        <v>0.97328979582274</v>
      </c>
      <c r="E7024">
        <v>0.970316525651295</v>
      </c>
    </row>
    <row r="7025" spans="1:5" x14ac:dyDescent="0.2">
      <c r="A7025">
        <v>0.84101666666666697</v>
      </c>
      <c r="B7025">
        <v>0.94651055439876097</v>
      </c>
      <c r="C7025">
        <v>0.93905952852395203</v>
      </c>
      <c r="D7025">
        <v>0.97335032815663403</v>
      </c>
      <c r="E7025">
        <v>0.97039186192003302</v>
      </c>
    </row>
    <row r="7026" spans="1:5" x14ac:dyDescent="0.2">
      <c r="A7026">
        <v>0.84135000000000004</v>
      </c>
      <c r="B7026">
        <v>0.94662964696138596</v>
      </c>
      <c r="C7026">
        <v>0.93919467138952895</v>
      </c>
      <c r="D7026">
        <v>0.97341078717768403</v>
      </c>
      <c r="E7026">
        <v>0.970467138796961</v>
      </c>
    </row>
    <row r="7027" spans="1:5" x14ac:dyDescent="0.2">
      <c r="A7027">
        <v>0.84168333333333301</v>
      </c>
      <c r="B7027">
        <v>0.94674870732621297</v>
      </c>
      <c r="C7027">
        <v>0.93932978016357405</v>
      </c>
      <c r="D7027">
        <v>0.97347117266918004</v>
      </c>
      <c r="E7027">
        <v>0.97054235624833796</v>
      </c>
    </row>
    <row r="7028" spans="1:5" x14ac:dyDescent="0.2">
      <c r="A7028">
        <v>0.84201666666666697</v>
      </c>
      <c r="B7028">
        <v>0.94686773551450698</v>
      </c>
      <c r="C7028">
        <v>0.93946485486783504</v>
      </c>
      <c r="D7028">
        <v>0.97353148441441795</v>
      </c>
      <c r="E7028">
        <v>0.97061751424042197</v>
      </c>
    </row>
    <row r="7029" spans="1:5" x14ac:dyDescent="0.2">
      <c r="A7029">
        <v>0.84235000000000004</v>
      </c>
      <c r="B7029">
        <v>0.94698673154753299</v>
      </c>
      <c r="C7029">
        <v>0.93959989552405998</v>
      </c>
      <c r="D7029">
        <v>0.97359172219668899</v>
      </c>
      <c r="E7029">
        <v>0.97069261273947205</v>
      </c>
    </row>
    <row r="7030" spans="1:5" x14ac:dyDescent="0.2">
      <c r="A7030">
        <v>0.84268333333333301</v>
      </c>
      <c r="B7030">
        <v>0.94710569544655798</v>
      </c>
      <c r="C7030">
        <v>0.93973490215399902</v>
      </c>
      <c r="D7030">
        <v>0.97365188579928796</v>
      </c>
      <c r="E7030">
        <v>0.97076765171174595</v>
      </c>
    </row>
    <row r="7031" spans="1:5" x14ac:dyDescent="0.2">
      <c r="A7031">
        <v>0.84301666666666697</v>
      </c>
      <c r="B7031">
        <v>0.94722462723284695</v>
      </c>
      <c r="C7031">
        <v>0.93986987477939998</v>
      </c>
      <c r="D7031">
        <v>0.97371197500550699</v>
      </c>
      <c r="E7031">
        <v>0.970842631123502</v>
      </c>
    </row>
    <row r="7032" spans="1:5" x14ac:dyDescent="0.2">
      <c r="A7032">
        <v>0.84335000000000004</v>
      </c>
      <c r="B7032">
        <v>0.94734352692766599</v>
      </c>
      <c r="C7032">
        <v>0.94000481342201103</v>
      </c>
      <c r="D7032">
        <v>0.97377198959863898</v>
      </c>
      <c r="E7032">
        <v>0.97091755094099896</v>
      </c>
    </row>
    <row r="7033" spans="1:5" x14ac:dyDescent="0.2">
      <c r="A7033">
        <v>0.84368333333333301</v>
      </c>
      <c r="B7033">
        <v>0.94746239455228098</v>
      </c>
      <c r="C7033">
        <v>0.94013971810358199</v>
      </c>
      <c r="D7033">
        <v>0.97383192936197804</v>
      </c>
      <c r="E7033">
        <v>0.97099241113049495</v>
      </c>
    </row>
    <row r="7034" spans="1:5" x14ac:dyDescent="0.2">
      <c r="A7034">
        <v>0.84401666666666697</v>
      </c>
      <c r="B7034">
        <v>0.94758123012795803</v>
      </c>
      <c r="C7034">
        <v>0.94027458884586002</v>
      </c>
      <c r="D7034">
        <v>0.97389179407881699</v>
      </c>
      <c r="E7034">
        <v>0.97106721165824905</v>
      </c>
    </row>
    <row r="7035" spans="1:5" x14ac:dyDescent="0.2">
      <c r="A7035">
        <v>0.84435000000000004</v>
      </c>
      <c r="B7035">
        <v>0.94770003367596301</v>
      </c>
      <c r="C7035">
        <v>0.94040942567059405</v>
      </c>
      <c r="D7035">
        <v>0.97395158353244904</v>
      </c>
      <c r="E7035">
        <v>0.97114195249051805</v>
      </c>
    </row>
    <row r="7036" spans="1:5" x14ac:dyDescent="0.2">
      <c r="A7036">
        <v>0.84468333333333301</v>
      </c>
      <c r="B7036">
        <v>0.94781880521756101</v>
      </c>
      <c r="C7036">
        <v>0.94054422859953302</v>
      </c>
      <c r="D7036">
        <v>0.974011297506167</v>
      </c>
      <c r="E7036">
        <v>0.97121663359356203</v>
      </c>
    </row>
    <row r="7037" spans="1:5" x14ac:dyDescent="0.2">
      <c r="A7037">
        <v>0.84501666666666697</v>
      </c>
      <c r="B7037">
        <v>0.94793754477402004</v>
      </c>
      <c r="C7037">
        <v>0.94067899765442597</v>
      </c>
      <c r="D7037">
        <v>0.97407093578326398</v>
      </c>
      <c r="E7037">
        <v>0.97129125493363799</v>
      </c>
    </row>
    <row r="7038" spans="1:5" x14ac:dyDescent="0.2">
      <c r="A7038">
        <v>0.84535000000000005</v>
      </c>
      <c r="B7038">
        <v>0.94805625236660296</v>
      </c>
      <c r="C7038">
        <v>0.94081373285701997</v>
      </c>
      <c r="D7038">
        <v>0.97413049814703401</v>
      </c>
      <c r="E7038">
        <v>0.97136581647700504</v>
      </c>
    </row>
    <row r="7039" spans="1:5" x14ac:dyDescent="0.2">
      <c r="A7039">
        <v>0.84568333333333301</v>
      </c>
      <c r="B7039">
        <v>0.94817492801657799</v>
      </c>
      <c r="C7039">
        <v>0.94094843422906604</v>
      </c>
      <c r="D7039">
        <v>0.97418998438076998</v>
      </c>
      <c r="E7039">
        <v>0.97144031818992105</v>
      </c>
    </row>
    <row r="7040" spans="1:5" x14ac:dyDescent="0.2">
      <c r="A7040">
        <v>0.84601666666666697</v>
      </c>
      <c r="B7040">
        <v>0.94829357174521001</v>
      </c>
      <c r="C7040">
        <v>0.94108310179231003</v>
      </c>
      <c r="D7040">
        <v>0.97424939426776402</v>
      </c>
      <c r="E7040">
        <v>0.97151476003864501</v>
      </c>
    </row>
    <row r="7041" spans="1:5" x14ac:dyDescent="0.2">
      <c r="A7041">
        <v>0.84635000000000005</v>
      </c>
      <c r="B7041">
        <v>0.948412183573764</v>
      </c>
      <c r="C7041">
        <v>0.94121773556850297</v>
      </c>
      <c r="D7041">
        <v>0.97430872759131104</v>
      </c>
      <c r="E7041">
        <v>0.97158914198943502</v>
      </c>
    </row>
    <row r="7042" spans="1:5" x14ac:dyDescent="0.2">
      <c r="A7042">
        <v>0.84668333333333301</v>
      </c>
      <c r="B7042">
        <v>0.94853076352350796</v>
      </c>
      <c r="C7042">
        <v>0.94135233557939202</v>
      </c>
      <c r="D7042">
        <v>0.97436798413470305</v>
      </c>
      <c r="E7042">
        <v>0.97166346400854897</v>
      </c>
    </row>
    <row r="7043" spans="1:5" x14ac:dyDescent="0.2">
      <c r="A7043">
        <v>0.84701666666666697</v>
      </c>
      <c r="B7043">
        <v>0.94864931161570598</v>
      </c>
      <c r="C7043">
        <v>0.94148690184672601</v>
      </c>
      <c r="D7043">
        <v>0.97442716368123306</v>
      </c>
      <c r="E7043">
        <v>0.97173772606224695</v>
      </c>
    </row>
    <row r="7044" spans="1:5" x14ac:dyDescent="0.2">
      <c r="A7044">
        <v>0.84735000000000005</v>
      </c>
      <c r="B7044">
        <v>0.94876782787162495</v>
      </c>
      <c r="C7044">
        <v>0.94162143439225299</v>
      </c>
      <c r="D7044">
        <v>0.97448626601419497</v>
      </c>
      <c r="E7044">
        <v>0.97181192811678496</v>
      </c>
    </row>
    <row r="7045" spans="1:5" x14ac:dyDescent="0.2">
      <c r="A7045">
        <v>0.84768333333333301</v>
      </c>
      <c r="B7045">
        <v>0.94888631231253096</v>
      </c>
      <c r="C7045">
        <v>0.941755933237723</v>
      </c>
      <c r="D7045">
        <v>0.97454529091688102</v>
      </c>
      <c r="E7045">
        <v>0.97188607013842299</v>
      </c>
    </row>
    <row r="7046" spans="1:5" x14ac:dyDescent="0.2">
      <c r="A7046">
        <v>0.84801666666666697</v>
      </c>
      <c r="B7046">
        <v>0.949004764959688</v>
      </c>
      <c r="C7046">
        <v>0.94189039840488398</v>
      </c>
      <c r="D7046">
        <v>0.97460423817258601</v>
      </c>
      <c r="E7046">
        <v>0.97196015209341802</v>
      </c>
    </row>
    <row r="7047" spans="1:5" x14ac:dyDescent="0.2">
      <c r="A7047">
        <v>0.84835000000000005</v>
      </c>
      <c r="B7047">
        <v>0.94912318583436395</v>
      </c>
      <c r="C7047">
        <v>0.94202482991548397</v>
      </c>
      <c r="D7047">
        <v>0.97466310756460095</v>
      </c>
      <c r="E7047">
        <v>0.97203417394803004</v>
      </c>
    </row>
    <row r="7048" spans="1:5" x14ac:dyDescent="0.2">
      <c r="A7048">
        <v>0.84868333333333301</v>
      </c>
      <c r="B7048">
        <v>0.94924157495782402</v>
      </c>
      <c r="C7048">
        <v>0.94215922779127204</v>
      </c>
      <c r="D7048">
        <v>0.97472189887622096</v>
      </c>
      <c r="E7048">
        <v>0.97210813566851695</v>
      </c>
    </row>
    <row r="7049" spans="1:5" x14ac:dyDescent="0.2">
      <c r="A7049">
        <v>0.84901666666666697</v>
      </c>
      <c r="B7049">
        <v>0.94935993235133298</v>
      </c>
      <c r="C7049">
        <v>0.94229359205399699</v>
      </c>
      <c r="D7049">
        <v>0.97478061189073895</v>
      </c>
      <c r="E7049">
        <v>0.97218203722113705</v>
      </c>
    </row>
    <row r="7050" spans="1:5" x14ac:dyDescent="0.2">
      <c r="A7050">
        <v>0.84935000000000005</v>
      </c>
      <c r="B7050">
        <v>0.94947825803615804</v>
      </c>
      <c r="C7050">
        <v>0.94242792272540599</v>
      </c>
      <c r="D7050">
        <v>0.97483924639144703</v>
      </c>
      <c r="E7050">
        <v>0.97225587857214801</v>
      </c>
    </row>
    <row r="7051" spans="1:5" x14ac:dyDescent="0.2">
      <c r="A7051">
        <v>0.84968333333333301</v>
      </c>
      <c r="B7051">
        <v>0.94959655203356597</v>
      </c>
      <c r="C7051">
        <v>0.94256221982724997</v>
      </c>
      <c r="D7051">
        <v>0.97489780216163902</v>
      </c>
      <c r="E7051">
        <v>0.97232965968780805</v>
      </c>
    </row>
    <row r="7052" spans="1:5" x14ac:dyDescent="0.2">
      <c r="A7052">
        <v>0.85001666666666698</v>
      </c>
      <c r="B7052">
        <v>0.94971481436481997</v>
      </c>
      <c r="C7052">
        <v>0.94269648338127598</v>
      </c>
      <c r="D7052">
        <v>0.97495627898460702</v>
      </c>
      <c r="E7052">
        <v>0.97240338053437703</v>
      </c>
    </row>
    <row r="7053" spans="1:5" x14ac:dyDescent="0.2">
      <c r="A7053">
        <v>0.85035000000000005</v>
      </c>
      <c r="B7053">
        <v>0.94983304505103106</v>
      </c>
      <c r="C7053">
        <v>0.94283071340912405</v>
      </c>
      <c r="D7053">
        <v>0.97501467664364605</v>
      </c>
      <c r="E7053">
        <v>0.97247704107811195</v>
      </c>
    </row>
    <row r="7054" spans="1:5" x14ac:dyDescent="0.2">
      <c r="A7054">
        <v>0.85068333333333301</v>
      </c>
      <c r="B7054">
        <v>0.94995124411277199</v>
      </c>
      <c r="C7054">
        <v>0.94296490993205395</v>
      </c>
      <c r="D7054">
        <v>0.97507299492204902</v>
      </c>
      <c r="E7054">
        <v>0.97255064128527202</v>
      </c>
    </row>
    <row r="7055" spans="1:5" x14ac:dyDescent="0.2">
      <c r="A7055">
        <v>0.85101666666666698</v>
      </c>
      <c r="B7055">
        <v>0.95006941157049596</v>
      </c>
      <c r="C7055">
        <v>0.94309907297124596</v>
      </c>
      <c r="D7055">
        <v>0.97513123360310805</v>
      </c>
      <c r="E7055">
        <v>0.97262418112211502</v>
      </c>
    </row>
    <row r="7056" spans="1:5" x14ac:dyDescent="0.2">
      <c r="A7056">
        <v>0.85135000000000005</v>
      </c>
      <c r="B7056">
        <v>0.95018754744466105</v>
      </c>
      <c r="C7056">
        <v>0.94323320254788001</v>
      </c>
      <c r="D7056">
        <v>0.97518939247011605</v>
      </c>
      <c r="E7056">
        <v>0.97269766055490003</v>
      </c>
    </row>
    <row r="7057" spans="1:5" x14ac:dyDescent="0.2">
      <c r="A7057">
        <v>0.85168333333333301</v>
      </c>
      <c r="B7057">
        <v>0.95030565175572301</v>
      </c>
      <c r="C7057">
        <v>0.94336729868313696</v>
      </c>
      <c r="D7057">
        <v>0.97524747130636802</v>
      </c>
      <c r="E7057">
        <v>0.97277107954988495</v>
      </c>
    </row>
    <row r="7058" spans="1:5" x14ac:dyDescent="0.2">
      <c r="A7058">
        <v>0.85201666666666698</v>
      </c>
      <c r="B7058">
        <v>0.95042372452413604</v>
      </c>
      <c r="C7058">
        <v>0.94350136139819596</v>
      </c>
      <c r="D7058">
        <v>0.97530546989515599</v>
      </c>
      <c r="E7058">
        <v>0.97284443807332799</v>
      </c>
    </row>
    <row r="7059" spans="1:5" x14ac:dyDescent="0.2">
      <c r="A7059">
        <v>0.85235000000000005</v>
      </c>
      <c r="B7059">
        <v>0.95054176577035798</v>
      </c>
      <c r="C7059">
        <v>0.94363539071423597</v>
      </c>
      <c r="D7059">
        <v>0.97536338801977196</v>
      </c>
      <c r="E7059">
        <v>0.97291773609148702</v>
      </c>
    </row>
    <row r="7060" spans="1:5" x14ac:dyDescent="0.2">
      <c r="A7060">
        <v>0.85268333333333302</v>
      </c>
      <c r="B7060">
        <v>0.95065977551484304</v>
      </c>
      <c r="C7060">
        <v>0.94376938665243804</v>
      </c>
      <c r="D7060">
        <v>0.97542122546351195</v>
      </c>
      <c r="E7060">
        <v>0.97299097357062203</v>
      </c>
    </row>
    <row r="7061" spans="1:5" x14ac:dyDescent="0.2">
      <c r="A7061">
        <v>0.85301666666666698</v>
      </c>
      <c r="B7061">
        <v>0.95077775377804796</v>
      </c>
      <c r="C7061">
        <v>0.943903349233982</v>
      </c>
      <c r="D7061">
        <v>0.97547898200966698</v>
      </c>
      <c r="E7061">
        <v>0.97306415047699002</v>
      </c>
    </row>
    <row r="7062" spans="1:5" x14ac:dyDescent="0.2">
      <c r="A7062">
        <v>0.85335000000000005</v>
      </c>
      <c r="B7062">
        <v>0.95089570058042805</v>
      </c>
      <c r="C7062">
        <v>0.94403727848004704</v>
      </c>
      <c r="D7062">
        <v>0.97553665744152995</v>
      </c>
      <c r="E7062">
        <v>0.97313726677684997</v>
      </c>
    </row>
    <row r="7063" spans="1:5" x14ac:dyDescent="0.2">
      <c r="A7063">
        <v>0.85368333333333302</v>
      </c>
      <c r="B7063">
        <v>0.95101361594244005</v>
      </c>
      <c r="C7063">
        <v>0.94417117441181397</v>
      </c>
      <c r="D7063">
        <v>0.97559425154239598</v>
      </c>
      <c r="E7063">
        <v>0.97321032243646</v>
      </c>
    </row>
    <row r="7064" spans="1:5" x14ac:dyDescent="0.2">
      <c r="A7064">
        <v>0.85401666666666698</v>
      </c>
      <c r="B7064">
        <v>0.95113149988453904</v>
      </c>
      <c r="C7064">
        <v>0.94430503705046198</v>
      </c>
      <c r="D7064">
        <v>0.97565176409555598</v>
      </c>
      <c r="E7064">
        <v>0.97328331742207896</v>
      </c>
    </row>
    <row r="7065" spans="1:5" x14ac:dyDescent="0.2">
      <c r="A7065">
        <v>0.85435000000000005</v>
      </c>
      <c r="B7065">
        <v>0.951249352427182</v>
      </c>
      <c r="C7065">
        <v>0.94443886641717101</v>
      </c>
      <c r="D7065">
        <v>0.97570919488430496</v>
      </c>
      <c r="E7065">
        <v>0.97335625169996398</v>
      </c>
    </row>
    <row r="7066" spans="1:5" x14ac:dyDescent="0.2">
      <c r="A7066">
        <v>0.85468333333333302</v>
      </c>
      <c r="B7066">
        <v>0.95136717359082301</v>
      </c>
      <c r="C7066">
        <v>0.944572662533121</v>
      </c>
      <c r="D7066">
        <v>0.97576654369193605</v>
      </c>
      <c r="E7066">
        <v>0.97342912523637504</v>
      </c>
    </row>
    <row r="7067" spans="1:5" x14ac:dyDescent="0.2">
      <c r="A7067">
        <v>0.85501666666666698</v>
      </c>
      <c r="B7067">
        <v>0.95148496339591904</v>
      </c>
      <c r="C7067">
        <v>0.94470642541949201</v>
      </c>
      <c r="D7067">
        <v>0.97582381030174103</v>
      </c>
      <c r="E7067">
        <v>0.97350193799756901</v>
      </c>
    </row>
    <row r="7068" spans="1:5" x14ac:dyDescent="0.2">
      <c r="A7068">
        <v>0.85535000000000005</v>
      </c>
      <c r="B7068">
        <v>0.95160272186292605</v>
      </c>
      <c r="C7068">
        <v>0.944840155097463</v>
      </c>
      <c r="D7068">
        <v>0.97588099449701404</v>
      </c>
      <c r="E7068">
        <v>0.97357468994980501</v>
      </c>
    </row>
    <row r="7069" spans="1:5" x14ac:dyDescent="0.2">
      <c r="A7069">
        <v>0.85568333333333302</v>
      </c>
      <c r="B7069">
        <v>0.95172044901229902</v>
      </c>
      <c r="C7069">
        <v>0.94497385158821601</v>
      </c>
      <c r="D7069">
        <v>0.97593809606104798</v>
      </c>
      <c r="E7069">
        <v>0.97364738105934201</v>
      </c>
    </row>
    <row r="7070" spans="1:5" x14ac:dyDescent="0.2">
      <c r="A7070">
        <v>0.85601666666666698</v>
      </c>
      <c r="B7070">
        <v>0.95183814486449403</v>
      </c>
      <c r="C7070">
        <v>0.94510751491292899</v>
      </c>
      <c r="D7070">
        <v>0.97599511477713596</v>
      </c>
      <c r="E7070">
        <v>0.97372001129243801</v>
      </c>
    </row>
    <row r="7071" spans="1:5" x14ac:dyDescent="0.2">
      <c r="A7071">
        <v>0.85634999999999994</v>
      </c>
      <c r="B7071">
        <v>0.95195580943996805</v>
      </c>
      <c r="C7071">
        <v>0.94524114509278201</v>
      </c>
      <c r="D7071">
        <v>0.97605205042857102</v>
      </c>
      <c r="E7071">
        <v>0.97379258061535001</v>
      </c>
    </row>
    <row r="7072" spans="1:5" x14ac:dyDescent="0.2">
      <c r="A7072">
        <v>0.85668333333333302</v>
      </c>
      <c r="B7072">
        <v>0.95207344275917605</v>
      </c>
      <c r="C7072">
        <v>0.945374742148956</v>
      </c>
      <c r="D7072">
        <v>0.97610890279864704</v>
      </c>
      <c r="E7072">
        <v>0.97386508899433799</v>
      </c>
    </row>
    <row r="7073" spans="1:5" x14ac:dyDescent="0.2">
      <c r="A7073">
        <v>0.85701666666666698</v>
      </c>
      <c r="B7073">
        <v>0.952191044842574</v>
      </c>
      <c r="C7073">
        <v>0.94550830610263004</v>
      </c>
      <c r="D7073">
        <v>0.97616567167065704</v>
      </c>
      <c r="E7073">
        <v>0.97393753639566005</v>
      </c>
    </row>
    <row r="7074" spans="1:5" x14ac:dyDescent="0.2">
      <c r="A7074">
        <v>0.85734999999999995</v>
      </c>
      <c r="B7074">
        <v>0.95230861571061798</v>
      </c>
      <c r="C7074">
        <v>0.94564183697498405</v>
      </c>
      <c r="D7074">
        <v>0.97622235682789305</v>
      </c>
      <c r="E7074">
        <v>0.97400992278557397</v>
      </c>
    </row>
    <row r="7075" spans="1:5" x14ac:dyDescent="0.2">
      <c r="A7075">
        <v>0.85768333333333302</v>
      </c>
      <c r="B7075">
        <v>0.95242615538376296</v>
      </c>
      <c r="C7075">
        <v>0.945775334787198</v>
      </c>
      <c r="D7075">
        <v>0.97627895805364995</v>
      </c>
      <c r="E7075">
        <v>0.97408224813033795</v>
      </c>
    </row>
    <row r="7076" spans="1:5" x14ac:dyDescent="0.2">
      <c r="A7076">
        <v>0.85801666666666698</v>
      </c>
      <c r="B7076">
        <v>0.95254366388246603</v>
      </c>
      <c r="C7076">
        <v>0.94590879956045104</v>
      </c>
      <c r="D7076">
        <v>0.97633547513121999</v>
      </c>
      <c r="E7076">
        <v>0.97415451239621198</v>
      </c>
    </row>
    <row r="7077" spans="1:5" x14ac:dyDescent="0.2">
      <c r="A7077">
        <v>0.85834999999999995</v>
      </c>
      <c r="B7077">
        <v>0.95266114122718204</v>
      </c>
      <c r="C7077">
        <v>0.94604223131592502</v>
      </c>
      <c r="D7077">
        <v>0.97639190784389596</v>
      </c>
      <c r="E7077">
        <v>0.97422671554945195</v>
      </c>
    </row>
    <row r="7078" spans="1:5" x14ac:dyDescent="0.2">
      <c r="A7078">
        <v>0.85868333333333302</v>
      </c>
      <c r="B7078">
        <v>0.95277858743836796</v>
      </c>
      <c r="C7078">
        <v>0.94617563007479799</v>
      </c>
      <c r="D7078">
        <v>0.97644825597497198</v>
      </c>
      <c r="E7078">
        <v>0.97429885755631895</v>
      </c>
    </row>
    <row r="7079" spans="1:5" x14ac:dyDescent="0.2">
      <c r="A7079">
        <v>0.85901666666666698</v>
      </c>
      <c r="B7079">
        <v>0.95289600253647799</v>
      </c>
      <c r="C7079">
        <v>0.94630899585825001</v>
      </c>
      <c r="D7079">
        <v>0.97650451930774096</v>
      </c>
      <c r="E7079">
        <v>0.97437093838306899</v>
      </c>
    </row>
    <row r="7080" spans="1:5" x14ac:dyDescent="0.2">
      <c r="A7080">
        <v>0.85934999999999995</v>
      </c>
      <c r="B7080">
        <v>0.95301338654196999</v>
      </c>
      <c r="C7080">
        <v>0.94644232868746203</v>
      </c>
      <c r="D7080">
        <v>0.97656069762549502</v>
      </c>
      <c r="E7080">
        <v>0.97444295799596203</v>
      </c>
    </row>
    <row r="7081" spans="1:5" x14ac:dyDescent="0.2">
      <c r="A7081">
        <v>0.85968333333333302</v>
      </c>
      <c r="B7081">
        <v>0.95313073947529803</v>
      </c>
      <c r="C7081">
        <v>0.94657562858361299</v>
      </c>
      <c r="D7081">
        <v>0.97661679071152896</v>
      </c>
      <c r="E7081">
        <v>0.97451491636125598</v>
      </c>
    </row>
    <row r="7082" spans="1:5" x14ac:dyDescent="0.2">
      <c r="A7082">
        <v>0.86001666666666698</v>
      </c>
      <c r="B7082">
        <v>0.95324806135691897</v>
      </c>
      <c r="C7082">
        <v>0.94670889556788296</v>
      </c>
      <c r="D7082">
        <v>0.97667279834922904</v>
      </c>
      <c r="E7082">
        <v>0.97458681344520903</v>
      </c>
    </row>
    <row r="7083" spans="1:5" x14ac:dyDescent="0.2">
      <c r="A7083">
        <v>0.86034999999999995</v>
      </c>
      <c r="B7083">
        <v>0.95336535220720497</v>
      </c>
      <c r="C7083">
        <v>0.94684212966134895</v>
      </c>
      <c r="D7083">
        <v>0.97672872119822396</v>
      </c>
      <c r="E7083">
        <v>0.97465864921407896</v>
      </c>
    </row>
    <row r="7084" spans="1:5" x14ac:dyDescent="0.2">
      <c r="A7084">
        <v>0.86068333333333302</v>
      </c>
      <c r="B7084">
        <v>0.95348261204623896</v>
      </c>
      <c r="C7084">
        <v>0.94697533088472996</v>
      </c>
      <c r="D7084">
        <v>0.97678456293608495</v>
      </c>
      <c r="E7084">
        <v>0.97473042363412499</v>
      </c>
    </row>
    <row r="7085" spans="1:5" x14ac:dyDescent="0.2">
      <c r="A7085">
        <v>0.86101666666666699</v>
      </c>
      <c r="B7085">
        <v>0.95359984089404404</v>
      </c>
      <c r="C7085">
        <v>0.94710849925866902</v>
      </c>
      <c r="D7085">
        <v>0.97684032788963704</v>
      </c>
      <c r="E7085">
        <v>0.97480213667160598</v>
      </c>
    </row>
    <row r="7086" spans="1:5" x14ac:dyDescent="0.2">
      <c r="A7086">
        <v>0.86134999999999995</v>
      </c>
      <c r="B7086">
        <v>0.95371703877064096</v>
      </c>
      <c r="C7086">
        <v>0.94724163480380896</v>
      </c>
      <c r="D7086">
        <v>0.976896020385704</v>
      </c>
      <c r="E7086">
        <v>0.97487378829277904</v>
      </c>
    </row>
    <row r="7087" spans="1:5" x14ac:dyDescent="0.2">
      <c r="A7087">
        <v>0.86168333333333302</v>
      </c>
      <c r="B7087">
        <v>0.95383420569605204</v>
      </c>
      <c r="C7087">
        <v>0.94737473754079304</v>
      </c>
      <c r="D7087">
        <v>0.97695164475111196</v>
      </c>
      <c r="E7087">
        <v>0.97494537846390295</v>
      </c>
    </row>
    <row r="7088" spans="1:5" x14ac:dyDescent="0.2">
      <c r="A7088">
        <v>0.86201666666666699</v>
      </c>
      <c r="B7088">
        <v>0.95395134169029905</v>
      </c>
      <c r="C7088">
        <v>0.94750780749026398</v>
      </c>
      <c r="D7088">
        <v>0.97700720531268503</v>
      </c>
      <c r="E7088">
        <v>0.97501690715123701</v>
      </c>
    </row>
    <row r="7089" spans="1:5" x14ac:dyDescent="0.2">
      <c r="A7089">
        <v>0.86234999999999995</v>
      </c>
      <c r="B7089">
        <v>0.95406844677340397</v>
      </c>
      <c r="C7089">
        <v>0.94764084467286502</v>
      </c>
      <c r="D7089">
        <v>0.97706270639724602</v>
      </c>
      <c r="E7089">
        <v>0.97508837432103801</v>
      </c>
    </row>
    <row r="7090" spans="1:5" x14ac:dyDescent="0.2">
      <c r="A7090">
        <v>0.86268333333333302</v>
      </c>
      <c r="B7090">
        <v>0.954185520965388</v>
      </c>
      <c r="C7090">
        <v>0.94777384910924001</v>
      </c>
      <c r="D7090">
        <v>0.97711815233162203</v>
      </c>
      <c r="E7090">
        <v>0.97515977993956504</v>
      </c>
    </row>
    <row r="7091" spans="1:5" x14ac:dyDescent="0.2">
      <c r="A7091">
        <v>0.86301666666666699</v>
      </c>
      <c r="B7091">
        <v>0.95430256428627402</v>
      </c>
      <c r="C7091">
        <v>0.94790682082002997</v>
      </c>
      <c r="D7091">
        <v>0.97717354744263496</v>
      </c>
      <c r="E7091">
        <v>0.97523112397307699</v>
      </c>
    </row>
    <row r="7092" spans="1:5" x14ac:dyDescent="0.2">
      <c r="A7092">
        <v>0.86334999999999995</v>
      </c>
      <c r="B7092">
        <v>0.95441957675608302</v>
      </c>
      <c r="C7092">
        <v>0.94803975982587996</v>
      </c>
      <c r="D7092">
        <v>0.97722889605711105</v>
      </c>
      <c r="E7092">
        <v>0.97530240638783094</v>
      </c>
    </row>
    <row r="7093" spans="1:5" x14ac:dyDescent="0.2">
      <c r="A7093">
        <v>0.86368333333333303</v>
      </c>
      <c r="B7093">
        <v>0.95453655839483698</v>
      </c>
      <c r="C7093">
        <v>0.94817266614743201</v>
      </c>
      <c r="D7093">
        <v>0.97728420250187498</v>
      </c>
      <c r="E7093">
        <v>0.97537362715008702</v>
      </c>
    </row>
    <row r="7094" spans="1:5" x14ac:dyDescent="0.2">
      <c r="A7094">
        <v>0.86401666666666699</v>
      </c>
      <c r="B7094">
        <v>0.95465350922255798</v>
      </c>
      <c r="C7094">
        <v>0.94830553980532795</v>
      </c>
      <c r="D7094">
        <v>0.97733947110375097</v>
      </c>
      <c r="E7094">
        <v>0.97544478622610298</v>
      </c>
    </row>
    <row r="7095" spans="1:5" x14ac:dyDescent="0.2">
      <c r="A7095">
        <v>0.86434999999999995</v>
      </c>
      <c r="B7095">
        <v>0.95477042925926803</v>
      </c>
      <c r="C7095">
        <v>0.94843838082021303</v>
      </c>
      <c r="D7095">
        <v>0.97739470618956203</v>
      </c>
      <c r="E7095">
        <v>0.97551588358213603</v>
      </c>
    </row>
    <row r="7096" spans="1:5" x14ac:dyDescent="0.2">
      <c r="A7096">
        <v>0.86468333333333303</v>
      </c>
      <c r="B7096">
        <v>0.95488731852498798</v>
      </c>
      <c r="C7096">
        <v>0.94857118921272898</v>
      </c>
      <c r="D7096">
        <v>0.97744991208613496</v>
      </c>
      <c r="E7096">
        <v>0.97558691918444596</v>
      </c>
    </row>
    <row r="7097" spans="1:5" x14ac:dyDescent="0.2">
      <c r="A7097">
        <v>0.86501666666666699</v>
      </c>
      <c r="B7097">
        <v>0.95500417703974105</v>
      </c>
      <c r="C7097">
        <v>0.94870396500351895</v>
      </c>
      <c r="D7097">
        <v>0.97750509312029299</v>
      </c>
      <c r="E7097">
        <v>0.97565789299928996</v>
      </c>
    </row>
    <row r="7098" spans="1:5" x14ac:dyDescent="0.2">
      <c r="A7098">
        <v>0.86534999999999995</v>
      </c>
      <c r="B7098">
        <v>0.955121004823547</v>
      </c>
      <c r="C7098">
        <v>0.94883670821322597</v>
      </c>
      <c r="D7098">
        <v>0.97756025361886101</v>
      </c>
      <c r="E7098">
        <v>0.97572880499292702</v>
      </c>
    </row>
    <row r="7099" spans="1:5" x14ac:dyDescent="0.2">
      <c r="A7099">
        <v>0.86568333333333303</v>
      </c>
      <c r="B7099">
        <v>0.95523780189643004</v>
      </c>
      <c r="C7099">
        <v>0.94896941886249297</v>
      </c>
      <c r="D7099">
        <v>0.97761539790866403</v>
      </c>
      <c r="E7099">
        <v>0.97579965513161604</v>
      </c>
    </row>
    <row r="7100" spans="1:5" x14ac:dyDescent="0.2">
      <c r="A7100">
        <v>0.86601666666666699</v>
      </c>
      <c r="B7100">
        <v>0.95535456827841103</v>
      </c>
      <c r="C7100">
        <v>0.94910209697196202</v>
      </c>
      <c r="D7100">
        <v>0.97767053031652495</v>
      </c>
      <c r="E7100">
        <v>0.97587044338161399</v>
      </c>
    </row>
    <row r="7101" spans="1:5" x14ac:dyDescent="0.2">
      <c r="A7101">
        <v>0.86634999999999995</v>
      </c>
      <c r="B7101">
        <v>0.95547130398951097</v>
      </c>
      <c r="C7101">
        <v>0.94923474256227802</v>
      </c>
      <c r="D7101">
        <v>0.97772565516927001</v>
      </c>
      <c r="E7101">
        <v>0.97594116970918099</v>
      </c>
    </row>
    <row r="7102" spans="1:5" x14ac:dyDescent="0.2">
      <c r="A7102">
        <v>0.86668333333333303</v>
      </c>
      <c r="B7102">
        <v>0.95558800904975205</v>
      </c>
      <c r="C7102">
        <v>0.94936735565408303</v>
      </c>
      <c r="D7102">
        <v>0.97778077679372299</v>
      </c>
      <c r="E7102">
        <v>0.97601183408057401</v>
      </c>
    </row>
    <row r="7103" spans="1:5" x14ac:dyDescent="0.2">
      <c r="A7103">
        <v>0.86701666666666699</v>
      </c>
      <c r="B7103">
        <v>0.95570468347915705</v>
      </c>
      <c r="C7103">
        <v>0.94949993626801998</v>
      </c>
      <c r="D7103">
        <v>0.97783589951670802</v>
      </c>
      <c r="E7103">
        <v>0.97608243646205195</v>
      </c>
    </row>
    <row r="7104" spans="1:5" x14ac:dyDescent="0.2">
      <c r="A7104">
        <v>0.86734999999999995</v>
      </c>
      <c r="B7104">
        <v>0.95582132729774705</v>
      </c>
      <c r="C7104">
        <v>0.94963248442473203</v>
      </c>
      <c r="D7104">
        <v>0.97789102766505098</v>
      </c>
      <c r="E7104">
        <v>0.97615297681987401</v>
      </c>
    </row>
    <row r="7105" spans="1:5" x14ac:dyDescent="0.2">
      <c r="A7105">
        <v>0.86768333333333303</v>
      </c>
      <c r="B7105">
        <v>0.95593794052554404</v>
      </c>
      <c r="C7105">
        <v>0.94976500014486198</v>
      </c>
      <c r="D7105">
        <v>0.97794616556557501</v>
      </c>
      <c r="E7105">
        <v>0.97622345512029696</v>
      </c>
    </row>
    <row r="7106" spans="1:5" x14ac:dyDescent="0.2">
      <c r="A7106">
        <v>0.86801666666666699</v>
      </c>
      <c r="B7106">
        <v>0.95605452318257</v>
      </c>
      <c r="C7106">
        <v>0.949897483449052</v>
      </c>
      <c r="D7106">
        <v>0.978001317545105</v>
      </c>
      <c r="E7106">
        <v>0.97629387132958001</v>
      </c>
    </row>
    <row r="7107" spans="1:5" x14ac:dyDescent="0.2">
      <c r="A7107">
        <v>0.86834999999999996</v>
      </c>
      <c r="B7107">
        <v>0.95617107528884604</v>
      </c>
      <c r="C7107">
        <v>0.95002993435794703</v>
      </c>
      <c r="D7107">
        <v>0.97805648793046596</v>
      </c>
      <c r="E7107">
        <v>0.97636422541398105</v>
      </c>
    </row>
    <row r="7108" spans="1:5" x14ac:dyDescent="0.2">
      <c r="A7108">
        <v>0.86868333333333303</v>
      </c>
      <c r="B7108">
        <v>0.95628759686439402</v>
      </c>
      <c r="C7108">
        <v>0.95016235289218898</v>
      </c>
      <c r="D7108">
        <v>0.97811168104848201</v>
      </c>
      <c r="E7108">
        <v>0.97643451733975895</v>
      </c>
    </row>
    <row r="7109" spans="1:5" x14ac:dyDescent="0.2">
      <c r="A7109">
        <v>0.86901666666666699</v>
      </c>
      <c r="B7109">
        <v>0.95640408792923703</v>
      </c>
      <c r="C7109">
        <v>0.95029473907242001</v>
      </c>
      <c r="D7109">
        <v>0.97816690122597805</v>
      </c>
      <c r="E7109">
        <v>0.97650474707317203</v>
      </c>
    </row>
    <row r="7110" spans="1:5" x14ac:dyDescent="0.2">
      <c r="A7110">
        <v>0.86934999999999996</v>
      </c>
      <c r="B7110">
        <v>0.95652054850339596</v>
      </c>
      <c r="C7110">
        <v>0.95042709291928495</v>
      </c>
      <c r="D7110">
        <v>0.97822215278977798</v>
      </c>
      <c r="E7110">
        <v>0.97657491458047896</v>
      </c>
    </row>
    <row r="7111" spans="1:5" x14ac:dyDescent="0.2">
      <c r="A7111">
        <v>0.86968333333333303</v>
      </c>
      <c r="B7111">
        <v>0.95663697860689301</v>
      </c>
      <c r="C7111">
        <v>0.95055941445342496</v>
      </c>
      <c r="D7111">
        <v>0.97827744006670603</v>
      </c>
      <c r="E7111">
        <v>0.97664501982793706</v>
      </c>
    </row>
    <row r="7112" spans="1:5" x14ac:dyDescent="0.2">
      <c r="A7112">
        <v>0.87001666666666699</v>
      </c>
      <c r="B7112">
        <v>0.95675337825974904</v>
      </c>
      <c r="C7112">
        <v>0.95069170369548495</v>
      </c>
      <c r="D7112">
        <v>0.97833276738345099</v>
      </c>
      <c r="E7112">
        <v>0.97671506278180598</v>
      </c>
    </row>
    <row r="7113" spans="1:5" x14ac:dyDescent="0.2">
      <c r="A7113">
        <v>0.87034999999999996</v>
      </c>
      <c r="B7113">
        <v>0.95686974748183495</v>
      </c>
      <c r="C7113">
        <v>0.95082396066594399</v>
      </c>
      <c r="D7113">
        <v>0.97838813779234302</v>
      </c>
      <c r="E7113">
        <v>0.97678504340834305</v>
      </c>
    </row>
    <row r="7114" spans="1:5" x14ac:dyDescent="0.2">
      <c r="A7114">
        <v>0.87068333333333303</v>
      </c>
      <c r="B7114">
        <v>0.95698608629249804</v>
      </c>
      <c r="C7114">
        <v>0.95095618538472704</v>
      </c>
      <c r="D7114">
        <v>0.97844354995658001</v>
      </c>
      <c r="E7114">
        <v>0.97685496167380803</v>
      </c>
    </row>
    <row r="7115" spans="1:5" x14ac:dyDescent="0.2">
      <c r="A7115">
        <v>0.87101666666666699</v>
      </c>
      <c r="B7115">
        <v>0.95710239471097203</v>
      </c>
      <c r="C7115">
        <v>0.95108837787163703</v>
      </c>
      <c r="D7115">
        <v>0.97849900159511904</v>
      </c>
      <c r="E7115">
        <v>0.97692481754445704</v>
      </c>
    </row>
    <row r="7116" spans="1:5" x14ac:dyDescent="0.2">
      <c r="A7116">
        <v>0.87134999999999996</v>
      </c>
      <c r="B7116">
        <v>0.95721867275649297</v>
      </c>
      <c r="C7116">
        <v>0.951220538146479</v>
      </c>
      <c r="D7116">
        <v>0.978554490426922</v>
      </c>
      <c r="E7116">
        <v>0.97699461098655005</v>
      </c>
    </row>
    <row r="7117" spans="1:5" x14ac:dyDescent="0.2">
      <c r="A7117">
        <v>0.87168333333333303</v>
      </c>
      <c r="B7117">
        <v>0.95733492044829405</v>
      </c>
      <c r="C7117">
        <v>0.95135266622905501</v>
      </c>
      <c r="D7117">
        <v>0.97861001417094695</v>
      </c>
      <c r="E7117">
        <v>0.97706434196634595</v>
      </c>
    </row>
    <row r="7118" spans="1:5" x14ac:dyDescent="0.2">
      <c r="A7118">
        <v>0.872016666666667</v>
      </c>
      <c r="B7118">
        <v>0.95745113780560998</v>
      </c>
      <c r="C7118">
        <v>0.95148476213916999</v>
      </c>
      <c r="D7118">
        <v>0.978665570546154</v>
      </c>
      <c r="E7118">
        <v>0.97713401045010095</v>
      </c>
    </row>
    <row r="7119" spans="1:5" x14ac:dyDescent="0.2">
      <c r="A7119">
        <v>0.87234999999999996</v>
      </c>
      <c r="B7119">
        <v>0.95756732484767604</v>
      </c>
      <c r="C7119">
        <v>0.951616825896626</v>
      </c>
      <c r="D7119">
        <v>0.978721157271502</v>
      </c>
      <c r="E7119">
        <v>0.97720361640407605</v>
      </c>
    </row>
    <row r="7120" spans="1:5" x14ac:dyDescent="0.2">
      <c r="A7120">
        <v>0.87268333333333303</v>
      </c>
      <c r="B7120">
        <v>0.95768348159372696</v>
      </c>
      <c r="C7120">
        <v>0.95174885752122895</v>
      </c>
      <c r="D7120">
        <v>0.97877677206595004</v>
      </c>
      <c r="E7120">
        <v>0.977273159794527</v>
      </c>
    </row>
    <row r="7121" spans="1:5" x14ac:dyDescent="0.2">
      <c r="A7121">
        <v>0.873016666666667</v>
      </c>
      <c r="B7121">
        <v>0.95779960806299702</v>
      </c>
      <c r="C7121">
        <v>0.95188085703278102</v>
      </c>
      <c r="D7121">
        <v>0.97883241264845899</v>
      </c>
      <c r="E7121">
        <v>0.97734264058771403</v>
      </c>
    </row>
    <row r="7122" spans="1:5" x14ac:dyDescent="0.2">
      <c r="A7122">
        <v>0.87334999999999996</v>
      </c>
      <c r="B7122">
        <v>0.95791570427471995</v>
      </c>
      <c r="C7122">
        <v>0.95201282445108704</v>
      </c>
      <c r="D7122">
        <v>0.97888807673798595</v>
      </c>
      <c r="E7122">
        <v>0.97741205874989501</v>
      </c>
    </row>
    <row r="7123" spans="1:5" x14ac:dyDescent="0.2">
      <c r="A7123">
        <v>0.87368333333333303</v>
      </c>
      <c r="B7123">
        <v>0.95803177024813302</v>
      </c>
      <c r="C7123">
        <v>0.95214475979595004</v>
      </c>
      <c r="D7123">
        <v>0.97894376205349298</v>
      </c>
      <c r="E7123">
        <v>0.97748141424732904</v>
      </c>
    </row>
    <row r="7124" spans="1:5" x14ac:dyDescent="0.2">
      <c r="A7124">
        <v>0.874016666666667</v>
      </c>
      <c r="B7124">
        <v>0.95814780600246796</v>
      </c>
      <c r="C7124">
        <v>0.95227666308717296</v>
      </c>
      <c r="D7124">
        <v>0.97899946631393797</v>
      </c>
      <c r="E7124">
        <v>0.977550707046273</v>
      </c>
    </row>
    <row r="7125" spans="1:5" x14ac:dyDescent="0.2">
      <c r="A7125">
        <v>0.87434999999999996</v>
      </c>
      <c r="B7125">
        <v>0.95826381155696105</v>
      </c>
      <c r="C7125">
        <v>0.95240853434456096</v>
      </c>
      <c r="D7125">
        <v>0.979055187238281</v>
      </c>
      <c r="E7125">
        <v>0.977619937112986</v>
      </c>
    </row>
    <row r="7126" spans="1:5" x14ac:dyDescent="0.2">
      <c r="A7126">
        <v>0.87468333333333304</v>
      </c>
      <c r="B7126">
        <v>0.95837978693084602</v>
      </c>
      <c r="C7126">
        <v>0.95254037358791699</v>
      </c>
      <c r="D7126">
        <v>0.97911092254548104</v>
      </c>
      <c r="E7126">
        <v>0.97768910441372603</v>
      </c>
    </row>
    <row r="7127" spans="1:5" x14ac:dyDescent="0.2">
      <c r="A7127">
        <v>0.875016666666667</v>
      </c>
      <c r="B7127">
        <v>0.95849573214335804</v>
      </c>
      <c r="C7127">
        <v>0.95267218083704497</v>
      </c>
      <c r="D7127">
        <v>0.97916666995449797</v>
      </c>
      <c r="E7127">
        <v>0.97775820891475196</v>
      </c>
    </row>
    <row r="7128" spans="1:5" x14ac:dyDescent="0.2">
      <c r="A7128">
        <v>0.87534999999999996</v>
      </c>
      <c r="B7128">
        <v>0.95861164721373204</v>
      </c>
      <c r="C7128">
        <v>0.95280395611174795</v>
      </c>
      <c r="D7128">
        <v>0.97922242718428998</v>
      </c>
      <c r="E7128">
        <v>0.97782725058232201</v>
      </c>
    </row>
    <row r="7129" spans="1:5" x14ac:dyDescent="0.2">
      <c r="A7129">
        <v>0.87568333333333304</v>
      </c>
      <c r="B7129">
        <v>0.95872753216120199</v>
      </c>
      <c r="C7129">
        <v>0.95293569943183098</v>
      </c>
      <c r="D7129">
        <v>0.97927819195381804</v>
      </c>
      <c r="E7129">
        <v>0.97789622938269505</v>
      </c>
    </row>
    <row r="7130" spans="1:5" x14ac:dyDescent="0.2">
      <c r="A7130">
        <v>0.876016666666667</v>
      </c>
      <c r="B7130">
        <v>0.95884338700500205</v>
      </c>
      <c r="C7130">
        <v>0.95306741081709601</v>
      </c>
      <c r="D7130">
        <v>0.97933396198204103</v>
      </c>
      <c r="E7130">
        <v>0.97796514528212797</v>
      </c>
    </row>
    <row r="7131" spans="1:5" x14ac:dyDescent="0.2">
      <c r="A7131">
        <v>0.87634999999999996</v>
      </c>
      <c r="B7131">
        <v>0.95895921176436905</v>
      </c>
      <c r="C7131">
        <v>0.95319909028734795</v>
      </c>
      <c r="D7131">
        <v>0.97938973498791804</v>
      </c>
      <c r="E7131">
        <v>0.97803399824688098</v>
      </c>
    </row>
    <row r="7132" spans="1:5" x14ac:dyDescent="0.2">
      <c r="A7132">
        <v>0.87668333333333304</v>
      </c>
      <c r="B7132">
        <v>0.95907500645853505</v>
      </c>
      <c r="C7132">
        <v>0.95333073786239098</v>
      </c>
      <c r="D7132">
        <v>0.97944550869041003</v>
      </c>
      <c r="E7132">
        <v>0.97810278824321095</v>
      </c>
    </row>
    <row r="7133" spans="1:5" x14ac:dyDescent="0.2">
      <c r="A7133">
        <v>0.877016666666667</v>
      </c>
      <c r="B7133">
        <v>0.95919077110673601</v>
      </c>
      <c r="C7133">
        <v>0.95346235356202802</v>
      </c>
      <c r="D7133">
        <v>0.97950128080847398</v>
      </c>
      <c r="E7133">
        <v>0.978171515237377</v>
      </c>
    </row>
    <row r="7134" spans="1:5" x14ac:dyDescent="0.2">
      <c r="A7134">
        <v>0.87734999999999996</v>
      </c>
      <c r="B7134">
        <v>0.95930650572820597</v>
      </c>
      <c r="C7134">
        <v>0.95359393740606202</v>
      </c>
      <c r="D7134">
        <v>0.97955704906107099</v>
      </c>
      <c r="E7134">
        <v>0.97824017919563799</v>
      </c>
    </row>
    <row r="7135" spans="1:5" x14ac:dyDescent="0.2">
      <c r="A7135">
        <v>0.87768333333333304</v>
      </c>
      <c r="B7135">
        <v>0.95942221034218</v>
      </c>
      <c r="C7135">
        <v>0.95372548941429902</v>
      </c>
      <c r="D7135">
        <v>0.97961281116716004</v>
      </c>
      <c r="E7135">
        <v>0.97830878008425104</v>
      </c>
    </row>
    <row r="7136" spans="1:5" x14ac:dyDescent="0.2">
      <c r="A7136">
        <v>0.878016666666667</v>
      </c>
      <c r="B7136">
        <v>0.95953788496789305</v>
      </c>
      <c r="C7136">
        <v>0.95385700960653996</v>
      </c>
      <c r="D7136">
        <v>0.97966856484570097</v>
      </c>
      <c r="E7136">
        <v>0.97837731786947502</v>
      </c>
    </row>
    <row r="7137" spans="1:5" x14ac:dyDescent="0.2">
      <c r="A7137">
        <v>0.87834999999999996</v>
      </c>
      <c r="B7137">
        <v>0.95965352962457995</v>
      </c>
      <c r="C7137">
        <v>0.95398849800259</v>
      </c>
      <c r="D7137">
        <v>0.97972430781565201</v>
      </c>
      <c r="E7137">
        <v>0.97844579251756902</v>
      </c>
    </row>
    <row r="7138" spans="1:5" x14ac:dyDescent="0.2">
      <c r="A7138">
        <v>0.87868333333333304</v>
      </c>
      <c r="B7138">
        <v>0.95976914433147298</v>
      </c>
      <c r="C7138">
        <v>0.95411995462225296</v>
      </c>
      <c r="D7138">
        <v>0.979780037795974</v>
      </c>
      <c r="E7138">
        <v>0.97851420399479005</v>
      </c>
    </row>
    <row r="7139" spans="1:5" x14ac:dyDescent="0.2">
      <c r="A7139">
        <v>0.879016666666667</v>
      </c>
      <c r="B7139">
        <v>0.95988472910780998</v>
      </c>
      <c r="C7139">
        <v>0.95425137948533201</v>
      </c>
      <c r="D7139">
        <v>0.97983575250562605</v>
      </c>
      <c r="E7139">
        <v>0.97858255226739799</v>
      </c>
    </row>
    <row r="7140" spans="1:5" x14ac:dyDescent="0.2">
      <c r="A7140">
        <v>0.87934999999999997</v>
      </c>
      <c r="B7140">
        <v>0.960000283972823</v>
      </c>
      <c r="C7140">
        <v>0.95438277261163196</v>
      </c>
      <c r="D7140">
        <v>0.97989144966356601</v>
      </c>
      <c r="E7140">
        <v>0.97865083730165003</v>
      </c>
    </row>
    <row r="7141" spans="1:5" x14ac:dyDescent="0.2">
      <c r="A7141">
        <v>0.87968333333333304</v>
      </c>
      <c r="B7141">
        <v>0.96011580894574899</v>
      </c>
      <c r="C7141">
        <v>0.95451413402095497</v>
      </c>
      <c r="D7141">
        <v>0.97994712698875597</v>
      </c>
      <c r="E7141">
        <v>0.97871905906380496</v>
      </c>
    </row>
    <row r="7142" spans="1:5" x14ac:dyDescent="0.2">
      <c r="A7142">
        <v>0.880016666666667</v>
      </c>
      <c r="B7142">
        <v>0.96023130404582002</v>
      </c>
      <c r="C7142">
        <v>0.95464546373310499</v>
      </c>
      <c r="D7142">
        <v>0.98000278220022397</v>
      </c>
      <c r="E7142">
        <v>0.97878721752012099</v>
      </c>
    </row>
    <row r="7143" spans="1:5" x14ac:dyDescent="0.2">
      <c r="A7143">
        <v>0.88034999999999997</v>
      </c>
      <c r="B7143">
        <v>0.96034676929219198</v>
      </c>
      <c r="C7143">
        <v>0.954776761767824</v>
      </c>
      <c r="D7143">
        <v>0.98005841366780599</v>
      </c>
      <c r="E7143">
        <v>0.97885531263685699</v>
      </c>
    </row>
    <row r="7144" spans="1:5" x14ac:dyDescent="0.2">
      <c r="A7144">
        <v>0.88068333333333304</v>
      </c>
      <c r="B7144">
        <v>0.960462204703742</v>
      </c>
      <c r="C7144">
        <v>0.95490802814463305</v>
      </c>
      <c r="D7144">
        <v>0.98011402200284503</v>
      </c>
      <c r="E7144">
        <v>0.97892334438027095</v>
      </c>
    </row>
    <row r="7145" spans="1:5" x14ac:dyDescent="0.2">
      <c r="A7145">
        <v>0.881016666666667</v>
      </c>
      <c r="B7145">
        <v>0.96057761029928701</v>
      </c>
      <c r="C7145">
        <v>0.955039262883007</v>
      </c>
      <c r="D7145">
        <v>0.98016960829890198</v>
      </c>
      <c r="E7145">
        <v>0.97899131271662099</v>
      </c>
    </row>
    <row r="7146" spans="1:5" x14ac:dyDescent="0.2">
      <c r="A7146">
        <v>0.88134999999999997</v>
      </c>
      <c r="B7146">
        <v>0.96069298609764398</v>
      </c>
      <c r="C7146">
        <v>0.95517046600242295</v>
      </c>
      <c r="D7146">
        <v>0.98022517364953698</v>
      </c>
      <c r="E7146">
        <v>0.97905921761216597</v>
      </c>
    </row>
    <row r="7147" spans="1:5" x14ac:dyDescent="0.2">
      <c r="A7147">
        <v>0.88168333333333304</v>
      </c>
      <c r="B7147">
        <v>0.96080833211763095</v>
      </c>
      <c r="C7147">
        <v>0.95530163752235597</v>
      </c>
      <c r="D7147">
        <v>0.98028071914830905</v>
      </c>
      <c r="E7147">
        <v>0.97912705903316499</v>
      </c>
    </row>
    <row r="7148" spans="1:5" x14ac:dyDescent="0.2">
      <c r="A7148">
        <v>0.882016666666667</v>
      </c>
      <c r="B7148">
        <v>0.96092364837806499</v>
      </c>
      <c r="C7148">
        <v>0.95543277746228095</v>
      </c>
      <c r="D7148">
        <v>0.98033624588877799</v>
      </c>
      <c r="E7148">
        <v>0.97919483694587395</v>
      </c>
    </row>
    <row r="7149" spans="1:5" x14ac:dyDescent="0.2">
      <c r="A7149">
        <v>0.88234999999999997</v>
      </c>
      <c r="B7149">
        <v>0.96103893489776404</v>
      </c>
      <c r="C7149">
        <v>0.95556388584167296</v>
      </c>
      <c r="D7149">
        <v>0.98039175496450404</v>
      </c>
      <c r="E7149">
        <v>0.97926255131655404</v>
      </c>
    </row>
    <row r="7150" spans="1:5" x14ac:dyDescent="0.2">
      <c r="A7150">
        <v>0.88268333333333304</v>
      </c>
      <c r="B7150">
        <v>0.96115419169554595</v>
      </c>
      <c r="C7150">
        <v>0.95569496268000897</v>
      </c>
      <c r="D7150">
        <v>0.98044724746904799</v>
      </c>
      <c r="E7150">
        <v>0.97933020211146105</v>
      </c>
    </row>
    <row r="7151" spans="1:5" x14ac:dyDescent="0.2">
      <c r="A7151">
        <v>0.88301666666666701</v>
      </c>
      <c r="B7151">
        <v>0.96126941879022698</v>
      </c>
      <c r="C7151">
        <v>0.95582600799676398</v>
      </c>
      <c r="D7151">
        <v>0.98050272449596898</v>
      </c>
      <c r="E7151">
        <v>0.97939778929685595</v>
      </c>
    </row>
    <row r="7152" spans="1:5" x14ac:dyDescent="0.2">
      <c r="A7152">
        <v>0.88334999999999997</v>
      </c>
      <c r="B7152">
        <v>0.96138461620062499</v>
      </c>
      <c r="C7152">
        <v>0.95595702181141395</v>
      </c>
      <c r="D7152">
        <v>0.98055818713882803</v>
      </c>
      <c r="E7152">
        <v>0.97946531283899496</v>
      </c>
    </row>
    <row r="7153" spans="1:5" x14ac:dyDescent="0.2">
      <c r="A7153">
        <v>0.88368333333333304</v>
      </c>
      <c r="B7153">
        <v>0.96149978394555802</v>
      </c>
      <c r="C7153">
        <v>0.95608800414343298</v>
      </c>
      <c r="D7153">
        <v>0.98061363649118305</v>
      </c>
      <c r="E7153">
        <v>0.97953277270413697</v>
      </c>
    </row>
    <row r="7154" spans="1:5" x14ac:dyDescent="0.2">
      <c r="A7154">
        <v>0.88401666666666701</v>
      </c>
      <c r="B7154">
        <v>0.96161492204384302</v>
      </c>
      <c r="C7154">
        <v>0.95621895501229703</v>
      </c>
      <c r="D7154">
        <v>0.98066907364659595</v>
      </c>
      <c r="E7154">
        <v>0.97960016885854195</v>
      </c>
    </row>
    <row r="7155" spans="1:5" x14ac:dyDescent="0.2">
      <c r="A7155">
        <v>0.88434999999999997</v>
      </c>
      <c r="B7155">
        <v>0.96173003051429695</v>
      </c>
      <c r="C7155">
        <v>0.95634987443748298</v>
      </c>
      <c r="D7155">
        <v>0.98072449969862596</v>
      </c>
      <c r="E7155">
        <v>0.97966750126846602</v>
      </c>
    </row>
    <row r="7156" spans="1:5" x14ac:dyDescent="0.2">
      <c r="A7156">
        <v>0.88468333333333304</v>
      </c>
      <c r="B7156">
        <v>0.96184510937573797</v>
      </c>
      <c r="C7156">
        <v>0.95648076243846503</v>
      </c>
      <c r="D7156">
        <v>0.98077991574083301</v>
      </c>
      <c r="E7156">
        <v>0.97973476990016894</v>
      </c>
    </row>
    <row r="7157" spans="1:5" x14ac:dyDescent="0.2">
      <c r="A7157">
        <v>0.88501666666666701</v>
      </c>
      <c r="B7157">
        <v>0.96196015864698403</v>
      </c>
      <c r="C7157">
        <v>0.95661161903471803</v>
      </c>
      <c r="D7157">
        <v>0.98083532286677699</v>
      </c>
      <c r="E7157">
        <v>0.97980197471990804</v>
      </c>
    </row>
    <row r="7158" spans="1:5" x14ac:dyDescent="0.2">
      <c r="A7158">
        <v>0.88534999999999997</v>
      </c>
      <c r="B7158">
        <v>0.96207517834685097</v>
      </c>
      <c r="C7158">
        <v>0.95674244424571897</v>
      </c>
      <c r="D7158">
        <v>0.98089072217001805</v>
      </c>
      <c r="E7158">
        <v>0.97986911569394297</v>
      </c>
    </row>
    <row r="7159" spans="1:5" x14ac:dyDescent="0.2">
      <c r="A7159">
        <v>0.88568333333333304</v>
      </c>
      <c r="B7159">
        <v>0.96219016849415695</v>
      </c>
      <c r="C7159">
        <v>0.95687323809094305</v>
      </c>
      <c r="D7159">
        <v>0.98094611474411597</v>
      </c>
      <c r="E7159">
        <v>0.97993619278853095</v>
      </c>
    </row>
    <row r="7160" spans="1:5" x14ac:dyDescent="0.2">
      <c r="A7160">
        <v>0.88601666666666701</v>
      </c>
      <c r="B7160">
        <v>0.96230512910772004</v>
      </c>
      <c r="C7160">
        <v>0.95700400058986601</v>
      </c>
      <c r="D7160">
        <v>0.98100150168263101</v>
      </c>
      <c r="E7160">
        <v>0.98000320596993096</v>
      </c>
    </row>
    <row r="7161" spans="1:5" x14ac:dyDescent="0.2">
      <c r="A7161">
        <v>0.88634999999999997</v>
      </c>
      <c r="B7161">
        <v>0.96242006020635795</v>
      </c>
      <c r="C7161">
        <v>0.95713473176196195</v>
      </c>
      <c r="D7161">
        <v>0.98105688407912295</v>
      </c>
      <c r="E7161">
        <v>0.98007015520440199</v>
      </c>
    </row>
    <row r="7162" spans="1:5" x14ac:dyDescent="0.2">
      <c r="A7162">
        <v>0.88668333333333305</v>
      </c>
      <c r="B7162">
        <v>0.96253496180888598</v>
      </c>
      <c r="C7162">
        <v>0.95726543162670796</v>
      </c>
      <c r="D7162">
        <v>0.98111226302715204</v>
      </c>
      <c r="E7162">
        <v>0.98013704045820105</v>
      </c>
    </row>
    <row r="7163" spans="1:5" x14ac:dyDescent="0.2">
      <c r="A7163">
        <v>0.88701666666666701</v>
      </c>
      <c r="B7163">
        <v>0.96264983393412396</v>
      </c>
      <c r="C7163">
        <v>0.95739610020357901</v>
      </c>
      <c r="D7163">
        <v>0.98116763962027798</v>
      </c>
      <c r="E7163">
        <v>0.980203861697587</v>
      </c>
    </row>
    <row r="7164" spans="1:5" x14ac:dyDescent="0.2">
      <c r="A7164">
        <v>0.88734999999999997</v>
      </c>
      <c r="B7164">
        <v>0.96276467660088805</v>
      </c>
      <c r="C7164">
        <v>0.95752673751204997</v>
      </c>
      <c r="D7164">
        <v>0.98122301495205999</v>
      </c>
      <c r="E7164">
        <v>0.98027061888881795</v>
      </c>
    </row>
    <row r="7165" spans="1:5" x14ac:dyDescent="0.2">
      <c r="A7165">
        <v>0.88768333333333305</v>
      </c>
      <c r="B7165">
        <v>0.96287948982799698</v>
      </c>
      <c r="C7165">
        <v>0.95765734357159704</v>
      </c>
      <c r="D7165">
        <v>0.98127839011606</v>
      </c>
      <c r="E7165">
        <v>0.98033731199815299</v>
      </c>
    </row>
    <row r="7166" spans="1:5" x14ac:dyDescent="0.2">
      <c r="A7166">
        <v>0.88801666666666701</v>
      </c>
      <c r="B7166">
        <v>0.96299427363426604</v>
      </c>
      <c r="C7166">
        <v>0.95778791840169497</v>
      </c>
      <c r="D7166">
        <v>0.98133376620583601</v>
      </c>
      <c r="E7166">
        <v>0.98040394099185002</v>
      </c>
    </row>
    <row r="7167" spans="1:5" x14ac:dyDescent="0.2">
      <c r="A7167">
        <v>0.88834999999999997</v>
      </c>
      <c r="B7167">
        <v>0.96310902803851395</v>
      </c>
      <c r="C7167">
        <v>0.95791846202182096</v>
      </c>
      <c r="D7167">
        <v>0.98138914431494795</v>
      </c>
      <c r="E7167">
        <v>0.98047050583616802</v>
      </c>
    </row>
    <row r="7168" spans="1:5" x14ac:dyDescent="0.2">
      <c r="A7168">
        <v>0.88868333333333305</v>
      </c>
      <c r="B7168">
        <v>0.96322375305955898</v>
      </c>
      <c r="C7168">
        <v>0.95804897445144899</v>
      </c>
      <c r="D7168">
        <v>0.98144452553695805</v>
      </c>
      <c r="E7168">
        <v>0.98053700649736497</v>
      </c>
    </row>
    <row r="7169" spans="1:5" x14ac:dyDescent="0.2">
      <c r="A7169">
        <v>0.88901666666666701</v>
      </c>
      <c r="B7169">
        <v>0.96333844871621699</v>
      </c>
      <c r="C7169">
        <v>0.95817945571005503</v>
      </c>
      <c r="D7169">
        <v>0.98149991096542399</v>
      </c>
      <c r="E7169">
        <v>0.98060344294169799</v>
      </c>
    </row>
    <row r="7170" spans="1:5" x14ac:dyDescent="0.2">
      <c r="A7170">
        <v>0.88934999999999997</v>
      </c>
      <c r="B7170">
        <v>0.96345311502730602</v>
      </c>
      <c r="C7170">
        <v>0.95830990581711495</v>
      </c>
      <c r="D7170">
        <v>0.98155530169390603</v>
      </c>
      <c r="E7170">
        <v>0.98066981513542795</v>
      </c>
    </row>
    <row r="7171" spans="1:5" x14ac:dyDescent="0.2">
      <c r="A7171">
        <v>0.88968333333333305</v>
      </c>
      <c r="B7171">
        <v>0.96356775201164402</v>
      </c>
      <c r="C7171">
        <v>0.95844032479210295</v>
      </c>
      <c r="D7171">
        <v>0.98161069881596497</v>
      </c>
      <c r="E7171">
        <v>0.98073612304481095</v>
      </c>
    </row>
    <row r="7172" spans="1:5" x14ac:dyDescent="0.2">
      <c r="A7172">
        <v>0.89001666666666701</v>
      </c>
      <c r="B7172">
        <v>0.96368235968804705</v>
      </c>
      <c r="C7172">
        <v>0.958570712654496</v>
      </c>
      <c r="D7172">
        <v>0.98166610342513305</v>
      </c>
      <c r="E7172">
        <v>0.98080236663610698</v>
      </c>
    </row>
    <row r="7173" spans="1:5" x14ac:dyDescent="0.2">
      <c r="A7173">
        <v>0.89034999999999997</v>
      </c>
      <c r="B7173">
        <v>0.96379693807520805</v>
      </c>
      <c r="C7173">
        <v>0.95870106942362698</v>
      </c>
      <c r="D7173">
        <v>0.98172151635752802</v>
      </c>
      <c r="E7173">
        <v>0.98086854587557304</v>
      </c>
    </row>
    <row r="7174" spans="1:5" x14ac:dyDescent="0.2">
      <c r="A7174">
        <v>0.89068333333333305</v>
      </c>
      <c r="B7174">
        <v>0.96391148719138198</v>
      </c>
      <c r="C7174">
        <v>0.95883139511834004</v>
      </c>
      <c r="D7174">
        <v>0.98177693756268203</v>
      </c>
      <c r="E7174">
        <v>0.980934660729468</v>
      </c>
    </row>
    <row r="7175" spans="1:5" x14ac:dyDescent="0.2">
      <c r="A7175">
        <v>0.89101666666666701</v>
      </c>
      <c r="B7175">
        <v>0.96402600705473096</v>
      </c>
      <c r="C7175">
        <v>0.95896168975737295</v>
      </c>
      <c r="D7175">
        <v>0.98183236679939601</v>
      </c>
      <c r="E7175">
        <v>0.98100071116405096</v>
      </c>
    </row>
    <row r="7176" spans="1:5" x14ac:dyDescent="0.2">
      <c r="A7176">
        <v>0.89134999999999998</v>
      </c>
      <c r="B7176">
        <v>0.96414049768341703</v>
      </c>
      <c r="C7176">
        <v>0.95909195335946595</v>
      </c>
      <c r="D7176">
        <v>0.98188780382647101</v>
      </c>
      <c r="E7176">
        <v>0.98106669714558004</v>
      </c>
    </row>
    <row r="7177" spans="1:5" x14ac:dyDescent="0.2">
      <c r="A7177">
        <v>0.89168333333333305</v>
      </c>
      <c r="B7177">
        <v>0.96425495909560299</v>
      </c>
      <c r="C7177">
        <v>0.95922218594335695</v>
      </c>
      <c r="D7177">
        <v>0.98194324840270697</v>
      </c>
      <c r="E7177">
        <v>0.98113261864031298</v>
      </c>
    </row>
    <row r="7178" spans="1:5" x14ac:dyDescent="0.2">
      <c r="A7178">
        <v>0.89201666666666701</v>
      </c>
      <c r="B7178">
        <v>0.96436939130945099</v>
      </c>
      <c r="C7178">
        <v>0.95935238752778396</v>
      </c>
      <c r="D7178">
        <v>0.98199870028690495</v>
      </c>
      <c r="E7178">
        <v>0.98119847561450801</v>
      </c>
    </row>
    <row r="7179" spans="1:5" x14ac:dyDescent="0.2">
      <c r="A7179">
        <v>0.89234999999999998</v>
      </c>
      <c r="B7179">
        <v>0.96448379434312304</v>
      </c>
      <c r="C7179">
        <v>0.95948255813148697</v>
      </c>
      <c r="D7179">
        <v>0.98205415923786599</v>
      </c>
      <c r="E7179">
        <v>0.98126426803442401</v>
      </c>
    </row>
    <row r="7180" spans="1:5" x14ac:dyDescent="0.2">
      <c r="A7180">
        <v>0.89268333333333305</v>
      </c>
      <c r="B7180">
        <v>0.96459816821478195</v>
      </c>
      <c r="C7180">
        <v>0.95961269777320402</v>
      </c>
      <c r="D7180">
        <v>0.98210962501439003</v>
      </c>
      <c r="E7180">
        <v>0.98132999586631997</v>
      </c>
    </row>
    <row r="7181" spans="1:5" x14ac:dyDescent="0.2">
      <c r="A7181">
        <v>0.89301666666666701</v>
      </c>
      <c r="B7181">
        <v>0.96471251294258997</v>
      </c>
      <c r="C7181">
        <v>0.95974280647167398</v>
      </c>
      <c r="D7181">
        <v>0.98216509737527902</v>
      </c>
      <c r="E7181">
        <v>0.98139565907645299</v>
      </c>
    </row>
    <row r="7182" spans="1:5" x14ac:dyDescent="0.2">
      <c r="A7182">
        <v>0.89334999999999998</v>
      </c>
      <c r="B7182">
        <v>0.96482682854470903</v>
      </c>
      <c r="C7182">
        <v>0.95987288424563499</v>
      </c>
      <c r="D7182">
        <v>0.982220576079332</v>
      </c>
      <c r="E7182">
        <v>0.98146125763108205</v>
      </c>
    </row>
    <row r="7183" spans="1:5" x14ac:dyDescent="0.2">
      <c r="A7183">
        <v>0.89368333333333305</v>
      </c>
      <c r="B7183">
        <v>0.96494111503930102</v>
      </c>
      <c r="C7183">
        <v>0.96000293111382595</v>
      </c>
      <c r="D7183">
        <v>0.98227606088535102</v>
      </c>
      <c r="E7183">
        <v>0.98152679149646604</v>
      </c>
    </row>
    <row r="7184" spans="1:5" x14ac:dyDescent="0.2">
      <c r="A7184">
        <v>0.89401666666666701</v>
      </c>
      <c r="B7184">
        <v>0.96505537244452799</v>
      </c>
      <c r="C7184">
        <v>0.96013294709498698</v>
      </c>
      <c r="D7184">
        <v>0.98233155155213703</v>
      </c>
      <c r="E7184">
        <v>0.98159226063886196</v>
      </c>
    </row>
    <row r="7185" spans="1:5" x14ac:dyDescent="0.2">
      <c r="A7185">
        <v>0.89434999999999998</v>
      </c>
      <c r="B7185">
        <v>0.96516960077855396</v>
      </c>
      <c r="C7185">
        <v>0.96026293220785497</v>
      </c>
      <c r="D7185">
        <v>0.98238704783848996</v>
      </c>
      <c r="E7185">
        <v>0.981657665024529</v>
      </c>
    </row>
    <row r="7186" spans="1:5" x14ac:dyDescent="0.2">
      <c r="A7186">
        <v>0.89468333333333305</v>
      </c>
      <c r="B7186">
        <v>0.96528380005953895</v>
      </c>
      <c r="C7186">
        <v>0.96039288647116905</v>
      </c>
      <c r="D7186">
        <v>0.98244254950320997</v>
      </c>
      <c r="E7186">
        <v>0.98172300461972595</v>
      </c>
    </row>
    <row r="7187" spans="1:5" x14ac:dyDescent="0.2">
      <c r="A7187">
        <v>0.89501666666666702</v>
      </c>
      <c r="B7187">
        <v>0.965397970305647</v>
      </c>
      <c r="C7187">
        <v>0.96052280990366801</v>
      </c>
      <c r="D7187">
        <v>0.98249805630509901</v>
      </c>
      <c r="E7187">
        <v>0.98178827939071101</v>
      </c>
    </row>
    <row r="7188" spans="1:5" x14ac:dyDescent="0.2">
      <c r="A7188">
        <v>0.89534999999999998</v>
      </c>
      <c r="B7188">
        <v>0.96551211153504002</v>
      </c>
      <c r="C7188">
        <v>0.96065270252409096</v>
      </c>
      <c r="D7188">
        <v>0.98255356800295701</v>
      </c>
      <c r="E7188">
        <v>0.98185348930374206</v>
      </c>
    </row>
    <row r="7189" spans="1:5" x14ac:dyDescent="0.2">
      <c r="A7189">
        <v>0.89568333333333305</v>
      </c>
      <c r="B7189">
        <v>0.96562622376588003</v>
      </c>
      <c r="C7189">
        <v>0.96078256435117704</v>
      </c>
      <c r="D7189">
        <v>0.98260908435558503</v>
      </c>
      <c r="E7189">
        <v>0.98191863432507798</v>
      </c>
    </row>
    <row r="7190" spans="1:5" x14ac:dyDescent="0.2">
      <c r="A7190">
        <v>0.89601666666666702</v>
      </c>
      <c r="B7190">
        <v>0.96574030701632796</v>
      </c>
      <c r="C7190">
        <v>0.96091239540366302</v>
      </c>
      <c r="D7190">
        <v>0.982664605121783</v>
      </c>
      <c r="E7190">
        <v>0.98198371442097598</v>
      </c>
    </row>
    <row r="7191" spans="1:5" x14ac:dyDescent="0.2">
      <c r="A7191">
        <v>0.89634999999999998</v>
      </c>
      <c r="B7191">
        <v>0.96585436130454805</v>
      </c>
      <c r="C7191">
        <v>0.96104219570029004</v>
      </c>
      <c r="D7191">
        <v>0.98272013006035297</v>
      </c>
      <c r="E7191">
        <v>0.98204872955769595</v>
      </c>
    </row>
    <row r="7192" spans="1:5" x14ac:dyDescent="0.2">
      <c r="A7192">
        <v>0.89668333333333305</v>
      </c>
      <c r="B7192">
        <v>0.96596838664870199</v>
      </c>
      <c r="C7192">
        <v>0.96117196525979498</v>
      </c>
      <c r="D7192">
        <v>0.982775658930095</v>
      </c>
      <c r="E7192">
        <v>0.98211367970149599</v>
      </c>
    </row>
    <row r="7193" spans="1:5" x14ac:dyDescent="0.2">
      <c r="A7193">
        <v>0.89701666666666702</v>
      </c>
      <c r="B7193">
        <v>0.96608238306695204</v>
      </c>
      <c r="C7193">
        <v>0.96130170410091698</v>
      </c>
      <c r="D7193">
        <v>0.98283119148980902</v>
      </c>
      <c r="E7193">
        <v>0.98217856481863297</v>
      </c>
    </row>
    <row r="7194" spans="1:5" x14ac:dyDescent="0.2">
      <c r="A7194">
        <v>0.89734999999999998</v>
      </c>
      <c r="B7194">
        <v>0.96619635057746001</v>
      </c>
      <c r="C7194">
        <v>0.96143141224239503</v>
      </c>
      <c r="D7194">
        <v>0.98288672749829797</v>
      </c>
      <c r="E7194">
        <v>0.982243384875367</v>
      </c>
    </row>
    <row r="7195" spans="1:5" x14ac:dyDescent="0.2">
      <c r="A7195">
        <v>0.89768333333333294</v>
      </c>
      <c r="B7195">
        <v>0.96631028919838902</v>
      </c>
      <c r="C7195">
        <v>0.96156108970296805</v>
      </c>
      <c r="D7195">
        <v>0.98294226671436002</v>
      </c>
      <c r="E7195">
        <v>0.98230813983795595</v>
      </c>
    </row>
    <row r="7196" spans="1:5" x14ac:dyDescent="0.2">
      <c r="A7196">
        <v>0.89801666666666702</v>
      </c>
      <c r="B7196">
        <v>0.96642419894789999</v>
      </c>
      <c r="C7196">
        <v>0.96169073650137404</v>
      </c>
      <c r="D7196">
        <v>0.982997808896797</v>
      </c>
      <c r="E7196">
        <v>0.98237282967265804</v>
      </c>
    </row>
    <row r="7197" spans="1:5" x14ac:dyDescent="0.2">
      <c r="A7197">
        <v>0.89834999999999998</v>
      </c>
      <c r="B7197">
        <v>0.96653807984415696</v>
      </c>
      <c r="C7197">
        <v>0.96182035265635202</v>
      </c>
      <c r="D7197">
        <v>0.98305335380440995</v>
      </c>
      <c r="E7197">
        <v>0.98243745434573104</v>
      </c>
    </row>
    <row r="7198" spans="1:5" x14ac:dyDescent="0.2">
      <c r="A7198">
        <v>0.89868333333333295</v>
      </c>
      <c r="B7198">
        <v>0.96665193190531995</v>
      </c>
      <c r="C7198">
        <v>0.96194993818664098</v>
      </c>
      <c r="D7198">
        <v>0.98310890119599903</v>
      </c>
      <c r="E7198">
        <v>0.98250201382343505</v>
      </c>
    </row>
    <row r="7199" spans="1:5" x14ac:dyDescent="0.2">
      <c r="A7199">
        <v>0.89901666666666702</v>
      </c>
      <c r="B7199">
        <v>0.96676575514955299</v>
      </c>
      <c r="C7199">
        <v>0.96207949311097996</v>
      </c>
      <c r="D7199">
        <v>0.98316445083036497</v>
      </c>
      <c r="E7199">
        <v>0.98256650807202695</v>
      </c>
    </row>
    <row r="7200" spans="1:5" x14ac:dyDescent="0.2">
      <c r="A7200">
        <v>0.89934999999999998</v>
      </c>
      <c r="B7200">
        <v>0.96687954959501798</v>
      </c>
      <c r="C7200">
        <v>0.96220901744810605</v>
      </c>
      <c r="D7200">
        <v>0.98322000246630803</v>
      </c>
      <c r="E7200">
        <v>0.98263093705776505</v>
      </c>
    </row>
    <row r="7201" spans="1:5" x14ac:dyDescent="0.2">
      <c r="A7201">
        <v>0.89968333333333295</v>
      </c>
      <c r="B7201">
        <v>0.96699331525987797</v>
      </c>
      <c r="C7201">
        <v>0.96233851121675995</v>
      </c>
      <c r="D7201">
        <v>0.98327555586263105</v>
      </c>
      <c r="E7201">
        <v>0.98269530074690803</v>
      </c>
    </row>
    <row r="7202" spans="1:5" x14ac:dyDescent="0.2">
      <c r="A7202">
        <v>0.90001666666666702</v>
      </c>
      <c r="B7202">
        <v>0.96710705216229298</v>
      </c>
      <c r="C7202">
        <v>0.962467974435679</v>
      </c>
      <c r="D7202">
        <v>0.98333111077813695</v>
      </c>
      <c r="E7202">
        <v>0.98275959910571498</v>
      </c>
    </row>
    <row r="7203" spans="1:5" x14ac:dyDescent="0.2">
      <c r="A7203">
        <v>0.90034999999999998</v>
      </c>
      <c r="B7203">
        <v>0.967220760320327</v>
      </c>
      <c r="C7203">
        <v>0.96259740712350494</v>
      </c>
      <c r="D7203">
        <v>0.98338666701587496</v>
      </c>
      <c r="E7203">
        <v>0.98282383210044399</v>
      </c>
    </row>
    <row r="7204" spans="1:5" x14ac:dyDescent="0.2">
      <c r="A7204">
        <v>0.90068333333333295</v>
      </c>
      <c r="B7204">
        <v>0.96733443975169897</v>
      </c>
      <c r="C7204">
        <v>0.96272680929854704</v>
      </c>
      <c r="D7204">
        <v>0.98344222453127705</v>
      </c>
      <c r="E7204">
        <v>0.98288799969735197</v>
      </c>
    </row>
    <row r="7205" spans="1:5" x14ac:dyDescent="0.2">
      <c r="A7205">
        <v>0.90101666666666702</v>
      </c>
      <c r="B7205">
        <v>0.967448090474052</v>
      </c>
      <c r="C7205">
        <v>0.96285618097904102</v>
      </c>
      <c r="D7205">
        <v>0.983497783312554</v>
      </c>
      <c r="E7205">
        <v>0.98295210186269899</v>
      </c>
    </row>
    <row r="7206" spans="1:5" x14ac:dyDescent="0.2">
      <c r="A7206">
        <v>0.90134999999999998</v>
      </c>
      <c r="B7206">
        <v>0.96756171250503298</v>
      </c>
      <c r="C7206">
        <v>0.96298552218322298</v>
      </c>
      <c r="D7206">
        <v>0.983553343347918</v>
      </c>
      <c r="E7206">
        <v>0.98301613856274395</v>
      </c>
    </row>
    <row r="7207" spans="1:5" x14ac:dyDescent="0.2">
      <c r="A7207">
        <v>0.90168333333333295</v>
      </c>
      <c r="B7207">
        <v>0.96767530586228401</v>
      </c>
      <c r="C7207">
        <v>0.96311483292932998</v>
      </c>
      <c r="D7207">
        <v>0.98360890462558304</v>
      </c>
      <c r="E7207">
        <v>0.98308010976374305</v>
      </c>
    </row>
    <row r="7208" spans="1:5" x14ac:dyDescent="0.2">
      <c r="A7208">
        <v>0.90201666666666702</v>
      </c>
      <c r="B7208">
        <v>0.96778887056345098</v>
      </c>
      <c r="C7208">
        <v>0.963244113235597</v>
      </c>
      <c r="D7208">
        <v>0.98366446713376099</v>
      </c>
      <c r="E7208">
        <v>0.98314401543195595</v>
      </c>
    </row>
    <row r="7209" spans="1:5" x14ac:dyDescent="0.2">
      <c r="A7209">
        <v>0.90234999999999999</v>
      </c>
      <c r="B7209">
        <v>0.96790240662617799</v>
      </c>
      <c r="C7209">
        <v>0.96337336312026201</v>
      </c>
      <c r="D7209">
        <v>0.98372003086066395</v>
      </c>
      <c r="E7209">
        <v>0.98320785553363998</v>
      </c>
    </row>
    <row r="7210" spans="1:5" x14ac:dyDescent="0.2">
      <c r="A7210">
        <v>0.90268333333333295</v>
      </c>
      <c r="B7210">
        <v>0.96801591406811105</v>
      </c>
      <c r="C7210">
        <v>0.96350258260155996</v>
      </c>
      <c r="D7210">
        <v>0.98377559579450402</v>
      </c>
      <c r="E7210">
        <v>0.98327163003505502</v>
      </c>
    </row>
    <row r="7211" spans="1:5" x14ac:dyDescent="0.2">
      <c r="A7211">
        <v>0.90301666666666702</v>
      </c>
      <c r="B7211">
        <v>0.96812939290689304</v>
      </c>
      <c r="C7211">
        <v>0.96363177169772796</v>
      </c>
      <c r="D7211">
        <v>0.98383116192349496</v>
      </c>
      <c r="E7211">
        <v>0.98333533890245906</v>
      </c>
    </row>
    <row r="7212" spans="1:5" x14ac:dyDescent="0.2">
      <c r="A7212">
        <v>0.90334999999999999</v>
      </c>
      <c r="B7212">
        <v>0.96824284316016895</v>
      </c>
      <c r="C7212">
        <v>0.96376093042700295</v>
      </c>
      <c r="D7212">
        <v>0.98388672923584797</v>
      </c>
      <c r="E7212">
        <v>0.98339898210210996</v>
      </c>
    </row>
    <row r="7213" spans="1:5" x14ac:dyDescent="0.2">
      <c r="A7213">
        <v>0.90368333333333295</v>
      </c>
      <c r="B7213">
        <v>0.96835626484558401</v>
      </c>
      <c r="C7213">
        <v>0.96389005880761902</v>
      </c>
      <c r="D7213">
        <v>0.98394229771977704</v>
      </c>
      <c r="E7213">
        <v>0.98346255960026596</v>
      </c>
    </row>
    <row r="7214" spans="1:5" x14ac:dyDescent="0.2">
      <c r="A7214">
        <v>0.90401666666666702</v>
      </c>
      <c r="B7214">
        <v>0.96846965798078299</v>
      </c>
      <c r="C7214">
        <v>0.96401915685781503</v>
      </c>
      <c r="D7214">
        <v>0.98399786736349204</v>
      </c>
      <c r="E7214">
        <v>0.98352607136318604</v>
      </c>
    </row>
    <row r="7215" spans="1:5" x14ac:dyDescent="0.2">
      <c r="A7215">
        <v>0.90434999999999999</v>
      </c>
      <c r="B7215">
        <v>0.968583022583409</v>
      </c>
      <c r="C7215">
        <v>0.96414822459582705</v>
      </c>
      <c r="D7215">
        <v>0.98405343815520796</v>
      </c>
      <c r="E7215">
        <v>0.98358951735712896</v>
      </c>
    </row>
    <row r="7216" spans="1:5" x14ac:dyDescent="0.2">
      <c r="A7216">
        <v>0.90468333333333295</v>
      </c>
      <c r="B7216">
        <v>0.96869635867110804</v>
      </c>
      <c r="C7216">
        <v>0.96427726203988995</v>
      </c>
      <c r="D7216">
        <v>0.984109010083136</v>
      </c>
      <c r="E7216">
        <v>0.98365289754835095</v>
      </c>
    </row>
    <row r="7217" spans="1:5" x14ac:dyDescent="0.2">
      <c r="A7217">
        <v>0.90501666666666702</v>
      </c>
      <c r="B7217">
        <v>0.96880966626152498</v>
      </c>
      <c r="C7217">
        <v>0.96440626920824102</v>
      </c>
      <c r="D7217">
        <v>0.98416458313548905</v>
      </c>
      <c r="E7217">
        <v>0.98371621190311298</v>
      </c>
    </row>
    <row r="7218" spans="1:5" x14ac:dyDescent="0.2">
      <c r="A7218">
        <v>0.90534999999999999</v>
      </c>
      <c r="B7218">
        <v>0.96892294537230295</v>
      </c>
      <c r="C7218">
        <v>0.96453524611911601</v>
      </c>
      <c r="D7218">
        <v>0.98422015730047896</v>
      </c>
      <c r="E7218">
        <v>0.98377946038767194</v>
      </c>
    </row>
    <row r="7219" spans="1:5" x14ac:dyDescent="0.2">
      <c r="A7219">
        <v>0.90568333333333295</v>
      </c>
      <c r="B7219">
        <v>0.96903619602108804</v>
      </c>
      <c r="C7219">
        <v>0.964664192790752</v>
      </c>
      <c r="D7219">
        <v>0.98427573256631895</v>
      </c>
      <c r="E7219">
        <v>0.98384264296828705</v>
      </c>
    </row>
    <row r="7220" spans="1:5" x14ac:dyDescent="0.2">
      <c r="A7220">
        <v>0.90601666666666703</v>
      </c>
      <c r="B7220">
        <v>0.96914941822552403</v>
      </c>
      <c r="C7220">
        <v>0.96479310924138495</v>
      </c>
      <c r="D7220">
        <v>0.984331308921222</v>
      </c>
      <c r="E7220">
        <v>0.98390575961121596</v>
      </c>
    </row>
    <row r="7221" spans="1:5" x14ac:dyDescent="0.2">
      <c r="A7221">
        <v>0.90634999999999999</v>
      </c>
      <c r="B7221">
        <v>0.96926261200325503</v>
      </c>
      <c r="C7221">
        <v>0.96492199548925195</v>
      </c>
      <c r="D7221">
        <v>0.98438688635339899</v>
      </c>
      <c r="E7221">
        <v>0.98396881028271699</v>
      </c>
    </row>
    <row r="7222" spans="1:5" x14ac:dyDescent="0.2">
      <c r="A7222">
        <v>0.90668333333333295</v>
      </c>
      <c r="B7222">
        <v>0.96937577737192704</v>
      </c>
      <c r="C7222">
        <v>0.96505085155258796</v>
      </c>
      <c r="D7222">
        <v>0.98444246485106301</v>
      </c>
      <c r="E7222">
        <v>0.98403179494904802</v>
      </c>
    </row>
    <row r="7223" spans="1:5" x14ac:dyDescent="0.2">
      <c r="A7223">
        <v>0.90701666666666703</v>
      </c>
      <c r="B7223">
        <v>0.96948891434918405</v>
      </c>
      <c r="C7223">
        <v>0.96517967744962996</v>
      </c>
      <c r="D7223">
        <v>0.98449804440242605</v>
      </c>
      <c r="E7223">
        <v>0.98409471357646905</v>
      </c>
    </row>
    <row r="7224" spans="1:5" x14ac:dyDescent="0.2">
      <c r="A7224">
        <v>0.90734999999999999</v>
      </c>
      <c r="B7224">
        <v>0.96960202295266995</v>
      </c>
      <c r="C7224">
        <v>0.96530847319861501</v>
      </c>
      <c r="D7224">
        <v>0.98455362499570198</v>
      </c>
      <c r="E7224">
        <v>0.98415756613123795</v>
      </c>
    </row>
    <row r="7225" spans="1:5" x14ac:dyDescent="0.2">
      <c r="A7225">
        <v>0.90768333333333295</v>
      </c>
      <c r="B7225">
        <v>0.96971510320002996</v>
      </c>
      <c r="C7225">
        <v>0.96543723881777799</v>
      </c>
      <c r="D7225">
        <v>0.98460920661910301</v>
      </c>
      <c r="E7225">
        <v>0.98422035257961205</v>
      </c>
    </row>
    <row r="7226" spans="1:5" x14ac:dyDescent="0.2">
      <c r="A7226">
        <v>0.90801666666666703</v>
      </c>
      <c r="B7226">
        <v>0.96982815510890896</v>
      </c>
      <c r="C7226">
        <v>0.96556597432535696</v>
      </c>
      <c r="D7226">
        <v>0.98466478926084</v>
      </c>
      <c r="E7226">
        <v>0.984283072887851</v>
      </c>
    </row>
    <row r="7227" spans="1:5" x14ac:dyDescent="0.2">
      <c r="A7227">
        <v>0.90834999999999999</v>
      </c>
      <c r="B7227">
        <v>0.96994117869695096</v>
      </c>
      <c r="C7227">
        <v>0.965694679739587</v>
      </c>
      <c r="D7227">
        <v>0.98472037290912695</v>
      </c>
      <c r="E7227">
        <v>0.98434572702221201</v>
      </c>
    </row>
    <row r="7228" spans="1:5" x14ac:dyDescent="0.2">
      <c r="A7228">
        <v>0.90868333333333295</v>
      </c>
      <c r="B7228">
        <v>0.97005417398180205</v>
      </c>
      <c r="C7228">
        <v>0.96582335507870498</v>
      </c>
      <c r="D7228">
        <v>0.98477595755217495</v>
      </c>
      <c r="E7228">
        <v>0.98440831494895398</v>
      </c>
    </row>
    <row r="7229" spans="1:5" x14ac:dyDescent="0.2">
      <c r="A7229">
        <v>0.90901666666666703</v>
      </c>
      <c r="B7229">
        <v>0.97016714098110401</v>
      </c>
      <c r="C7229">
        <v>0.96595200036094697</v>
      </c>
      <c r="D7229">
        <v>0.98483154317819799</v>
      </c>
      <c r="E7229">
        <v>0.98447083663433499</v>
      </c>
    </row>
    <row r="7230" spans="1:5" x14ac:dyDescent="0.2">
      <c r="A7230">
        <v>0.90934999999999999</v>
      </c>
      <c r="B7230">
        <v>0.97028007971250396</v>
      </c>
      <c r="C7230">
        <v>0.96608061560455005</v>
      </c>
      <c r="D7230">
        <v>0.98488712977540804</v>
      </c>
      <c r="E7230">
        <v>0.98453329204461404</v>
      </c>
    </row>
    <row r="7231" spans="1:5" x14ac:dyDescent="0.2">
      <c r="A7231">
        <v>0.90968333333333296</v>
      </c>
      <c r="B7231">
        <v>0.970392990193646</v>
      </c>
      <c r="C7231">
        <v>0.96620920082774897</v>
      </c>
      <c r="D7231">
        <v>0.98494271733201699</v>
      </c>
      <c r="E7231">
        <v>0.98459568114604901</v>
      </c>
    </row>
    <row r="7232" spans="1:5" x14ac:dyDescent="0.2">
      <c r="A7232">
        <v>0.91001666666666703</v>
      </c>
      <c r="B7232">
        <v>0.97050587244217401</v>
      </c>
      <c r="C7232">
        <v>0.96633775604878203</v>
      </c>
      <c r="D7232">
        <v>0.98499830583623804</v>
      </c>
      <c r="E7232">
        <v>0.98465800390489899</v>
      </c>
    </row>
    <row r="7233" spans="1:5" x14ac:dyDescent="0.2">
      <c r="A7233">
        <v>0.91034999999999999</v>
      </c>
      <c r="B7233">
        <v>0.97061872647561598</v>
      </c>
      <c r="C7233">
        <v>0.96646628128577095</v>
      </c>
      <c r="D7233">
        <v>0.98505389527628295</v>
      </c>
      <c r="E7233">
        <v>0.98472026028742199</v>
      </c>
    </row>
    <row r="7234" spans="1:5" x14ac:dyDescent="0.2">
      <c r="A7234">
        <v>0.91068333333333296</v>
      </c>
      <c r="B7234">
        <v>0.97073155231109598</v>
      </c>
      <c r="C7234">
        <v>0.96659477655644899</v>
      </c>
      <c r="D7234">
        <v>0.98510948564036505</v>
      </c>
      <c r="E7234">
        <v>0.98478245025987499</v>
      </c>
    </row>
    <row r="7235" spans="1:5" x14ac:dyDescent="0.2">
      <c r="A7235">
        <v>0.91101666666666703</v>
      </c>
      <c r="B7235">
        <v>0.97084434996565006</v>
      </c>
      <c r="C7235">
        <v>0.96672324187846603</v>
      </c>
      <c r="D7235">
        <v>0.98516507691669497</v>
      </c>
      <c r="E7235">
        <v>0.98484457378851797</v>
      </c>
    </row>
    <row r="7236" spans="1:5" x14ac:dyDescent="0.2">
      <c r="A7236">
        <v>0.91134999999999999</v>
      </c>
      <c r="B7236">
        <v>0.97095711945631602</v>
      </c>
      <c r="C7236">
        <v>0.96685167726947097</v>
      </c>
      <c r="D7236">
        <v>0.98522066909348804</v>
      </c>
      <c r="E7236">
        <v>0.98490663083960905</v>
      </c>
    </row>
    <row r="7237" spans="1:5" x14ac:dyDescent="0.2">
      <c r="A7237">
        <v>0.91168333333333296</v>
      </c>
      <c r="B7237">
        <v>0.97106986080013102</v>
      </c>
      <c r="C7237">
        <v>0.966980082747113</v>
      </c>
      <c r="D7237">
        <v>0.98527626215895403</v>
      </c>
      <c r="E7237">
        <v>0.98496862137940699</v>
      </c>
    </row>
    <row r="7238" spans="1:5" x14ac:dyDescent="0.2">
      <c r="A7238">
        <v>0.91201666666666703</v>
      </c>
      <c r="B7238">
        <v>0.97118257401413199</v>
      </c>
      <c r="C7238">
        <v>0.96710845832904202</v>
      </c>
      <c r="D7238">
        <v>0.98533185610130702</v>
      </c>
      <c r="E7238">
        <v>0.98503054537416901</v>
      </c>
    </row>
    <row r="7239" spans="1:5" x14ac:dyDescent="0.2">
      <c r="A7239">
        <v>0.91234999999999999</v>
      </c>
      <c r="B7239">
        <v>0.97129525911535597</v>
      </c>
      <c r="C7239">
        <v>0.96723680403290602</v>
      </c>
      <c r="D7239">
        <v>0.98538745090875801</v>
      </c>
      <c r="E7239">
        <v>0.98509240279015398</v>
      </c>
    </row>
    <row r="7240" spans="1:5" x14ac:dyDescent="0.2">
      <c r="A7240">
        <v>0.91268333333333296</v>
      </c>
      <c r="B7240">
        <v>0.97140791612084099</v>
      </c>
      <c r="C7240">
        <v>0.96736511987635498</v>
      </c>
      <c r="D7240">
        <v>0.98544304656952197</v>
      </c>
      <c r="E7240">
        <v>0.98515419359362</v>
      </c>
    </row>
    <row r="7241" spans="1:5" x14ac:dyDescent="0.2">
      <c r="A7241">
        <v>0.91301666666666703</v>
      </c>
      <c r="B7241">
        <v>0.97152054504762198</v>
      </c>
      <c r="C7241">
        <v>0.96749340587703803</v>
      </c>
      <c r="D7241">
        <v>0.98549864307180901</v>
      </c>
      <c r="E7241">
        <v>0.98521591775082595</v>
      </c>
    </row>
    <row r="7242" spans="1:5" x14ac:dyDescent="0.2">
      <c r="A7242">
        <v>0.91335</v>
      </c>
      <c r="B7242">
        <v>0.97163314591273797</v>
      </c>
      <c r="C7242">
        <v>0.96762166205260502</v>
      </c>
      <c r="D7242">
        <v>0.98555424040383199</v>
      </c>
      <c r="E7242">
        <v>0.98527757522803106</v>
      </c>
    </row>
    <row r="7243" spans="1:5" x14ac:dyDescent="0.2">
      <c r="A7243">
        <v>0.91368333333333296</v>
      </c>
      <c r="B7243">
        <v>0.97174571873322502</v>
      </c>
      <c r="C7243">
        <v>0.96774988842070397</v>
      </c>
      <c r="D7243">
        <v>0.98560983855380402</v>
      </c>
      <c r="E7243">
        <v>0.98533916599149096</v>
      </c>
    </row>
    <row r="7244" spans="1:5" x14ac:dyDescent="0.2">
      <c r="A7244">
        <v>0.91401666666666703</v>
      </c>
      <c r="B7244">
        <v>0.97185826352612104</v>
      </c>
      <c r="C7244">
        <v>0.96787808499898498</v>
      </c>
      <c r="D7244">
        <v>0.98566543750993696</v>
      </c>
      <c r="E7244">
        <v>0.985400690007467</v>
      </c>
    </row>
    <row r="7245" spans="1:5" x14ac:dyDescent="0.2">
      <c r="A7245">
        <v>0.91435</v>
      </c>
      <c r="B7245">
        <v>0.97197078030846296</v>
      </c>
      <c r="C7245">
        <v>0.96800625180509803</v>
      </c>
      <c r="D7245">
        <v>0.98572103726044402</v>
      </c>
      <c r="E7245">
        <v>0.98546214724221604</v>
      </c>
    </row>
    <row r="7246" spans="1:5" x14ac:dyDescent="0.2">
      <c r="A7246">
        <v>0.91468333333333296</v>
      </c>
      <c r="B7246">
        <v>0.97208326909728704</v>
      </c>
      <c r="C7246">
        <v>0.96813438885669001</v>
      </c>
      <c r="D7246">
        <v>0.98577663779353697</v>
      </c>
      <c r="E7246">
        <v>0.98552353766199696</v>
      </c>
    </row>
    <row r="7247" spans="1:5" x14ac:dyDescent="0.2">
      <c r="A7247">
        <v>0.91501666666666703</v>
      </c>
      <c r="B7247">
        <v>0.97219572990962999</v>
      </c>
      <c r="C7247">
        <v>0.96826249617141302</v>
      </c>
      <c r="D7247">
        <v>0.98583223909742901</v>
      </c>
      <c r="E7247">
        <v>0.98558486123306699</v>
      </c>
    </row>
    <row r="7248" spans="1:5" x14ac:dyDescent="0.2">
      <c r="A7248">
        <v>0.91535</v>
      </c>
      <c r="B7248">
        <v>0.97230816276253096</v>
      </c>
      <c r="C7248">
        <v>0.96839057376691395</v>
      </c>
      <c r="D7248">
        <v>0.98588784116033201</v>
      </c>
      <c r="E7248">
        <v>0.98564611792168599</v>
      </c>
    </row>
    <row r="7249" spans="1:5" x14ac:dyDescent="0.2">
      <c r="A7249">
        <v>0.91568333333333296</v>
      </c>
      <c r="B7249">
        <v>0.97242056767302498</v>
      </c>
      <c r="C7249">
        <v>0.96851862166084302</v>
      </c>
      <c r="D7249">
        <v>0.98594344397045797</v>
      </c>
      <c r="E7249">
        <v>0.98570730769411097</v>
      </c>
    </row>
    <row r="7250" spans="1:5" x14ac:dyDescent="0.2">
      <c r="A7250">
        <v>0.91601666666666703</v>
      </c>
      <c r="B7250">
        <v>0.97253294465815099</v>
      </c>
      <c r="C7250">
        <v>0.96864663987084998</v>
      </c>
      <c r="D7250">
        <v>0.98599904751601997</v>
      </c>
      <c r="E7250">
        <v>0.98576843051660201</v>
      </c>
    </row>
    <row r="7251" spans="1:5" x14ac:dyDescent="0.2">
      <c r="A7251">
        <v>0.91635</v>
      </c>
      <c r="B7251">
        <v>0.97264529373494402</v>
      </c>
      <c r="C7251">
        <v>0.96877462841458295</v>
      </c>
      <c r="D7251">
        <v>0.986054651785231</v>
      </c>
      <c r="E7251">
        <v>0.98582948635541601</v>
      </c>
    </row>
    <row r="7252" spans="1:5" x14ac:dyDescent="0.2">
      <c r="A7252">
        <v>0.91668333333333296</v>
      </c>
      <c r="B7252">
        <v>0.97275761492044299</v>
      </c>
      <c r="C7252">
        <v>0.96890258730969203</v>
      </c>
      <c r="D7252">
        <v>0.98611025676630204</v>
      </c>
      <c r="E7252">
        <v>0.98589047517681205</v>
      </c>
    </row>
    <row r="7253" spans="1:5" x14ac:dyDescent="0.2">
      <c r="A7253">
        <v>0.91701666666666704</v>
      </c>
      <c r="B7253">
        <v>0.97286990823168396</v>
      </c>
      <c r="C7253">
        <v>0.969030516573826</v>
      </c>
      <c r="D7253">
        <v>0.98616586244744697</v>
      </c>
      <c r="E7253">
        <v>0.98595139694704803</v>
      </c>
    </row>
    <row r="7254" spans="1:5" x14ac:dyDescent="0.2">
      <c r="A7254">
        <v>0.91735</v>
      </c>
      <c r="B7254">
        <v>0.97298217368570405</v>
      </c>
      <c r="C7254">
        <v>0.96915841622463506</v>
      </c>
      <c r="D7254">
        <v>0.986221468816878</v>
      </c>
      <c r="E7254">
        <v>0.98601225163238204</v>
      </c>
    </row>
    <row r="7255" spans="1:5" x14ac:dyDescent="0.2">
      <c r="A7255">
        <v>0.91768333333333296</v>
      </c>
      <c r="B7255">
        <v>0.973094411299541</v>
      </c>
      <c r="C7255">
        <v>0.96928628627976698</v>
      </c>
      <c r="D7255">
        <v>0.986277075862807</v>
      </c>
      <c r="E7255">
        <v>0.98607303919907396</v>
      </c>
    </row>
    <row r="7256" spans="1:5" x14ac:dyDescent="0.2">
      <c r="A7256">
        <v>0.91801666666666704</v>
      </c>
      <c r="B7256">
        <v>0.97320662109023104</v>
      </c>
      <c r="C7256">
        <v>0.969414126756872</v>
      </c>
      <c r="D7256">
        <v>0.98633268357344595</v>
      </c>
      <c r="E7256">
        <v>0.98613375961338101</v>
      </c>
    </row>
    <row r="7257" spans="1:5" x14ac:dyDescent="0.2">
      <c r="A7257">
        <v>0.91835</v>
      </c>
      <c r="B7257">
        <v>0.973318803074811</v>
      </c>
      <c r="C7257">
        <v>0.96954193767359897</v>
      </c>
      <c r="D7257">
        <v>0.98638829193700905</v>
      </c>
      <c r="E7257">
        <v>0.98619441284156095</v>
      </c>
    </row>
    <row r="7258" spans="1:5" x14ac:dyDescent="0.2">
      <c r="A7258">
        <v>0.91868333333333296</v>
      </c>
      <c r="B7258">
        <v>0.97343095727032003</v>
      </c>
      <c r="C7258">
        <v>0.96966971904759702</v>
      </c>
      <c r="D7258">
        <v>0.98644390094170797</v>
      </c>
      <c r="E7258">
        <v>0.986254998849873</v>
      </c>
    </row>
    <row r="7259" spans="1:5" x14ac:dyDescent="0.2">
      <c r="A7259">
        <v>0.91901666666666704</v>
      </c>
      <c r="B7259">
        <v>0.97354308369379305</v>
      </c>
      <c r="C7259">
        <v>0.96979747089651602</v>
      </c>
      <c r="D7259">
        <v>0.98649951057575402</v>
      </c>
      <c r="E7259">
        <v>0.98631551760457603</v>
      </c>
    </row>
    <row r="7260" spans="1:5" x14ac:dyDescent="0.2">
      <c r="A7260">
        <v>0.91935</v>
      </c>
      <c r="B7260">
        <v>0.973655182362267</v>
      </c>
      <c r="C7260">
        <v>0.96992519323800497</v>
      </c>
      <c r="D7260">
        <v>0.98655512082736097</v>
      </c>
      <c r="E7260">
        <v>0.98637596907192804</v>
      </c>
    </row>
    <row r="7261" spans="1:5" x14ac:dyDescent="0.2">
      <c r="A7261">
        <v>0.91968333333333296</v>
      </c>
      <c r="B7261">
        <v>0.97376725329278102</v>
      </c>
      <c r="C7261">
        <v>0.97005288608971196</v>
      </c>
      <c r="D7261">
        <v>0.986610731684742</v>
      </c>
      <c r="E7261">
        <v>0.98643635321818701</v>
      </c>
    </row>
    <row r="7262" spans="1:5" x14ac:dyDescent="0.2">
      <c r="A7262">
        <v>0.92001666666666704</v>
      </c>
      <c r="B7262">
        <v>0.97387929650237004</v>
      </c>
      <c r="C7262">
        <v>0.970180549469288</v>
      </c>
      <c r="D7262">
        <v>0.98666634313610702</v>
      </c>
      <c r="E7262">
        <v>0.98649667000961105</v>
      </c>
    </row>
    <row r="7263" spans="1:5" x14ac:dyDescent="0.2">
      <c r="A7263">
        <v>0.92035</v>
      </c>
      <c r="B7263">
        <v>0.97399131200804201</v>
      </c>
      <c r="C7263">
        <v>0.970308183394331</v>
      </c>
      <c r="D7263">
        <v>0.98672195516967098</v>
      </c>
      <c r="E7263">
        <v>0.98655691941245904</v>
      </c>
    </row>
    <row r="7264" spans="1:5" x14ac:dyDescent="0.2">
      <c r="A7264">
        <v>0.92068333333333296</v>
      </c>
      <c r="B7264">
        <v>0.97410329982669097</v>
      </c>
      <c r="C7264">
        <v>0.97043578788226803</v>
      </c>
      <c r="D7264">
        <v>0.986777567773645</v>
      </c>
      <c r="E7264">
        <v>0.98661710139298897</v>
      </c>
    </row>
    <row r="7265" spans="1:5" x14ac:dyDescent="0.2">
      <c r="A7265">
        <v>0.92101666666666704</v>
      </c>
      <c r="B7265">
        <v>0.97421525997519298</v>
      </c>
      <c r="C7265">
        <v>0.97056336295048695</v>
      </c>
      <c r="D7265">
        <v>0.98683318093624095</v>
      </c>
      <c r="E7265">
        <v>0.98667721591746005</v>
      </c>
    </row>
    <row r="7266" spans="1:5" x14ac:dyDescent="0.2">
      <c r="A7266">
        <v>0.92135</v>
      </c>
      <c r="B7266">
        <v>0.97432719247042099</v>
      </c>
      <c r="C7266">
        <v>0.97069090861637697</v>
      </c>
      <c r="D7266">
        <v>0.98688879464567303</v>
      </c>
      <c r="E7266">
        <v>0.98673726295213005</v>
      </c>
    </row>
    <row r="7267" spans="1:5" x14ac:dyDescent="0.2">
      <c r="A7267">
        <v>0.92168333333333297</v>
      </c>
      <c r="B7267">
        <v>0.97443909732924905</v>
      </c>
      <c r="C7267">
        <v>0.97081842489732795</v>
      </c>
      <c r="D7267">
        <v>0.986944408890153</v>
      </c>
      <c r="E7267">
        <v>0.98679724246325795</v>
      </c>
    </row>
    <row r="7268" spans="1:5" x14ac:dyDescent="0.2">
      <c r="A7268">
        <v>0.92201666666666704</v>
      </c>
      <c r="B7268">
        <v>0.974550974568551</v>
      </c>
      <c r="C7268">
        <v>0.97094591181072698</v>
      </c>
      <c r="D7268">
        <v>0.98700002365789297</v>
      </c>
      <c r="E7268">
        <v>0.98685715441709998</v>
      </c>
    </row>
    <row r="7269" spans="1:5" x14ac:dyDescent="0.2">
      <c r="A7269">
        <v>0.92235</v>
      </c>
      <c r="B7269">
        <v>0.97466282420519901</v>
      </c>
      <c r="C7269">
        <v>0.97107336937396405</v>
      </c>
      <c r="D7269">
        <v>0.98705563893710602</v>
      </c>
      <c r="E7269">
        <v>0.98691699877991701</v>
      </c>
    </row>
    <row r="7270" spans="1:5" x14ac:dyDescent="0.2">
      <c r="A7270">
        <v>0.92268333333333297</v>
      </c>
      <c r="B7270">
        <v>0.97477464625606902</v>
      </c>
      <c r="C7270">
        <v>0.97120079760442801</v>
      </c>
      <c r="D7270">
        <v>0.98711125471600403</v>
      </c>
      <c r="E7270">
        <v>0.98697677551796703</v>
      </c>
    </row>
    <row r="7271" spans="1:5" x14ac:dyDescent="0.2">
      <c r="A7271">
        <v>0.92301666666666704</v>
      </c>
      <c r="B7271">
        <v>0.97488644073803399</v>
      </c>
      <c r="C7271">
        <v>0.97132819651950797</v>
      </c>
      <c r="D7271">
        <v>0.98716687098279898</v>
      </c>
      <c r="E7271">
        <v>0.98703648459750704</v>
      </c>
    </row>
    <row r="7272" spans="1:5" x14ac:dyDescent="0.2">
      <c r="A7272">
        <v>0.92335</v>
      </c>
      <c r="B7272">
        <v>0.97499820766796697</v>
      </c>
      <c r="C7272">
        <v>0.97145556613659201</v>
      </c>
      <c r="D7272">
        <v>0.98722248772570398</v>
      </c>
      <c r="E7272">
        <v>0.98709612598479701</v>
      </c>
    </row>
    <row r="7273" spans="1:5" x14ac:dyDescent="0.2">
      <c r="A7273">
        <v>0.92368333333333297</v>
      </c>
      <c r="B7273">
        <v>0.97510994706274201</v>
      </c>
      <c r="C7273">
        <v>0.97158290647307</v>
      </c>
      <c r="D7273">
        <v>0.987278104932932</v>
      </c>
      <c r="E7273">
        <v>0.98715569964609395</v>
      </c>
    </row>
    <row r="7274" spans="1:5" x14ac:dyDescent="0.2">
      <c r="A7274">
        <v>0.92401666666666704</v>
      </c>
      <c r="B7274">
        <v>0.97522165893923296</v>
      </c>
      <c r="C7274">
        <v>0.97171021754633002</v>
      </c>
      <c r="D7274">
        <v>0.98733372259269503</v>
      </c>
      <c r="E7274">
        <v>0.98721520554765696</v>
      </c>
    </row>
    <row r="7275" spans="1:5" x14ac:dyDescent="0.2">
      <c r="A7275">
        <v>0.92435</v>
      </c>
      <c r="B7275">
        <v>0.97533334331431398</v>
      </c>
      <c r="C7275">
        <v>0.97183749937376196</v>
      </c>
      <c r="D7275">
        <v>0.98738934069320605</v>
      </c>
      <c r="E7275">
        <v>0.98727464365574402</v>
      </c>
    </row>
    <row r="7276" spans="1:5" x14ac:dyDescent="0.2">
      <c r="A7276">
        <v>0.92468333333333297</v>
      </c>
      <c r="B7276">
        <v>0.97544500020485803</v>
      </c>
      <c r="C7276">
        <v>0.971964751972753</v>
      </c>
      <c r="D7276">
        <v>0.98744495922267606</v>
      </c>
      <c r="E7276">
        <v>0.98733401393661402</v>
      </c>
    </row>
    <row r="7277" spans="1:5" x14ac:dyDescent="0.2">
      <c r="A7277">
        <v>0.92501666666666704</v>
      </c>
      <c r="B7277">
        <v>0.97555662962773904</v>
      </c>
      <c r="C7277">
        <v>0.97209197536069403</v>
      </c>
      <c r="D7277">
        <v>0.98750057816931802</v>
      </c>
      <c r="E7277">
        <v>0.98739331635652505</v>
      </c>
    </row>
    <row r="7278" spans="1:5" x14ac:dyDescent="0.2">
      <c r="A7278">
        <v>0.92535000000000001</v>
      </c>
      <c r="B7278">
        <v>0.97566823159983096</v>
      </c>
      <c r="C7278">
        <v>0.97221916955497301</v>
      </c>
      <c r="D7278">
        <v>0.98755619752134605</v>
      </c>
      <c r="E7278">
        <v>0.987452550881735</v>
      </c>
    </row>
    <row r="7279" spans="1:5" x14ac:dyDescent="0.2">
      <c r="A7279">
        <v>0.92568333333333297</v>
      </c>
      <c r="B7279">
        <v>0.97577980613800797</v>
      </c>
      <c r="C7279">
        <v>0.97234633457297803</v>
      </c>
      <c r="D7279">
        <v>0.98761181726697</v>
      </c>
      <c r="E7279">
        <v>0.98751171747850297</v>
      </c>
    </row>
    <row r="7280" spans="1:5" x14ac:dyDescent="0.2">
      <c r="A7280">
        <v>0.92601666666666704</v>
      </c>
      <c r="B7280">
        <v>0.975891353259143</v>
      </c>
      <c r="C7280">
        <v>0.97247347043209997</v>
      </c>
      <c r="D7280">
        <v>0.98766743739440499</v>
      </c>
      <c r="E7280">
        <v>0.98757081611308795</v>
      </c>
    </row>
    <row r="7281" spans="1:5" x14ac:dyDescent="0.2">
      <c r="A7281">
        <v>0.92635000000000001</v>
      </c>
      <c r="B7281">
        <v>0.97600287298011001</v>
      </c>
      <c r="C7281">
        <v>0.97260057714972503</v>
      </c>
      <c r="D7281">
        <v>0.98772305789186099</v>
      </c>
      <c r="E7281">
        <v>0.98762984675174603</v>
      </c>
    </row>
    <row r="7282" spans="1:5" x14ac:dyDescent="0.2">
      <c r="A7282">
        <v>0.92668333333333297</v>
      </c>
      <c r="B7282">
        <v>0.97611436531778295</v>
      </c>
      <c r="C7282">
        <v>0.97272765474324496</v>
      </c>
      <c r="D7282">
        <v>0.98777867874755199</v>
      </c>
      <c r="E7282">
        <v>0.987688809360738</v>
      </c>
    </row>
    <row r="7283" spans="1:5" x14ac:dyDescent="0.2">
      <c r="A7283">
        <v>0.92701666666666704</v>
      </c>
      <c r="B7283">
        <v>0.97622583028903598</v>
      </c>
      <c r="C7283">
        <v>0.97285470323004697</v>
      </c>
      <c r="D7283">
        <v>0.98783429994968996</v>
      </c>
      <c r="E7283">
        <v>0.98774770390632105</v>
      </c>
    </row>
    <row r="7284" spans="1:5" x14ac:dyDescent="0.2">
      <c r="A7284">
        <v>0.92735000000000001</v>
      </c>
      <c r="B7284">
        <v>0.97633726791074205</v>
      </c>
      <c r="C7284">
        <v>0.97298172262752003</v>
      </c>
      <c r="D7284">
        <v>0.98788992148648802</v>
      </c>
      <c r="E7284">
        <v>0.98780653035475297</v>
      </c>
    </row>
    <row r="7285" spans="1:5" x14ac:dyDescent="0.2">
      <c r="A7285">
        <v>0.92768333333333297</v>
      </c>
      <c r="B7285">
        <v>0.97644867819977399</v>
      </c>
      <c r="C7285">
        <v>0.97310871295305401</v>
      </c>
      <c r="D7285">
        <v>0.98794554334615803</v>
      </c>
      <c r="E7285">
        <v>0.98786528867229395</v>
      </c>
    </row>
    <row r="7286" spans="1:5" x14ac:dyDescent="0.2">
      <c r="A7286">
        <v>0.92801666666666704</v>
      </c>
      <c r="B7286">
        <v>0.97656006117300798</v>
      </c>
      <c r="C7286">
        <v>0.97323567422403701</v>
      </c>
      <c r="D7286">
        <v>0.98800116551691197</v>
      </c>
      <c r="E7286">
        <v>0.987923978825201</v>
      </c>
    </row>
    <row r="7287" spans="1:5" x14ac:dyDescent="0.2">
      <c r="A7287">
        <v>0.92835000000000001</v>
      </c>
      <c r="B7287">
        <v>0.97667141684731595</v>
      </c>
      <c r="C7287">
        <v>0.97336260645785699</v>
      </c>
      <c r="D7287">
        <v>0.98805678798696295</v>
      </c>
      <c r="E7287">
        <v>0.98798260077973199</v>
      </c>
    </row>
    <row r="7288" spans="1:5" x14ac:dyDescent="0.2">
      <c r="A7288">
        <v>0.92868333333333297</v>
      </c>
      <c r="B7288">
        <v>0.97678274523957198</v>
      </c>
      <c r="C7288">
        <v>0.97348950967190495</v>
      </c>
      <c r="D7288">
        <v>0.98811241074452305</v>
      </c>
      <c r="E7288">
        <v>0.98804115450214702</v>
      </c>
    </row>
    <row r="7289" spans="1:5" x14ac:dyDescent="0.2">
      <c r="A7289">
        <v>0.92901666666666705</v>
      </c>
      <c r="B7289">
        <v>0.97689404636665</v>
      </c>
      <c r="C7289">
        <v>0.97361638388356897</v>
      </c>
      <c r="D7289">
        <v>0.98816803377780604</v>
      </c>
      <c r="E7289">
        <v>0.98809963995870298</v>
      </c>
    </row>
    <row r="7290" spans="1:5" x14ac:dyDescent="0.2">
      <c r="A7290">
        <v>0.92935000000000001</v>
      </c>
      <c r="B7290">
        <v>0.97700532024542397</v>
      </c>
      <c r="C7290">
        <v>0.97374322911023703</v>
      </c>
      <c r="D7290">
        <v>0.98822365707502202</v>
      </c>
      <c r="E7290">
        <v>0.98815805711565896</v>
      </c>
    </row>
    <row r="7291" spans="1:5" x14ac:dyDescent="0.2">
      <c r="A7291">
        <v>0.92968333333333297</v>
      </c>
      <c r="B7291">
        <v>0.97711656689276805</v>
      </c>
      <c r="C7291">
        <v>0.973870045369299</v>
      </c>
      <c r="D7291">
        <v>0.98827928062438497</v>
      </c>
      <c r="E7291">
        <v>0.98821640593927296</v>
      </c>
    </row>
    <row r="7292" spans="1:5" x14ac:dyDescent="0.2">
      <c r="A7292">
        <v>0.93001666666666705</v>
      </c>
      <c r="B7292">
        <v>0.97722778632555396</v>
      </c>
      <c r="C7292">
        <v>0.97399683267814297</v>
      </c>
      <c r="D7292">
        <v>0.98833490441410798</v>
      </c>
      <c r="E7292">
        <v>0.98827468639580296</v>
      </c>
    </row>
    <row r="7293" spans="1:5" x14ac:dyDescent="0.2">
      <c r="A7293">
        <v>0.93035000000000001</v>
      </c>
      <c r="B7293">
        <v>0.97733897856047203</v>
      </c>
      <c r="C7293">
        <v>0.97412359105400104</v>
      </c>
      <c r="D7293">
        <v>0.98839052843240205</v>
      </c>
      <c r="E7293">
        <v>0.98833289845150896</v>
      </c>
    </row>
    <row r="7294" spans="1:5" x14ac:dyDescent="0.2">
      <c r="A7294">
        <v>0.93068333333333297</v>
      </c>
      <c r="B7294">
        <v>0.97745014361357097</v>
      </c>
      <c r="C7294">
        <v>0.97425032051356297</v>
      </c>
      <c r="D7294">
        <v>0.98844615266748004</v>
      </c>
      <c r="E7294">
        <v>0.98839104207264705</v>
      </c>
    </row>
    <row r="7295" spans="1:5" x14ac:dyDescent="0.2">
      <c r="A7295">
        <v>0.93101666666666705</v>
      </c>
      <c r="B7295">
        <v>0.97756128150076405</v>
      </c>
      <c r="C7295">
        <v>0.97437702107340196</v>
      </c>
      <c r="D7295">
        <v>0.98850177710755505</v>
      </c>
      <c r="E7295">
        <v>0.98844911722547801</v>
      </c>
    </row>
    <row r="7296" spans="1:5" x14ac:dyDescent="0.2">
      <c r="A7296">
        <v>0.93135000000000001</v>
      </c>
      <c r="B7296">
        <v>0.97767239223796298</v>
      </c>
      <c r="C7296">
        <v>0.97450369275008997</v>
      </c>
      <c r="D7296">
        <v>0.98855740174083895</v>
      </c>
      <c r="E7296">
        <v>0.98850712387625805</v>
      </c>
    </row>
    <row r="7297" spans="1:5" x14ac:dyDescent="0.2">
      <c r="A7297">
        <v>0.93168333333333297</v>
      </c>
      <c r="B7297">
        <v>0.97778347584108005</v>
      </c>
      <c r="C7297">
        <v>0.97463033556019996</v>
      </c>
      <c r="D7297">
        <v>0.98861302655554495</v>
      </c>
      <c r="E7297">
        <v>0.98856506199124705</v>
      </c>
    </row>
    <row r="7298" spans="1:5" x14ac:dyDescent="0.2">
      <c r="A7298">
        <v>0.93201666666666705</v>
      </c>
      <c r="B7298">
        <v>0.97789453232602797</v>
      </c>
      <c r="C7298">
        <v>0.974756949520306</v>
      </c>
      <c r="D7298">
        <v>0.98866865153988404</v>
      </c>
      <c r="E7298">
        <v>0.988622931536703</v>
      </c>
    </row>
    <row r="7299" spans="1:5" x14ac:dyDescent="0.2">
      <c r="A7299">
        <v>0.93235000000000001</v>
      </c>
      <c r="B7299">
        <v>0.97800556170871999</v>
      </c>
      <c r="C7299">
        <v>0.97488353464697997</v>
      </c>
      <c r="D7299">
        <v>0.98872427668206997</v>
      </c>
      <c r="E7299">
        <v>0.98868073247888399</v>
      </c>
    </row>
    <row r="7300" spans="1:5" x14ac:dyDescent="0.2">
      <c r="A7300">
        <v>0.93268333333333298</v>
      </c>
      <c r="B7300">
        <v>0.97811656400506797</v>
      </c>
      <c r="C7300">
        <v>0.97501009095679503</v>
      </c>
      <c r="D7300">
        <v>0.98877990197031396</v>
      </c>
      <c r="E7300">
        <v>0.98873846478404803</v>
      </c>
    </row>
    <row r="7301" spans="1:5" x14ac:dyDescent="0.2">
      <c r="A7301">
        <v>0.93301666666666705</v>
      </c>
      <c r="B7301">
        <v>0.97822753923098305</v>
      </c>
      <c r="C7301">
        <v>0.97513661846632504</v>
      </c>
      <c r="D7301">
        <v>0.98883552739282998</v>
      </c>
      <c r="E7301">
        <v>0.98879612841845399</v>
      </c>
    </row>
    <row r="7302" spans="1:5" x14ac:dyDescent="0.2">
      <c r="A7302">
        <v>0.93335000000000001</v>
      </c>
      <c r="B7302">
        <v>0.97833848740238005</v>
      </c>
      <c r="C7302">
        <v>0.97526311719214098</v>
      </c>
      <c r="D7302">
        <v>0.98889115293783003</v>
      </c>
      <c r="E7302">
        <v>0.98885372334836097</v>
      </c>
    </row>
    <row r="7303" spans="1:5" x14ac:dyDescent="0.2">
      <c r="A7303">
        <v>0.93368333333333298</v>
      </c>
      <c r="B7303">
        <v>0.97844940853516904</v>
      </c>
      <c r="C7303">
        <v>0.97538958715081803</v>
      </c>
      <c r="D7303">
        <v>0.98894677859352598</v>
      </c>
      <c r="E7303">
        <v>0.98891124954002596</v>
      </c>
    </row>
    <row r="7304" spans="1:5" x14ac:dyDescent="0.2">
      <c r="A7304">
        <v>0.93401666666666705</v>
      </c>
      <c r="B7304">
        <v>0.97856030264526395</v>
      </c>
      <c r="C7304">
        <v>0.97551602835892803</v>
      </c>
      <c r="D7304">
        <v>0.98900240434813103</v>
      </c>
      <c r="E7304">
        <v>0.98896870695970795</v>
      </c>
    </row>
    <row r="7305" spans="1:5" x14ac:dyDescent="0.2">
      <c r="A7305">
        <v>0.93435000000000001</v>
      </c>
      <c r="B7305">
        <v>0.97867116974857704</v>
      </c>
      <c r="C7305">
        <v>0.97564244083304297</v>
      </c>
      <c r="D7305">
        <v>0.98905803018985605</v>
      </c>
      <c r="E7305">
        <v>0.98902609557366505</v>
      </c>
    </row>
    <row r="7306" spans="1:5" x14ac:dyDescent="0.2">
      <c r="A7306">
        <v>0.93468333333333298</v>
      </c>
      <c r="B7306">
        <v>0.97878200986102104</v>
      </c>
      <c r="C7306">
        <v>0.97576882458973802</v>
      </c>
      <c r="D7306">
        <v>0.98911365610691604</v>
      </c>
      <c r="E7306">
        <v>0.98908341534815603</v>
      </c>
    </row>
    <row r="7307" spans="1:5" x14ac:dyDescent="0.2">
      <c r="A7307">
        <v>0.93501666666666705</v>
      </c>
      <c r="B7307">
        <v>0.978892822998507</v>
      </c>
      <c r="C7307">
        <v>0.97589517964558403</v>
      </c>
      <c r="D7307">
        <v>0.98916928208752097</v>
      </c>
      <c r="E7307">
        <v>0.98914066624943997</v>
      </c>
    </row>
    <row r="7308" spans="1:5" x14ac:dyDescent="0.2">
      <c r="A7308">
        <v>0.93535000000000001</v>
      </c>
      <c r="B7308">
        <v>0.97900360917694895</v>
      </c>
      <c r="C7308">
        <v>0.97602150601715598</v>
      </c>
      <c r="D7308">
        <v>0.98922490811988495</v>
      </c>
      <c r="E7308">
        <v>0.98919784824377299</v>
      </c>
    </row>
    <row r="7309" spans="1:5" x14ac:dyDescent="0.2">
      <c r="A7309">
        <v>0.93568333333333298</v>
      </c>
      <c r="B7309">
        <v>0.97911436841225796</v>
      </c>
      <c r="C7309">
        <v>0.97614780372102505</v>
      </c>
      <c r="D7309">
        <v>0.98928053419221995</v>
      </c>
      <c r="E7309">
        <v>0.98925496129741597</v>
      </c>
    </row>
    <row r="7310" spans="1:5" x14ac:dyDescent="0.2">
      <c r="A7310">
        <v>0.93601666666666705</v>
      </c>
      <c r="B7310">
        <v>0.97922510072034696</v>
      </c>
      <c r="C7310">
        <v>0.97627407277376399</v>
      </c>
      <c r="D7310">
        <v>0.98933616029273896</v>
      </c>
      <c r="E7310">
        <v>0.989312005376625</v>
      </c>
    </row>
    <row r="7311" spans="1:5" x14ac:dyDescent="0.2">
      <c r="A7311">
        <v>0.93635000000000002</v>
      </c>
      <c r="B7311">
        <v>0.979335806117129</v>
      </c>
      <c r="C7311">
        <v>0.97640031319194798</v>
      </c>
      <c r="D7311">
        <v>0.98939178640965297</v>
      </c>
      <c r="E7311">
        <v>0.98936898044766097</v>
      </c>
    </row>
    <row r="7312" spans="1:5" x14ac:dyDescent="0.2">
      <c r="A7312">
        <v>0.93668333333333298</v>
      </c>
      <c r="B7312">
        <v>0.97944648461851602</v>
      </c>
      <c r="C7312">
        <v>0.97652652499214798</v>
      </c>
      <c r="D7312">
        <v>0.98944741253117596</v>
      </c>
      <c r="E7312">
        <v>0.98942588647677998</v>
      </c>
    </row>
    <row r="7313" spans="1:5" x14ac:dyDescent="0.2">
      <c r="A7313">
        <v>0.93701666666666705</v>
      </c>
      <c r="B7313">
        <v>0.97955713624041996</v>
      </c>
      <c r="C7313">
        <v>0.97665270819093697</v>
      </c>
      <c r="D7313">
        <v>0.98950303864551903</v>
      </c>
      <c r="E7313">
        <v>0.98948272343024102</v>
      </c>
    </row>
    <row r="7314" spans="1:5" x14ac:dyDescent="0.2">
      <c r="A7314">
        <v>0.93735000000000002</v>
      </c>
      <c r="B7314">
        <v>0.97966776099875397</v>
      </c>
      <c r="C7314">
        <v>0.97677886280488901</v>
      </c>
      <c r="D7314">
        <v>0.98955866474089604</v>
      </c>
      <c r="E7314">
        <v>0.98953949127430296</v>
      </c>
    </row>
    <row r="7315" spans="1:5" x14ac:dyDescent="0.2">
      <c r="A7315">
        <v>0.93768333333333298</v>
      </c>
      <c r="B7315">
        <v>0.97977835890942999</v>
      </c>
      <c r="C7315">
        <v>0.97690498885057697</v>
      </c>
      <c r="D7315">
        <v>0.98961429080551899</v>
      </c>
      <c r="E7315">
        <v>0.98959618997522403</v>
      </c>
    </row>
    <row r="7316" spans="1:5" x14ac:dyDescent="0.2">
      <c r="A7316">
        <v>0.93801666666666705</v>
      </c>
      <c r="B7316">
        <v>0.97988892998836097</v>
      </c>
      <c r="C7316">
        <v>0.97703108634457303</v>
      </c>
      <c r="D7316">
        <v>0.98966991682759997</v>
      </c>
      <c r="E7316">
        <v>0.98965281949926298</v>
      </c>
    </row>
    <row r="7317" spans="1:5" x14ac:dyDescent="0.2">
      <c r="A7317">
        <v>0.93835000000000002</v>
      </c>
      <c r="B7317">
        <v>0.97999947425145895</v>
      </c>
      <c r="C7317">
        <v>0.97715715530345004</v>
      </c>
      <c r="D7317">
        <v>0.98972554279535097</v>
      </c>
      <c r="E7317">
        <v>0.98970937981267704</v>
      </c>
    </row>
    <row r="7318" spans="1:5" x14ac:dyDescent="0.2">
      <c r="A7318">
        <v>0.93868333333333298</v>
      </c>
      <c r="B7318">
        <v>0.98010999171463598</v>
      </c>
      <c r="C7318">
        <v>0.97728319574378097</v>
      </c>
      <c r="D7318">
        <v>0.98978116869698596</v>
      </c>
      <c r="E7318">
        <v>0.98976587088172596</v>
      </c>
    </row>
    <row r="7319" spans="1:5" x14ac:dyDescent="0.2">
      <c r="A7319">
        <v>0.93901666666666705</v>
      </c>
      <c r="B7319">
        <v>0.98022048239380599</v>
      </c>
      <c r="C7319">
        <v>0.97740920768214001</v>
      </c>
      <c r="D7319">
        <v>0.98983679452071605</v>
      </c>
      <c r="E7319">
        <v>0.98982229267266697</v>
      </c>
    </row>
    <row r="7320" spans="1:5" x14ac:dyDescent="0.2">
      <c r="A7320">
        <v>0.93935000000000002</v>
      </c>
      <c r="B7320">
        <v>0.98033094630488005</v>
      </c>
      <c r="C7320">
        <v>0.97753519113509901</v>
      </c>
      <c r="D7320">
        <v>0.98989242025475399</v>
      </c>
      <c r="E7320">
        <v>0.98987864515175905</v>
      </c>
    </row>
    <row r="7321" spans="1:5" x14ac:dyDescent="0.2">
      <c r="A7321">
        <v>0.93968333333333298</v>
      </c>
      <c r="B7321">
        <v>0.98044138346376997</v>
      </c>
      <c r="C7321">
        <v>0.97766114611923105</v>
      </c>
      <c r="D7321">
        <v>0.989948045887312</v>
      </c>
      <c r="E7321">
        <v>0.98993492828525997</v>
      </c>
    </row>
    <row r="7322" spans="1:5" x14ac:dyDescent="0.2">
      <c r="A7322">
        <v>0.94001666666666694</v>
      </c>
      <c r="B7322">
        <v>0.98055179388639002</v>
      </c>
      <c r="C7322">
        <v>0.97778707265110898</v>
      </c>
      <c r="D7322">
        <v>0.99000367140660395</v>
      </c>
      <c r="E7322">
        <v>0.98999114203947902</v>
      </c>
    </row>
    <row r="7323" spans="1:5" x14ac:dyDescent="0.2">
      <c r="A7323">
        <v>0.94035000000000002</v>
      </c>
      <c r="B7323">
        <v>0.98066217758865404</v>
      </c>
      <c r="C7323">
        <v>0.97791297074725703</v>
      </c>
      <c r="D7323">
        <v>0.99005929680084104</v>
      </c>
      <c r="E7323">
        <v>0.99004728684834298</v>
      </c>
    </row>
    <row r="7324" spans="1:5" x14ac:dyDescent="0.2">
      <c r="A7324">
        <v>0.94068333333333298</v>
      </c>
      <c r="B7324">
        <v>0.98077253458647995</v>
      </c>
      <c r="C7324">
        <v>0.97803884042403</v>
      </c>
      <c r="D7324">
        <v>0.99011492205823604</v>
      </c>
      <c r="E7324">
        <v>0.99010336475634797</v>
      </c>
    </row>
    <row r="7325" spans="1:5" x14ac:dyDescent="0.2">
      <c r="A7325">
        <v>0.94101666666666695</v>
      </c>
      <c r="B7325">
        <v>0.98088286489579002</v>
      </c>
      <c r="C7325">
        <v>0.97816468169774895</v>
      </c>
      <c r="D7325">
        <v>0.99017054716700104</v>
      </c>
      <c r="E7325">
        <v>0.99015937815447497</v>
      </c>
    </row>
    <row r="7326" spans="1:5" x14ac:dyDescent="0.2">
      <c r="A7326">
        <v>0.94135000000000002</v>
      </c>
      <c r="B7326">
        <v>0.98099316853250595</v>
      </c>
      <c r="C7326">
        <v>0.97829049458473205</v>
      </c>
      <c r="D7326">
        <v>0.99022617211534902</v>
      </c>
      <c r="E7326">
        <v>0.99021532943370205</v>
      </c>
    </row>
    <row r="7327" spans="1:5" x14ac:dyDescent="0.2">
      <c r="A7327">
        <v>0.94168333333333298</v>
      </c>
      <c r="B7327">
        <v>0.98110344551254802</v>
      </c>
      <c r="C7327">
        <v>0.97841627910129902</v>
      </c>
      <c r="D7327">
        <v>0.99028179689149198</v>
      </c>
      <c r="E7327">
        <v>0.99027122098500997</v>
      </c>
    </row>
    <row r="7328" spans="1:5" x14ac:dyDescent="0.2">
      <c r="A7328">
        <v>0.94201666666666695</v>
      </c>
      <c r="B7328">
        <v>0.98121369585183604</v>
      </c>
      <c r="C7328">
        <v>0.97854203526376804</v>
      </c>
      <c r="D7328">
        <v>0.99033742148364301</v>
      </c>
      <c r="E7328">
        <v>0.99032705519937803</v>
      </c>
    </row>
    <row r="7329" spans="1:5" x14ac:dyDescent="0.2">
      <c r="A7329">
        <v>0.94235000000000002</v>
      </c>
      <c r="B7329">
        <v>0.98132391956629295</v>
      </c>
      <c r="C7329">
        <v>0.97866776308846004</v>
      </c>
      <c r="D7329">
        <v>0.99039304588001398</v>
      </c>
      <c r="E7329">
        <v>0.99038283446778497</v>
      </c>
    </row>
    <row r="7330" spans="1:5" x14ac:dyDescent="0.2">
      <c r="A7330">
        <v>0.94268333333333298</v>
      </c>
      <c r="B7330">
        <v>0.981434116671839</v>
      </c>
      <c r="C7330">
        <v>0.97879346259169298</v>
      </c>
      <c r="D7330">
        <v>0.99044867006881698</v>
      </c>
      <c r="E7330">
        <v>0.99043856118121198</v>
      </c>
    </row>
    <row r="7331" spans="1:5" x14ac:dyDescent="0.2">
      <c r="A7331">
        <v>0.94301666666666695</v>
      </c>
      <c r="B7331">
        <v>0.98154428718439501</v>
      </c>
      <c r="C7331">
        <v>0.97891913378978701</v>
      </c>
      <c r="D7331">
        <v>0.99050429403826601</v>
      </c>
      <c r="E7331">
        <v>0.99049423773063705</v>
      </c>
    </row>
    <row r="7332" spans="1:5" x14ac:dyDescent="0.2">
      <c r="A7332">
        <v>0.94335000000000002</v>
      </c>
      <c r="B7332">
        <v>0.98165443111988204</v>
      </c>
      <c r="C7332">
        <v>0.97904477669906198</v>
      </c>
      <c r="D7332">
        <v>0.99055991777657204</v>
      </c>
      <c r="E7332">
        <v>0.99054986650704002</v>
      </c>
    </row>
    <row r="7333" spans="1:5" x14ac:dyDescent="0.2">
      <c r="A7333">
        <v>0.94368333333333299</v>
      </c>
      <c r="B7333">
        <v>0.98176454849422101</v>
      </c>
      <c r="C7333">
        <v>0.97917039133583506</v>
      </c>
      <c r="D7333">
        <v>0.99061554127194795</v>
      </c>
      <c r="E7333">
        <v>0.99060544990140098</v>
      </c>
    </row>
    <row r="7334" spans="1:5" x14ac:dyDescent="0.2">
      <c r="A7334">
        <v>0.94401666666666695</v>
      </c>
      <c r="B7334">
        <v>0.98187463932333297</v>
      </c>
      <c r="C7334">
        <v>0.97929597771642796</v>
      </c>
      <c r="D7334">
        <v>0.99067116451260695</v>
      </c>
      <c r="E7334">
        <v>0.99066099030470001</v>
      </c>
    </row>
    <row r="7335" spans="1:5" x14ac:dyDescent="0.2">
      <c r="A7335">
        <v>0.94435000000000002</v>
      </c>
      <c r="B7335">
        <v>0.98198470362313905</v>
      </c>
      <c r="C7335">
        <v>0.97942153585715896</v>
      </c>
      <c r="D7335">
        <v>0.99072678748676002</v>
      </c>
      <c r="E7335">
        <v>0.99071649010791596</v>
      </c>
    </row>
    <row r="7336" spans="1:5" x14ac:dyDescent="0.2">
      <c r="A7336">
        <v>0.94468333333333299</v>
      </c>
      <c r="B7336">
        <v>0.98209474140956099</v>
      </c>
      <c r="C7336">
        <v>0.97954706577434703</v>
      </c>
      <c r="D7336">
        <v>0.99078241018262103</v>
      </c>
      <c r="E7336">
        <v>0.99077195170202803</v>
      </c>
    </row>
    <row r="7337" spans="1:5" x14ac:dyDescent="0.2">
      <c r="A7337">
        <v>0.94501666666666695</v>
      </c>
      <c r="B7337">
        <v>0.98220475269851804</v>
      </c>
      <c r="C7337">
        <v>0.97967256748431197</v>
      </c>
      <c r="D7337">
        <v>0.99083803258840097</v>
      </c>
      <c r="E7337">
        <v>0.99082737747801697</v>
      </c>
    </row>
    <row r="7338" spans="1:5" x14ac:dyDescent="0.2">
      <c r="A7338">
        <v>0.94535000000000002</v>
      </c>
      <c r="B7338">
        <v>0.98231473750593201</v>
      </c>
      <c r="C7338">
        <v>0.97979804100337398</v>
      </c>
      <c r="D7338">
        <v>0.99089365469231405</v>
      </c>
      <c r="E7338">
        <v>0.99088276982686097</v>
      </c>
    </row>
    <row r="7339" spans="1:5" x14ac:dyDescent="0.2">
      <c r="A7339">
        <v>0.94568333333333299</v>
      </c>
      <c r="B7339">
        <v>0.98242469584772496</v>
      </c>
      <c r="C7339">
        <v>0.97992348634784998</v>
      </c>
      <c r="D7339">
        <v>0.99094927648257203</v>
      </c>
      <c r="E7339">
        <v>0.99093813113953999</v>
      </c>
    </row>
    <row r="7340" spans="1:5" x14ac:dyDescent="0.2">
      <c r="A7340">
        <v>0.94601666666666695</v>
      </c>
      <c r="B7340">
        <v>0.98253462773981604</v>
      </c>
      <c r="C7340">
        <v>0.98004890353406104</v>
      </c>
      <c r="D7340">
        <v>0.991004897947387</v>
      </c>
      <c r="E7340">
        <v>0.99099346380703501</v>
      </c>
    </row>
    <row r="7341" spans="1:5" x14ac:dyDescent="0.2">
      <c r="A7341">
        <v>0.94635000000000002</v>
      </c>
      <c r="B7341">
        <v>0.98264453319812695</v>
      </c>
      <c r="C7341">
        <v>0.980174292578327</v>
      </c>
      <c r="D7341">
        <v>0.99106051907497095</v>
      </c>
      <c r="E7341">
        <v>0.991048770220324</v>
      </c>
    </row>
    <row r="7342" spans="1:5" x14ac:dyDescent="0.2">
      <c r="A7342">
        <v>0.94668333333333299</v>
      </c>
      <c r="B7342">
        <v>0.98275441223857996</v>
      </c>
      <c r="C7342">
        <v>0.98029965349696602</v>
      </c>
      <c r="D7342">
        <v>0.99111613985353797</v>
      </c>
      <c r="E7342">
        <v>0.99110405277038705</v>
      </c>
    </row>
    <row r="7343" spans="1:5" x14ac:dyDescent="0.2">
      <c r="A7343">
        <v>0.94701666666666695</v>
      </c>
      <c r="B7343">
        <v>0.982864264877094</v>
      </c>
      <c r="C7343">
        <v>0.98042498630629704</v>
      </c>
      <c r="D7343">
        <v>0.99117176027129905</v>
      </c>
      <c r="E7343">
        <v>0.99115931384820399</v>
      </c>
    </row>
    <row r="7344" spans="1:5" x14ac:dyDescent="0.2">
      <c r="A7344">
        <v>0.94735000000000003</v>
      </c>
      <c r="B7344">
        <v>0.982974091129592</v>
      </c>
      <c r="C7344">
        <v>0.98055029102264102</v>
      </c>
      <c r="D7344">
        <v>0.99122738031646696</v>
      </c>
      <c r="E7344">
        <v>0.99121455584475404</v>
      </c>
    </row>
    <row r="7345" spans="1:5" x14ac:dyDescent="0.2">
      <c r="A7345">
        <v>0.94768333333333299</v>
      </c>
      <c r="B7345">
        <v>0.98308389101199301</v>
      </c>
      <c r="C7345">
        <v>0.98067556766231601</v>
      </c>
      <c r="D7345">
        <v>0.991282999977254</v>
      </c>
      <c r="E7345">
        <v>0.99126978115101705</v>
      </c>
    </row>
    <row r="7346" spans="1:5" x14ac:dyDescent="0.2">
      <c r="A7346">
        <v>0.94801666666666695</v>
      </c>
      <c r="B7346">
        <v>0.98319366454021895</v>
      </c>
      <c r="C7346">
        <v>0.98080081624164195</v>
      </c>
      <c r="D7346">
        <v>0.99133861924187405</v>
      </c>
      <c r="E7346">
        <v>0.99132499215797198</v>
      </c>
    </row>
    <row r="7347" spans="1:5" x14ac:dyDescent="0.2">
      <c r="A7347">
        <v>0.94835000000000003</v>
      </c>
      <c r="B7347">
        <v>0.98330341173019198</v>
      </c>
      <c r="C7347">
        <v>0.98092603677693702</v>
      </c>
      <c r="D7347">
        <v>0.99139423809853799</v>
      </c>
      <c r="E7347">
        <v>0.99138019125659904</v>
      </c>
    </row>
    <row r="7348" spans="1:5" x14ac:dyDescent="0.2">
      <c r="A7348">
        <v>0.94868333333333299</v>
      </c>
      <c r="B7348">
        <v>0.98341313259783103</v>
      </c>
      <c r="C7348">
        <v>0.98105122928452204</v>
      </c>
      <c r="D7348">
        <v>0.99144985653545803</v>
      </c>
      <c r="E7348">
        <v>0.99143538083787797</v>
      </c>
    </row>
    <row r="7349" spans="1:5" x14ac:dyDescent="0.2">
      <c r="A7349">
        <v>0.94901666666666695</v>
      </c>
      <c r="B7349">
        <v>0.98352282715905903</v>
      </c>
      <c r="C7349">
        <v>0.98117639378071497</v>
      </c>
      <c r="D7349">
        <v>0.99150547454084803</v>
      </c>
      <c r="E7349">
        <v>0.99149056329278795</v>
      </c>
    </row>
    <row r="7350" spans="1:5" x14ac:dyDescent="0.2">
      <c r="A7350">
        <v>0.94935000000000003</v>
      </c>
      <c r="B7350">
        <v>0.98363249542979503</v>
      </c>
      <c r="C7350">
        <v>0.98130153028183698</v>
      </c>
      <c r="D7350">
        <v>0.99156109210291998</v>
      </c>
      <c r="E7350">
        <v>0.99154574101230897</v>
      </c>
    </row>
    <row r="7351" spans="1:5" x14ac:dyDescent="0.2">
      <c r="A7351">
        <v>0.94968333333333299</v>
      </c>
      <c r="B7351">
        <v>0.98374213742596195</v>
      </c>
      <c r="C7351">
        <v>0.981426638804206</v>
      </c>
      <c r="D7351">
        <v>0.99161670920988598</v>
      </c>
      <c r="E7351">
        <v>0.99160091638741998</v>
      </c>
    </row>
    <row r="7352" spans="1:5" x14ac:dyDescent="0.2">
      <c r="A7352">
        <v>0.95001666666666695</v>
      </c>
      <c r="B7352">
        <v>0.98385175316347895</v>
      </c>
      <c r="C7352">
        <v>0.98155171936414098</v>
      </c>
      <c r="D7352">
        <v>0.99167232584995901</v>
      </c>
      <c r="E7352">
        <v>0.99165609180905301</v>
      </c>
    </row>
    <row r="7353" spans="1:5" x14ac:dyDescent="0.2">
      <c r="A7353">
        <v>0.95035000000000003</v>
      </c>
      <c r="B7353">
        <v>0.98396134265810398</v>
      </c>
      <c r="C7353">
        <v>0.98167677197788705</v>
      </c>
      <c r="D7353">
        <v>0.99172794201135095</v>
      </c>
      <c r="E7353">
        <v>0.99171126922217201</v>
      </c>
    </row>
    <row r="7354" spans="1:5" x14ac:dyDescent="0.2">
      <c r="A7354">
        <v>0.95068333333333299</v>
      </c>
      <c r="B7354">
        <v>0.98407090592502899</v>
      </c>
      <c r="C7354">
        <v>0.98180179666142597</v>
      </c>
      <c r="D7354">
        <v>0.991783557682274</v>
      </c>
      <c r="E7354">
        <v>0.99176644903574496</v>
      </c>
    </row>
    <row r="7355" spans="1:5" x14ac:dyDescent="0.2">
      <c r="A7355">
        <v>0.95101666666666695</v>
      </c>
      <c r="B7355">
        <v>0.98418044297932405</v>
      </c>
      <c r="C7355">
        <v>0.98192679343068701</v>
      </c>
      <c r="D7355">
        <v>0.99183917285094203</v>
      </c>
      <c r="E7355">
        <v>0.99182163132829704</v>
      </c>
    </row>
    <row r="7356" spans="1:5" x14ac:dyDescent="0.2">
      <c r="A7356">
        <v>0.95135000000000003</v>
      </c>
      <c r="B7356">
        <v>0.984289953836059</v>
      </c>
      <c r="C7356">
        <v>0.98205176230159696</v>
      </c>
      <c r="D7356">
        <v>0.99189478750556603</v>
      </c>
      <c r="E7356">
        <v>0.99187681617835499</v>
      </c>
    </row>
    <row r="7357" spans="1:5" x14ac:dyDescent="0.2">
      <c r="A7357">
        <v>0.95168333333333299</v>
      </c>
      <c r="B7357">
        <v>0.98439943851030398</v>
      </c>
      <c r="C7357">
        <v>0.982176703290083</v>
      </c>
      <c r="D7357">
        <v>0.99195040163435899</v>
      </c>
      <c r="E7357">
        <v>0.99193200366444501</v>
      </c>
    </row>
    <row r="7358" spans="1:5" x14ac:dyDescent="0.2">
      <c r="A7358">
        <v>0.95201666666666696</v>
      </c>
      <c r="B7358">
        <v>0.98450889701712996</v>
      </c>
      <c r="C7358">
        <v>0.98230161641207403</v>
      </c>
      <c r="D7358">
        <v>0.992006015225533</v>
      </c>
      <c r="E7358">
        <v>0.99198719386509304</v>
      </c>
    </row>
    <row r="7359" spans="1:5" x14ac:dyDescent="0.2">
      <c r="A7359">
        <v>0.95235000000000003</v>
      </c>
      <c r="B7359">
        <v>0.98461832937160798</v>
      </c>
      <c r="C7359">
        <v>0.98242650168349599</v>
      </c>
      <c r="D7359">
        <v>0.99206162826730104</v>
      </c>
      <c r="E7359">
        <v>0.99204238685882495</v>
      </c>
    </row>
    <row r="7360" spans="1:5" x14ac:dyDescent="0.2">
      <c r="A7360">
        <v>0.95268333333333299</v>
      </c>
      <c r="B7360">
        <v>0.984727735588806</v>
      </c>
      <c r="C7360">
        <v>0.98255135912027702</v>
      </c>
      <c r="D7360">
        <v>0.99211724074787599</v>
      </c>
      <c r="E7360">
        <v>0.99209758272416904</v>
      </c>
    </row>
    <row r="7361" spans="1:5" x14ac:dyDescent="0.2">
      <c r="A7361">
        <v>0.95301666666666696</v>
      </c>
      <c r="B7361">
        <v>0.98483711568379595</v>
      </c>
      <c r="C7361">
        <v>0.98267618873834495</v>
      </c>
      <c r="D7361">
        <v>0.99217285265546895</v>
      </c>
      <c r="E7361">
        <v>0.99215278153964903</v>
      </c>
    </row>
    <row r="7362" spans="1:5" x14ac:dyDescent="0.2">
      <c r="A7362">
        <v>0.95335000000000003</v>
      </c>
      <c r="B7362">
        <v>0.98494646967164701</v>
      </c>
      <c r="C7362">
        <v>0.98280099055362802</v>
      </c>
      <c r="D7362">
        <v>0.99222846397829401</v>
      </c>
      <c r="E7362">
        <v>0.99220798338379301</v>
      </c>
    </row>
    <row r="7363" spans="1:5" x14ac:dyDescent="0.2">
      <c r="A7363">
        <v>0.95368333333333299</v>
      </c>
      <c r="B7363">
        <v>0.985055797567431</v>
      </c>
      <c r="C7363">
        <v>0.98292576458205205</v>
      </c>
      <c r="D7363">
        <v>0.99228407470456204</v>
      </c>
      <c r="E7363">
        <v>0.99226318833512595</v>
      </c>
    </row>
    <row r="7364" spans="1:5" x14ac:dyDescent="0.2">
      <c r="A7364">
        <v>0.95401666666666696</v>
      </c>
      <c r="B7364">
        <v>0.98516509938621699</v>
      </c>
      <c r="C7364">
        <v>0.98305051083954598</v>
      </c>
      <c r="D7364">
        <v>0.99233968482248702</v>
      </c>
      <c r="E7364">
        <v>0.99231839647217501</v>
      </c>
    </row>
    <row r="7365" spans="1:5" x14ac:dyDescent="0.2">
      <c r="A7365">
        <v>0.95435000000000003</v>
      </c>
      <c r="B7365">
        <v>0.98527437514307503</v>
      </c>
      <c r="C7365">
        <v>0.98317522934203605</v>
      </c>
      <c r="D7365">
        <v>0.99239529432027995</v>
      </c>
      <c r="E7365">
        <v>0.99237360787346696</v>
      </c>
    </row>
    <row r="7366" spans="1:5" x14ac:dyDescent="0.2">
      <c r="A7366">
        <v>0.954683333333333</v>
      </c>
      <c r="B7366">
        <v>0.98538362485307596</v>
      </c>
      <c r="C7366">
        <v>0.98329992010545197</v>
      </c>
      <c r="D7366">
        <v>0.99245090318615403</v>
      </c>
      <c r="E7366">
        <v>0.99242882261752696</v>
      </c>
    </row>
    <row r="7367" spans="1:5" x14ac:dyDescent="0.2">
      <c r="A7367">
        <v>0.95501666666666696</v>
      </c>
      <c r="B7367">
        <v>0.98549284853129004</v>
      </c>
      <c r="C7367">
        <v>0.98342458314571901</v>
      </c>
      <c r="D7367">
        <v>0.99250651140832202</v>
      </c>
      <c r="E7367">
        <v>0.99248404078288099</v>
      </c>
    </row>
    <row r="7368" spans="1:5" x14ac:dyDescent="0.2">
      <c r="A7368">
        <v>0.95535000000000003</v>
      </c>
      <c r="B7368">
        <v>0.98560204619278802</v>
      </c>
      <c r="C7368">
        <v>0.98354921847876597</v>
      </c>
      <c r="D7368">
        <v>0.99256211897499602</v>
      </c>
      <c r="E7368">
        <v>0.99253926244805701</v>
      </c>
    </row>
    <row r="7369" spans="1:5" x14ac:dyDescent="0.2">
      <c r="A7369">
        <v>0.955683333333333</v>
      </c>
      <c r="B7369">
        <v>0.98571121785263904</v>
      </c>
      <c r="C7369">
        <v>0.98367382612052001</v>
      </c>
      <c r="D7369">
        <v>0.99261772587438801</v>
      </c>
      <c r="E7369">
        <v>0.99259448769157999</v>
      </c>
    </row>
    <row r="7370" spans="1:5" x14ac:dyDescent="0.2">
      <c r="A7370">
        <v>0.95601666666666696</v>
      </c>
      <c r="B7370">
        <v>0.98582036352591396</v>
      </c>
      <c r="C7370">
        <v>0.98379840608690805</v>
      </c>
      <c r="D7370">
        <v>0.99267333209471198</v>
      </c>
      <c r="E7370">
        <v>0.99264971659197698</v>
      </c>
    </row>
    <row r="7371" spans="1:5" x14ac:dyDescent="0.2">
      <c r="A7371">
        <v>0.95635000000000003</v>
      </c>
      <c r="B7371">
        <v>0.98592948322768204</v>
      </c>
      <c r="C7371">
        <v>0.98392295839386001</v>
      </c>
      <c r="D7371">
        <v>0.99272893762417802</v>
      </c>
      <c r="E7371">
        <v>0.99270494922777397</v>
      </c>
    </row>
    <row r="7372" spans="1:5" x14ac:dyDescent="0.2">
      <c r="A7372">
        <v>0.956683333333333</v>
      </c>
      <c r="B7372">
        <v>0.986038576973015</v>
      </c>
      <c r="C7372">
        <v>0.98404748305730005</v>
      </c>
      <c r="D7372">
        <v>0.99278454245100001</v>
      </c>
      <c r="E7372">
        <v>0.99276018567749702</v>
      </c>
    </row>
    <row r="7373" spans="1:5" x14ac:dyDescent="0.2">
      <c r="A7373">
        <v>0.95701666666666696</v>
      </c>
      <c r="B7373">
        <v>0.98614764477698302</v>
      </c>
      <c r="C7373">
        <v>0.98417198009315898</v>
      </c>
      <c r="D7373">
        <v>0.99284014656339103</v>
      </c>
      <c r="E7373">
        <v>0.99281542601967199</v>
      </c>
    </row>
    <row r="7374" spans="1:5" x14ac:dyDescent="0.2">
      <c r="A7374">
        <v>0.95735000000000003</v>
      </c>
      <c r="B7374">
        <v>0.98625668665465505</v>
      </c>
      <c r="C7374">
        <v>0.98429644951736195</v>
      </c>
      <c r="D7374">
        <v>0.99289574994956298</v>
      </c>
      <c r="E7374">
        <v>0.99287067033282606</v>
      </c>
    </row>
    <row r="7375" spans="1:5" x14ac:dyDescent="0.2">
      <c r="A7375">
        <v>0.957683333333333</v>
      </c>
      <c r="B7375">
        <v>0.98636570262110301</v>
      </c>
      <c r="C7375">
        <v>0.98442089134583799</v>
      </c>
      <c r="D7375">
        <v>0.99295135259772704</v>
      </c>
      <c r="E7375">
        <v>0.99292591869548497</v>
      </c>
    </row>
    <row r="7376" spans="1:5" x14ac:dyDescent="0.2">
      <c r="A7376">
        <v>0.95801666666666696</v>
      </c>
      <c r="B7376">
        <v>0.98647469269139598</v>
      </c>
      <c r="C7376">
        <v>0.98454530559451403</v>
      </c>
      <c r="D7376">
        <v>0.99300695449609799</v>
      </c>
      <c r="E7376">
        <v>0.99298117118617502</v>
      </c>
    </row>
    <row r="7377" spans="1:5" x14ac:dyDescent="0.2">
      <c r="A7377">
        <v>0.95835000000000004</v>
      </c>
      <c r="B7377">
        <v>0.98658365688060401</v>
      </c>
      <c r="C7377">
        <v>0.984669692279317</v>
      </c>
      <c r="D7377">
        <v>0.99306255563288603</v>
      </c>
      <c r="E7377">
        <v>0.99303642788342295</v>
      </c>
    </row>
    <row r="7378" spans="1:5" x14ac:dyDescent="0.2">
      <c r="A7378">
        <v>0.958683333333333</v>
      </c>
      <c r="B7378">
        <v>0.98669259520379804</v>
      </c>
      <c r="C7378">
        <v>0.98479405141617604</v>
      </c>
      <c r="D7378">
        <v>0.99311815599630504</v>
      </c>
      <c r="E7378">
        <v>0.99309168886575505</v>
      </c>
    </row>
    <row r="7379" spans="1:5" x14ac:dyDescent="0.2">
      <c r="A7379">
        <v>0.95901666666666696</v>
      </c>
      <c r="B7379">
        <v>0.98680150767604802</v>
      </c>
      <c r="C7379">
        <v>0.98491838302101697</v>
      </c>
      <c r="D7379">
        <v>0.993173755574567</v>
      </c>
      <c r="E7379">
        <v>0.99314695421169696</v>
      </c>
    </row>
    <row r="7380" spans="1:5" x14ac:dyDescent="0.2">
      <c r="A7380">
        <v>0.95935000000000004</v>
      </c>
      <c r="B7380">
        <v>0.986910394312425</v>
      </c>
      <c r="C7380">
        <v>0.98504268710976906</v>
      </c>
      <c r="D7380">
        <v>0.993229354355885</v>
      </c>
      <c r="E7380">
        <v>0.99320222399977598</v>
      </c>
    </row>
    <row r="7381" spans="1:5" x14ac:dyDescent="0.2">
      <c r="A7381">
        <v>0.959683333333333</v>
      </c>
      <c r="B7381">
        <v>0.98701925512799804</v>
      </c>
      <c r="C7381">
        <v>0.98516696369835799</v>
      </c>
      <c r="D7381">
        <v>0.99328495232847003</v>
      </c>
      <c r="E7381">
        <v>0.99325749830851695</v>
      </c>
    </row>
    <row r="7382" spans="1:5" x14ac:dyDescent="0.2">
      <c r="A7382">
        <v>0.96001666666666696</v>
      </c>
      <c r="B7382">
        <v>0.98712809013783898</v>
      </c>
      <c r="C7382">
        <v>0.98529121280271303</v>
      </c>
      <c r="D7382">
        <v>0.99334054948053696</v>
      </c>
      <c r="E7382">
        <v>0.99331277721644695</v>
      </c>
    </row>
    <row r="7383" spans="1:5" x14ac:dyDescent="0.2">
      <c r="A7383">
        <v>0.96035000000000004</v>
      </c>
      <c r="B7383">
        <v>0.98723689935702796</v>
      </c>
      <c r="C7383">
        <v>0.98541543443864099</v>
      </c>
      <c r="D7383">
        <v>0.99339614580029501</v>
      </c>
      <c r="E7383">
        <v>0.99336806080209195</v>
      </c>
    </row>
    <row r="7384" spans="1:5" x14ac:dyDescent="0.2">
      <c r="A7384">
        <v>0.960683333333333</v>
      </c>
      <c r="B7384">
        <v>0.98734568280068802</v>
      </c>
      <c r="C7384">
        <v>0.98553962862153399</v>
      </c>
      <c r="D7384">
        <v>0.99345174127595903</v>
      </c>
      <c r="E7384">
        <v>0.99342334914397901</v>
      </c>
    </row>
    <row r="7385" spans="1:5" x14ac:dyDescent="0.2">
      <c r="A7385">
        <v>0.96101666666666696</v>
      </c>
      <c r="B7385">
        <v>0.98745444048395103</v>
      </c>
      <c r="C7385">
        <v>0.98566379536669602</v>
      </c>
      <c r="D7385">
        <v>0.99350733589574103</v>
      </c>
      <c r="E7385">
        <v>0.99347864232063399</v>
      </c>
    </row>
    <row r="7386" spans="1:5" x14ac:dyDescent="0.2">
      <c r="A7386">
        <v>0.96135000000000004</v>
      </c>
      <c r="B7386">
        <v>0.98756317242194902</v>
      </c>
      <c r="C7386">
        <v>0.98578793468943104</v>
      </c>
      <c r="D7386">
        <v>0.99356292964785398</v>
      </c>
      <c r="E7386">
        <v>0.99353394041058296</v>
      </c>
    </row>
    <row r="7387" spans="1:5" x14ac:dyDescent="0.2">
      <c r="A7387">
        <v>0.961683333333333</v>
      </c>
      <c r="B7387">
        <v>0.98767187862981098</v>
      </c>
      <c r="C7387">
        <v>0.98591204660504395</v>
      </c>
      <c r="D7387">
        <v>0.99361852252050897</v>
      </c>
      <c r="E7387">
        <v>0.993589243492352</v>
      </c>
    </row>
    <row r="7388" spans="1:5" x14ac:dyDescent="0.2">
      <c r="A7388">
        <v>0.96201666666666696</v>
      </c>
      <c r="B7388">
        <v>0.98778055912267104</v>
      </c>
      <c r="C7388">
        <v>0.98603613112883703</v>
      </c>
      <c r="D7388">
        <v>0.993674114501919</v>
      </c>
      <c r="E7388">
        <v>0.99364455164446897</v>
      </c>
    </row>
    <row r="7389" spans="1:5" x14ac:dyDescent="0.2">
      <c r="A7389">
        <v>0.96235000000000004</v>
      </c>
      <c r="B7389">
        <v>0.98788921391565898</v>
      </c>
      <c r="C7389">
        <v>0.98616018827611496</v>
      </c>
      <c r="D7389">
        <v>0.99372970558029605</v>
      </c>
      <c r="E7389">
        <v>0.99369986494545803</v>
      </c>
    </row>
    <row r="7390" spans="1:5" x14ac:dyDescent="0.2">
      <c r="A7390">
        <v>0.962683333333333</v>
      </c>
      <c r="B7390">
        <v>0.98799784302390503</v>
      </c>
      <c r="C7390">
        <v>0.98628421806218103</v>
      </c>
      <c r="D7390">
        <v>0.99378529574385399</v>
      </c>
      <c r="E7390">
        <v>0.99375518347384595</v>
      </c>
    </row>
    <row r="7391" spans="1:5" x14ac:dyDescent="0.2">
      <c r="A7391">
        <v>0.96301666666666697</v>
      </c>
      <c r="B7391">
        <v>0.98810644646254298</v>
      </c>
      <c r="C7391">
        <v>0.98640822050233901</v>
      </c>
      <c r="D7391">
        <v>0.99384088498080403</v>
      </c>
      <c r="E7391">
        <v>0.99381050730816001</v>
      </c>
    </row>
    <row r="7392" spans="1:5" x14ac:dyDescent="0.2">
      <c r="A7392">
        <v>0.96335000000000004</v>
      </c>
      <c r="B7392">
        <v>0.98821502424670304</v>
      </c>
      <c r="C7392">
        <v>0.98653219561189298</v>
      </c>
      <c r="D7392">
        <v>0.99389647327936004</v>
      </c>
      <c r="E7392">
        <v>0.99386583652692595</v>
      </c>
    </row>
    <row r="7393" spans="1:5" x14ac:dyDescent="0.2">
      <c r="A7393">
        <v>0.963683333333333</v>
      </c>
      <c r="B7393">
        <v>0.98832357639151602</v>
      </c>
      <c r="C7393">
        <v>0.98665614340614705</v>
      </c>
      <c r="D7393">
        <v>0.993952060627733</v>
      </c>
      <c r="E7393">
        <v>0.99392117120866896</v>
      </c>
    </row>
    <row r="7394" spans="1:5" x14ac:dyDescent="0.2">
      <c r="A7394">
        <v>0.96401666666666697</v>
      </c>
      <c r="B7394">
        <v>0.98843210291211303</v>
      </c>
      <c r="C7394">
        <v>0.98678006390040496</v>
      </c>
      <c r="D7394">
        <v>0.99400764701413502</v>
      </c>
      <c r="E7394">
        <v>0.99397651143191801</v>
      </c>
    </row>
    <row r="7395" spans="1:5" x14ac:dyDescent="0.2">
      <c r="A7395">
        <v>0.96435000000000004</v>
      </c>
      <c r="B7395">
        <v>0.98854060382362696</v>
      </c>
      <c r="C7395">
        <v>0.98690395710996903</v>
      </c>
      <c r="D7395">
        <v>0.99406323242677996</v>
      </c>
      <c r="E7395">
        <v>0.99403185727519605</v>
      </c>
    </row>
    <row r="7396" spans="1:5" x14ac:dyDescent="0.2">
      <c r="A7396">
        <v>0.964683333333333</v>
      </c>
      <c r="B7396">
        <v>0.98864907914118705</v>
      </c>
      <c r="C7396">
        <v>0.98702782305014503</v>
      </c>
      <c r="D7396">
        <v>0.99411881685388004</v>
      </c>
      <c r="E7396">
        <v>0.99408720881703205</v>
      </c>
    </row>
    <row r="7397" spans="1:5" x14ac:dyDescent="0.2">
      <c r="A7397">
        <v>0.96501666666666697</v>
      </c>
      <c r="B7397">
        <v>0.98875752887992696</v>
      </c>
      <c r="C7397">
        <v>0.98715166173623603</v>
      </c>
      <c r="D7397">
        <v>0.99417440028364701</v>
      </c>
      <c r="E7397">
        <v>0.99414256613595098</v>
      </c>
    </row>
    <row r="7398" spans="1:5" x14ac:dyDescent="0.2">
      <c r="A7398">
        <v>0.96535000000000004</v>
      </c>
      <c r="B7398">
        <v>0.98886595305497604</v>
      </c>
      <c r="C7398">
        <v>0.98727547318354503</v>
      </c>
      <c r="D7398">
        <v>0.99422998270429397</v>
      </c>
      <c r="E7398">
        <v>0.99419792931048001</v>
      </c>
    </row>
    <row r="7399" spans="1:5" x14ac:dyDescent="0.2">
      <c r="A7399">
        <v>0.965683333333333</v>
      </c>
      <c r="B7399">
        <v>0.98897435168146597</v>
      </c>
      <c r="C7399">
        <v>0.987399257407377</v>
      </c>
      <c r="D7399">
        <v>0.99428556410403302</v>
      </c>
      <c r="E7399">
        <v>0.994253298419144</v>
      </c>
    </row>
    <row r="7400" spans="1:5" x14ac:dyDescent="0.2">
      <c r="A7400">
        <v>0.96601666666666697</v>
      </c>
      <c r="B7400">
        <v>0.98908272477452897</v>
      </c>
      <c r="C7400">
        <v>0.98752301442303503</v>
      </c>
      <c r="D7400">
        <v>0.99434114447107702</v>
      </c>
      <c r="E7400">
        <v>0.99430867354047103</v>
      </c>
    </row>
    <row r="7401" spans="1:5" x14ac:dyDescent="0.2">
      <c r="A7401">
        <v>0.96635000000000004</v>
      </c>
      <c r="B7401">
        <v>0.98919107234929604</v>
      </c>
      <c r="C7401">
        <v>0.98764674424582399</v>
      </c>
      <c r="D7401">
        <v>0.99439672379363797</v>
      </c>
      <c r="E7401">
        <v>0.99436405475298595</v>
      </c>
    </row>
    <row r="7402" spans="1:5" x14ac:dyDescent="0.2">
      <c r="A7402">
        <v>0.96668333333333301</v>
      </c>
      <c r="B7402">
        <v>0.98929939442089698</v>
      </c>
      <c r="C7402">
        <v>0.98777044689104598</v>
      </c>
      <c r="D7402">
        <v>0.99445230205992796</v>
      </c>
      <c r="E7402">
        <v>0.99441944213521505</v>
      </c>
    </row>
    <row r="7403" spans="1:5" x14ac:dyDescent="0.2">
      <c r="A7403">
        <v>0.96701666666666697</v>
      </c>
      <c r="B7403">
        <v>0.98940769100446502</v>
      </c>
      <c r="C7403">
        <v>0.98789412237400598</v>
      </c>
      <c r="D7403">
        <v>0.99450787925816098</v>
      </c>
      <c r="E7403">
        <v>0.99447483576568596</v>
      </c>
    </row>
    <row r="7404" spans="1:5" x14ac:dyDescent="0.2">
      <c r="A7404">
        <v>0.96735000000000004</v>
      </c>
      <c r="B7404">
        <v>0.98951596211513104</v>
      </c>
      <c r="C7404">
        <v>0.98801777071000696</v>
      </c>
      <c r="D7404">
        <v>0.994563455376548</v>
      </c>
      <c r="E7404">
        <v>0.99453023572292298</v>
      </c>
    </row>
    <row r="7405" spans="1:5" x14ac:dyDescent="0.2">
      <c r="A7405">
        <v>0.96768333333333301</v>
      </c>
      <c r="B7405">
        <v>0.98962420776802695</v>
      </c>
      <c r="C7405">
        <v>0.98814139191435402</v>
      </c>
      <c r="D7405">
        <v>0.99461903040330202</v>
      </c>
      <c r="E7405">
        <v>0.99458564208545497</v>
      </c>
    </row>
    <row r="7406" spans="1:5" x14ac:dyDescent="0.2">
      <c r="A7406">
        <v>0.96801666666666697</v>
      </c>
      <c r="B7406">
        <v>0.98973242797828198</v>
      </c>
      <c r="C7406">
        <v>0.98826498600235002</v>
      </c>
      <c r="D7406">
        <v>0.99467460432663501</v>
      </c>
      <c r="E7406">
        <v>0.99464105493180499</v>
      </c>
    </row>
    <row r="7407" spans="1:5" x14ac:dyDescent="0.2">
      <c r="A7407">
        <v>0.96835000000000004</v>
      </c>
      <c r="B7407">
        <v>0.98984062276102902</v>
      </c>
      <c r="C7407">
        <v>0.98838855298929795</v>
      </c>
      <c r="D7407">
        <v>0.99473017713475997</v>
      </c>
      <c r="E7407">
        <v>0.99469647434050201</v>
      </c>
    </row>
    <row r="7408" spans="1:5" x14ac:dyDescent="0.2">
      <c r="A7408">
        <v>0.96868333333333301</v>
      </c>
      <c r="B7408">
        <v>0.98994879213139897</v>
      </c>
      <c r="C7408">
        <v>0.98851209289050301</v>
      </c>
      <c r="D7408">
        <v>0.99478574881588999</v>
      </c>
      <c r="E7408">
        <v>0.994751900390072</v>
      </c>
    </row>
    <row r="7409" spans="1:5" x14ac:dyDescent="0.2">
      <c r="A7409">
        <v>0.96901666666666697</v>
      </c>
      <c r="B7409">
        <v>0.99005693610452306</v>
      </c>
      <c r="C7409">
        <v>0.98863560572126896</v>
      </c>
      <c r="D7409">
        <v>0.99484131935823605</v>
      </c>
      <c r="E7409">
        <v>0.99480733315904002</v>
      </c>
    </row>
    <row r="7410" spans="1:5" x14ac:dyDescent="0.2">
      <c r="A7410">
        <v>0.96935000000000004</v>
      </c>
      <c r="B7410">
        <v>0.99016505469553395</v>
      </c>
      <c r="C7410">
        <v>0.988759091496899</v>
      </c>
      <c r="D7410">
        <v>0.99489688875001103</v>
      </c>
      <c r="E7410">
        <v>0.99486277272593204</v>
      </c>
    </row>
    <row r="7411" spans="1:5" x14ac:dyDescent="0.2">
      <c r="A7411">
        <v>0.96968333333333301</v>
      </c>
      <c r="B7411">
        <v>0.990273147919561</v>
      </c>
      <c r="C7411">
        <v>0.988882550232697</v>
      </c>
      <c r="D7411">
        <v>0.99495245697942902</v>
      </c>
      <c r="E7411">
        <v>0.99491821916927703</v>
      </c>
    </row>
    <row r="7412" spans="1:5" x14ac:dyDescent="0.2">
      <c r="A7412">
        <v>0.97001666666666697</v>
      </c>
      <c r="B7412">
        <v>0.99038121579173599</v>
      </c>
      <c r="C7412">
        <v>0.98900598194396705</v>
      </c>
      <c r="D7412">
        <v>0.99500802403470001</v>
      </c>
      <c r="E7412">
        <v>0.99497367256759806</v>
      </c>
    </row>
    <row r="7413" spans="1:5" x14ac:dyDescent="0.2">
      <c r="A7413">
        <v>0.97035000000000005</v>
      </c>
      <c r="B7413">
        <v>0.99048925832700796</v>
      </c>
      <c r="C7413">
        <v>0.98912938664592698</v>
      </c>
      <c r="D7413">
        <v>0.99506358990403798</v>
      </c>
      <c r="E7413">
        <v>0.99502913299942297</v>
      </c>
    </row>
    <row r="7414" spans="1:5" x14ac:dyDescent="0.2">
      <c r="A7414">
        <v>0.97068333333333301</v>
      </c>
      <c r="B7414">
        <v>0.99059727553969401</v>
      </c>
      <c r="C7414">
        <v>0.98925276435349696</v>
      </c>
      <c r="D7414">
        <v>0.99511915457565503</v>
      </c>
      <c r="E7414">
        <v>0.99508460054327896</v>
      </c>
    </row>
    <row r="7415" spans="1:5" x14ac:dyDescent="0.2">
      <c r="A7415">
        <v>0.97101666666666697</v>
      </c>
      <c r="B7415">
        <v>0.99070526744397702</v>
      </c>
      <c r="C7415">
        <v>0.989376115081535</v>
      </c>
      <c r="D7415">
        <v>0.99517471803776403</v>
      </c>
      <c r="E7415">
        <v>0.99514007527768999</v>
      </c>
    </row>
    <row r="7416" spans="1:5" x14ac:dyDescent="0.2">
      <c r="A7416">
        <v>0.97135000000000005</v>
      </c>
      <c r="B7416">
        <v>0.99081323405403798</v>
      </c>
      <c r="C7416">
        <v>0.98949943884489799</v>
      </c>
      <c r="D7416">
        <v>0.99523028027857596</v>
      </c>
      <c r="E7416">
        <v>0.99519555728118503</v>
      </c>
    </row>
    <row r="7417" spans="1:5" x14ac:dyDescent="0.2">
      <c r="A7417">
        <v>0.97168333333333301</v>
      </c>
      <c r="B7417">
        <v>0.99092117538406099</v>
      </c>
      <c r="C7417">
        <v>0.98962273565844305</v>
      </c>
      <c r="D7417">
        <v>0.99528584128630504</v>
      </c>
      <c r="E7417">
        <v>0.99525104663228803</v>
      </c>
    </row>
    <row r="7418" spans="1:5" x14ac:dyDescent="0.2">
      <c r="A7418">
        <v>0.97201666666666697</v>
      </c>
      <c r="B7418">
        <v>0.99102909144822804</v>
      </c>
      <c r="C7418">
        <v>0.98974600553702796</v>
      </c>
      <c r="D7418">
        <v>0.99534140104916302</v>
      </c>
      <c r="E7418">
        <v>0.99530654340952596</v>
      </c>
    </row>
    <row r="7419" spans="1:5" x14ac:dyDescent="0.2">
      <c r="A7419">
        <v>0.97235000000000005</v>
      </c>
      <c r="B7419">
        <v>0.99113698226072</v>
      </c>
      <c r="C7419">
        <v>0.98986924849550995</v>
      </c>
      <c r="D7419">
        <v>0.995396959555362</v>
      </c>
      <c r="E7419">
        <v>0.995362047691426</v>
      </c>
    </row>
    <row r="7420" spans="1:5" x14ac:dyDescent="0.2">
      <c r="A7420">
        <v>0.97268333333333301</v>
      </c>
      <c r="B7420">
        <v>0.99124484783571998</v>
      </c>
      <c r="C7420">
        <v>0.98999246454874601</v>
      </c>
      <c r="D7420">
        <v>0.99545251679311597</v>
      </c>
      <c r="E7420">
        <v>0.99541755955651301</v>
      </c>
    </row>
    <row r="7421" spans="1:5" x14ac:dyDescent="0.2">
      <c r="A7421">
        <v>0.97301666666666697</v>
      </c>
      <c r="B7421">
        <v>0.99135268818740996</v>
      </c>
      <c r="C7421">
        <v>0.99011565371159305</v>
      </c>
      <c r="D7421">
        <v>0.99550807275063502</v>
      </c>
      <c r="E7421">
        <v>0.99547307908331495</v>
      </c>
    </row>
    <row r="7422" spans="1:5" x14ac:dyDescent="0.2">
      <c r="A7422">
        <v>0.97335000000000005</v>
      </c>
      <c r="B7422">
        <v>0.99146050332997304</v>
      </c>
      <c r="C7422">
        <v>0.99023881599890895</v>
      </c>
      <c r="D7422">
        <v>0.99556362741613302</v>
      </c>
      <c r="E7422">
        <v>0.995528606350356</v>
      </c>
    </row>
    <row r="7423" spans="1:5" x14ac:dyDescent="0.2">
      <c r="A7423">
        <v>0.97368333333333301</v>
      </c>
      <c r="B7423">
        <v>0.991568293277591</v>
      </c>
      <c r="C7423">
        <v>0.99036195142555095</v>
      </c>
      <c r="D7423">
        <v>0.99561918077782197</v>
      </c>
      <c r="E7423">
        <v>0.99558414143616503</v>
      </c>
    </row>
    <row r="7424" spans="1:5" x14ac:dyDescent="0.2">
      <c r="A7424">
        <v>0.97401666666666697</v>
      </c>
      <c r="B7424">
        <v>0.99167605804444603</v>
      </c>
      <c r="C7424">
        <v>0.99048506000637604</v>
      </c>
      <c r="D7424">
        <v>0.99567473282391505</v>
      </c>
      <c r="E7424">
        <v>0.99563968441926598</v>
      </c>
    </row>
    <row r="7425" spans="1:5" x14ac:dyDescent="0.2">
      <c r="A7425">
        <v>0.97435000000000005</v>
      </c>
      <c r="B7425">
        <v>0.99178379764472002</v>
      </c>
      <c r="C7425">
        <v>0.99060814175624201</v>
      </c>
      <c r="D7425">
        <v>0.99573028354262405</v>
      </c>
      <c r="E7425">
        <v>0.99569523537818605</v>
      </c>
    </row>
    <row r="7426" spans="1:5" x14ac:dyDescent="0.2">
      <c r="A7426">
        <v>0.97468333333333301</v>
      </c>
      <c r="B7426">
        <v>0.99189151209259496</v>
      </c>
      <c r="C7426">
        <v>0.99073119669000498</v>
      </c>
      <c r="D7426">
        <v>0.99578583292216205</v>
      </c>
      <c r="E7426">
        <v>0.99575079439145198</v>
      </c>
    </row>
    <row r="7427" spans="1:5" x14ac:dyDescent="0.2">
      <c r="A7427">
        <v>0.97501666666666698</v>
      </c>
      <c r="B7427">
        <v>0.99199920140225495</v>
      </c>
      <c r="C7427">
        <v>0.99085422482252306</v>
      </c>
      <c r="D7427">
        <v>0.99584138095074004</v>
      </c>
      <c r="E7427">
        <v>0.99580636153758995</v>
      </c>
    </row>
    <row r="7428" spans="1:5" x14ac:dyDescent="0.2">
      <c r="A7428">
        <v>0.97535000000000005</v>
      </c>
      <c r="B7428">
        <v>0.99210686558788097</v>
      </c>
      <c r="C7428">
        <v>0.99097722616865402</v>
      </c>
      <c r="D7428">
        <v>0.995896927616572</v>
      </c>
      <c r="E7428">
        <v>0.99586193689512503</v>
      </c>
    </row>
    <row r="7429" spans="1:5" x14ac:dyDescent="0.2">
      <c r="A7429">
        <v>0.97568333333333301</v>
      </c>
      <c r="B7429">
        <v>0.99221450466365502</v>
      </c>
      <c r="C7429">
        <v>0.991100200743254</v>
      </c>
      <c r="D7429">
        <v>0.99595247290787003</v>
      </c>
      <c r="E7429">
        <v>0.99591752054258498</v>
      </c>
    </row>
    <row r="7430" spans="1:5" x14ac:dyDescent="0.2">
      <c r="A7430">
        <v>0.97601666666666698</v>
      </c>
      <c r="B7430">
        <v>0.99232211864375997</v>
      </c>
      <c r="C7430">
        <v>0.99122314856118099</v>
      </c>
      <c r="D7430">
        <v>0.99600801681284701</v>
      </c>
      <c r="E7430">
        <v>0.99597311255849497</v>
      </c>
    </row>
    <row r="7431" spans="1:5" x14ac:dyDescent="0.2">
      <c r="A7431">
        <v>0.97635000000000005</v>
      </c>
      <c r="B7431">
        <v>0.99242970754237703</v>
      </c>
      <c r="C7431">
        <v>0.99134606963729099</v>
      </c>
      <c r="D7431">
        <v>0.99606355931971402</v>
      </c>
      <c r="E7431">
        <v>0.99602871302138196</v>
      </c>
    </row>
    <row r="7432" spans="1:5" x14ac:dyDescent="0.2">
      <c r="A7432">
        <v>0.97668333333333301</v>
      </c>
      <c r="B7432">
        <v>0.99253727137368997</v>
      </c>
      <c r="C7432">
        <v>0.99146896398644302</v>
      </c>
      <c r="D7432">
        <v>0.99611910041668505</v>
      </c>
      <c r="E7432">
        <v>0.99608432200977204</v>
      </c>
    </row>
    <row r="7433" spans="1:5" x14ac:dyDescent="0.2">
      <c r="A7433">
        <v>0.97701666666666698</v>
      </c>
      <c r="B7433">
        <v>0.99264481015188</v>
      </c>
      <c r="C7433">
        <v>0.99159183162349396</v>
      </c>
      <c r="D7433">
        <v>0.99617464009197099</v>
      </c>
      <c r="E7433">
        <v>0.99613993960219205</v>
      </c>
    </row>
    <row r="7434" spans="1:5" x14ac:dyDescent="0.2">
      <c r="A7434">
        <v>0.97735000000000005</v>
      </c>
      <c r="B7434">
        <v>0.99275232389113</v>
      </c>
      <c r="C7434">
        <v>0.99171467256330004</v>
      </c>
      <c r="D7434">
        <v>0.99623017833378602</v>
      </c>
      <c r="E7434">
        <v>0.99619556587716696</v>
      </c>
    </row>
    <row r="7435" spans="1:5" x14ac:dyDescent="0.2">
      <c r="A7435">
        <v>0.97768333333333302</v>
      </c>
      <c r="B7435">
        <v>0.99285981260562195</v>
      </c>
      <c r="C7435">
        <v>0.99183748682071904</v>
      </c>
      <c r="D7435">
        <v>0.99628571513034103</v>
      </c>
      <c r="E7435">
        <v>0.99625120091322505</v>
      </c>
    </row>
    <row r="7436" spans="1:5" x14ac:dyDescent="0.2">
      <c r="A7436">
        <v>0.97801666666666698</v>
      </c>
      <c r="B7436">
        <v>0.99296727630953896</v>
      </c>
      <c r="C7436">
        <v>0.99196027441060897</v>
      </c>
      <c r="D7436">
        <v>0.996341250469849</v>
      </c>
      <c r="E7436">
        <v>0.99630684478888998</v>
      </c>
    </row>
    <row r="7437" spans="1:5" x14ac:dyDescent="0.2">
      <c r="A7437">
        <v>0.97835000000000005</v>
      </c>
      <c r="B7437">
        <v>0.99307471501706202</v>
      </c>
      <c r="C7437">
        <v>0.99208303534782605</v>
      </c>
      <c r="D7437">
        <v>0.99639678434052303</v>
      </c>
      <c r="E7437">
        <v>0.99636249758269002</v>
      </c>
    </row>
    <row r="7438" spans="1:5" x14ac:dyDescent="0.2">
      <c r="A7438">
        <v>0.97868333333333302</v>
      </c>
      <c r="B7438">
        <v>0.99318212874237299</v>
      </c>
      <c r="C7438">
        <v>0.99220576964722795</v>
      </c>
      <c r="D7438">
        <v>0.99645231673057599</v>
      </c>
      <c r="E7438">
        <v>0.99641815937315104</v>
      </c>
    </row>
    <row r="7439" spans="1:5" x14ac:dyDescent="0.2">
      <c r="A7439">
        <v>0.97901666666666698</v>
      </c>
      <c r="B7439">
        <v>0.99328951749965599</v>
      </c>
      <c r="C7439">
        <v>0.99232847732367102</v>
      </c>
      <c r="D7439">
        <v>0.99650784762821798</v>
      </c>
      <c r="E7439">
        <v>0.99647383023879899</v>
      </c>
    </row>
    <row r="7440" spans="1:5" x14ac:dyDescent="0.2">
      <c r="A7440">
        <v>0.97935000000000005</v>
      </c>
      <c r="B7440">
        <v>0.99339688130309201</v>
      </c>
      <c r="C7440">
        <v>0.99245115839201503</v>
      </c>
      <c r="D7440">
        <v>0.99656337702166398</v>
      </c>
      <c r="E7440">
        <v>0.99652951025816106</v>
      </c>
    </row>
    <row r="7441" spans="1:5" x14ac:dyDescent="0.2">
      <c r="A7441">
        <v>0.97968333333333302</v>
      </c>
      <c r="B7441">
        <v>0.99350422016686402</v>
      </c>
      <c r="C7441">
        <v>0.99257381286711499</v>
      </c>
      <c r="D7441">
        <v>0.99661890489912497</v>
      </c>
      <c r="E7441">
        <v>0.99658519950976099</v>
      </c>
    </row>
    <row r="7442" spans="1:5" x14ac:dyDescent="0.2">
      <c r="A7442">
        <v>0.98001666666666698</v>
      </c>
      <c r="B7442">
        <v>0.99361153410515302</v>
      </c>
      <c r="C7442">
        <v>0.99269644076382801</v>
      </c>
      <c r="D7442">
        <v>0.99667443124881305</v>
      </c>
      <c r="E7442">
        <v>0.99664089807212797</v>
      </c>
    </row>
    <row r="7443" spans="1:5" x14ac:dyDescent="0.2">
      <c r="A7443">
        <v>0.98035000000000005</v>
      </c>
      <c r="B7443">
        <v>0.993718823132135</v>
      </c>
      <c r="C7443">
        <v>0.99281904209709204</v>
      </c>
      <c r="D7443">
        <v>0.99672995605894299</v>
      </c>
      <c r="E7443">
        <v>0.99669660602378796</v>
      </c>
    </row>
    <row r="7444" spans="1:5" x14ac:dyDescent="0.2">
      <c r="A7444">
        <v>0.98068333333333302</v>
      </c>
      <c r="B7444">
        <v>0.99382608726195398</v>
      </c>
      <c r="C7444">
        <v>0.99294161688211502</v>
      </c>
      <c r="D7444">
        <v>0.99678547931772499</v>
      </c>
      <c r="E7444">
        <v>0.99675232344326503</v>
      </c>
    </row>
    <row r="7445" spans="1:5" x14ac:dyDescent="0.2">
      <c r="A7445">
        <v>0.98101666666666698</v>
      </c>
      <c r="B7445">
        <v>0.99393332650874999</v>
      </c>
      <c r="C7445">
        <v>0.99306416513416396</v>
      </c>
      <c r="D7445">
        <v>0.99684100101337203</v>
      </c>
      <c r="E7445">
        <v>0.99680805040908804</v>
      </c>
    </row>
    <row r="7446" spans="1:5" x14ac:dyDescent="0.2">
      <c r="A7446">
        <v>0.98134999999999994</v>
      </c>
      <c r="B7446">
        <v>0.99404054088666305</v>
      </c>
      <c r="C7446">
        <v>0.99318668686850498</v>
      </c>
      <c r="D7446">
        <v>0.99689652113409699</v>
      </c>
      <c r="E7446">
        <v>0.99686378699978095</v>
      </c>
    </row>
    <row r="7447" spans="1:5" x14ac:dyDescent="0.2">
      <c r="A7447">
        <v>0.98168333333333302</v>
      </c>
      <c r="B7447">
        <v>0.99414773040983295</v>
      </c>
      <c r="C7447">
        <v>0.99330918210040697</v>
      </c>
      <c r="D7447">
        <v>0.99695203966811197</v>
      </c>
      <c r="E7447">
        <v>0.99691953329387195</v>
      </c>
    </row>
    <row r="7448" spans="1:5" x14ac:dyDescent="0.2">
      <c r="A7448">
        <v>0.98201666666666698</v>
      </c>
      <c r="B7448">
        <v>0.99425489509239795</v>
      </c>
      <c r="C7448">
        <v>0.99343165084513696</v>
      </c>
      <c r="D7448">
        <v>0.99700755660363005</v>
      </c>
      <c r="E7448">
        <v>0.996975289369887</v>
      </c>
    </row>
    <row r="7449" spans="1:5" x14ac:dyDescent="0.2">
      <c r="A7449">
        <v>0.98234999999999995</v>
      </c>
      <c r="B7449">
        <v>0.99436203494849995</v>
      </c>
      <c r="C7449">
        <v>0.99355409311796095</v>
      </c>
      <c r="D7449">
        <v>0.99706307192886301</v>
      </c>
      <c r="E7449">
        <v>0.99703105530635106</v>
      </c>
    </row>
    <row r="7450" spans="1:5" x14ac:dyDescent="0.2">
      <c r="A7450">
        <v>0.98268333333333302</v>
      </c>
      <c r="B7450">
        <v>0.99446914999227698</v>
      </c>
      <c r="C7450">
        <v>0.99367650893414605</v>
      </c>
      <c r="D7450">
        <v>0.99711858563202405</v>
      </c>
      <c r="E7450">
        <v>0.99708683118179198</v>
      </c>
    </row>
    <row r="7451" spans="1:5" x14ac:dyDescent="0.2">
      <c r="A7451">
        <v>0.98301666666666698</v>
      </c>
      <c r="B7451">
        <v>0.99457624023786795</v>
      </c>
      <c r="C7451">
        <v>0.99379889830896095</v>
      </c>
      <c r="D7451">
        <v>0.99717409770132404</v>
      </c>
      <c r="E7451">
        <v>0.99714261707473495</v>
      </c>
    </row>
    <row r="7452" spans="1:5" x14ac:dyDescent="0.2">
      <c r="A7452">
        <v>0.98334999999999995</v>
      </c>
      <c r="B7452">
        <v>0.99468330569941499</v>
      </c>
      <c r="C7452">
        <v>0.993921261257672</v>
      </c>
      <c r="D7452">
        <v>0.99722960812497696</v>
      </c>
      <c r="E7452">
        <v>0.99719841306370705</v>
      </c>
    </row>
    <row r="7453" spans="1:5" x14ac:dyDescent="0.2">
      <c r="A7453">
        <v>0.98368333333333302</v>
      </c>
      <c r="B7453">
        <v>0.99479034639105501</v>
      </c>
      <c r="C7453">
        <v>0.99404359779554596</v>
      </c>
      <c r="D7453">
        <v>0.99728511689119503</v>
      </c>
      <c r="E7453">
        <v>0.99725421922723401</v>
      </c>
    </row>
    <row r="7454" spans="1:5" x14ac:dyDescent="0.2">
      <c r="A7454">
        <v>0.98401666666666698</v>
      </c>
      <c r="B7454">
        <v>0.99489736232692905</v>
      </c>
      <c r="C7454">
        <v>0.99416590793784998</v>
      </c>
      <c r="D7454">
        <v>0.99734062398819001</v>
      </c>
      <c r="E7454">
        <v>0.99731003564384202</v>
      </c>
    </row>
    <row r="7455" spans="1:5" x14ac:dyDescent="0.2">
      <c r="A7455">
        <v>0.98434999999999995</v>
      </c>
      <c r="B7455">
        <v>0.995004353521177</v>
      </c>
      <c r="C7455">
        <v>0.99428819169985205</v>
      </c>
      <c r="D7455">
        <v>0.99739612940417499</v>
      </c>
      <c r="E7455">
        <v>0.99736586239205804</v>
      </c>
    </row>
    <row r="7456" spans="1:5" x14ac:dyDescent="0.2">
      <c r="A7456">
        <v>0.98468333333333302</v>
      </c>
      <c r="B7456">
        <v>0.995111319987938</v>
      </c>
      <c r="C7456">
        <v>0.99441044909681897</v>
      </c>
      <c r="D7456">
        <v>0.99745163312736296</v>
      </c>
      <c r="E7456">
        <v>0.99742169955040805</v>
      </c>
    </row>
    <row r="7457" spans="1:5" x14ac:dyDescent="0.2">
      <c r="A7457">
        <v>0.98501666666666698</v>
      </c>
      <c r="B7457">
        <v>0.99521826174135097</v>
      </c>
      <c r="C7457">
        <v>0.99453268014401797</v>
      </c>
      <c r="D7457">
        <v>0.99750713514596501</v>
      </c>
      <c r="E7457">
        <v>0.99747754719741799</v>
      </c>
    </row>
    <row r="7458" spans="1:5" x14ac:dyDescent="0.2">
      <c r="A7458">
        <v>0.98534999999999995</v>
      </c>
      <c r="B7458">
        <v>0.99532517879555704</v>
      </c>
      <c r="C7458">
        <v>0.99465488485671605</v>
      </c>
      <c r="D7458">
        <v>0.99756263544819401</v>
      </c>
      <c r="E7458">
        <v>0.99753340541161395</v>
      </c>
    </row>
    <row r="7459" spans="1:5" x14ac:dyDescent="0.2">
      <c r="A7459">
        <v>0.98568333333333302</v>
      </c>
      <c r="B7459">
        <v>0.99543207116469401</v>
      </c>
      <c r="C7459">
        <v>0.99477706325018</v>
      </c>
      <c r="D7459">
        <v>0.99761813402226396</v>
      </c>
      <c r="E7459">
        <v>0.997589274271523</v>
      </c>
    </row>
    <row r="7460" spans="1:5" x14ac:dyDescent="0.2">
      <c r="A7460">
        <v>0.98601666666666699</v>
      </c>
      <c r="B7460">
        <v>0.99553893886290301</v>
      </c>
      <c r="C7460">
        <v>0.99489921533967696</v>
      </c>
      <c r="D7460">
        <v>0.99767363085638505</v>
      </c>
      <c r="E7460">
        <v>0.99764515385567099</v>
      </c>
    </row>
    <row r="7461" spans="1:5" x14ac:dyDescent="0.2">
      <c r="A7461">
        <v>0.98634999999999995</v>
      </c>
      <c r="B7461">
        <v>0.99564578190432396</v>
      </c>
      <c r="C7461">
        <v>0.99502134114047602</v>
      </c>
      <c r="D7461">
        <v>0.99772912593877106</v>
      </c>
      <c r="E7461">
        <v>0.99770104424258499</v>
      </c>
    </row>
    <row r="7462" spans="1:5" x14ac:dyDescent="0.2">
      <c r="A7462">
        <v>0.98668333333333302</v>
      </c>
      <c r="B7462">
        <v>0.99575260030309498</v>
      </c>
      <c r="C7462">
        <v>0.99514344066784099</v>
      </c>
      <c r="D7462">
        <v>0.99778461925763295</v>
      </c>
      <c r="E7462">
        <v>0.99775694551078997</v>
      </c>
    </row>
    <row r="7463" spans="1:5" x14ac:dyDescent="0.2">
      <c r="A7463">
        <v>0.98701666666666699</v>
      </c>
      <c r="B7463">
        <v>0.995859394073356</v>
      </c>
      <c r="C7463">
        <v>0.99526551393704199</v>
      </c>
      <c r="D7463">
        <v>0.99784011080118595</v>
      </c>
      <c r="E7463">
        <v>0.99781285773881301</v>
      </c>
    </row>
    <row r="7464" spans="1:5" x14ac:dyDescent="0.2">
      <c r="A7464">
        <v>0.98734999999999995</v>
      </c>
      <c r="B7464">
        <v>0.99596616322924703</v>
      </c>
      <c r="C7464">
        <v>0.99538756096334502</v>
      </c>
      <c r="D7464">
        <v>0.99789560055764004</v>
      </c>
      <c r="E7464">
        <v>0.99786878100517995</v>
      </c>
    </row>
    <row r="7465" spans="1:5" x14ac:dyDescent="0.2">
      <c r="A7465">
        <v>0.98768333333333302</v>
      </c>
      <c r="B7465">
        <v>0.99607290778490798</v>
      </c>
      <c r="C7465">
        <v>0.99550958176201798</v>
      </c>
      <c r="D7465">
        <v>0.99795108851520897</v>
      </c>
      <c r="E7465">
        <v>0.99792471538841698</v>
      </c>
    </row>
    <row r="7466" spans="1:5" x14ac:dyDescent="0.2">
      <c r="A7466">
        <v>0.98801666666666699</v>
      </c>
      <c r="B7466">
        <v>0.99617962775447799</v>
      </c>
      <c r="C7466">
        <v>0.995631576348326</v>
      </c>
      <c r="D7466">
        <v>0.99800657466210496</v>
      </c>
      <c r="E7466">
        <v>0.99798066096705196</v>
      </c>
    </row>
    <row r="7467" spans="1:5" x14ac:dyDescent="0.2">
      <c r="A7467">
        <v>0.98834999999999995</v>
      </c>
      <c r="B7467">
        <v>0.99628632315209698</v>
      </c>
      <c r="C7467">
        <v>0.99575354473753797</v>
      </c>
      <c r="D7467">
        <v>0.99806205898653899</v>
      </c>
      <c r="E7467">
        <v>0.99803661781960895</v>
      </c>
    </row>
    <row r="7468" spans="1:5" x14ac:dyDescent="0.2">
      <c r="A7468">
        <v>0.98868333333333303</v>
      </c>
      <c r="B7468">
        <v>0.99639299399190495</v>
      </c>
      <c r="C7468">
        <v>0.99587548694492101</v>
      </c>
      <c r="D7468">
        <v>0.99811754147672604</v>
      </c>
      <c r="E7468">
        <v>0.99809258602461504</v>
      </c>
    </row>
    <row r="7469" spans="1:5" x14ac:dyDescent="0.2">
      <c r="A7469">
        <v>0.98901666666666699</v>
      </c>
      <c r="B7469">
        <v>0.99649964028803995</v>
      </c>
      <c r="C7469">
        <v>0.99599740298574202</v>
      </c>
      <c r="D7469">
        <v>0.998173022120877</v>
      </c>
      <c r="E7469">
        <v>0.99814856566059695</v>
      </c>
    </row>
    <row r="7470" spans="1:5" x14ac:dyDescent="0.2">
      <c r="A7470">
        <v>0.98934999999999995</v>
      </c>
      <c r="B7470">
        <v>0.99660626205464298</v>
      </c>
      <c r="C7470">
        <v>0.99611929287526801</v>
      </c>
      <c r="D7470">
        <v>0.99822850090720505</v>
      </c>
      <c r="E7470">
        <v>0.998204556806081</v>
      </c>
    </row>
    <row r="7471" spans="1:5" x14ac:dyDescent="0.2">
      <c r="A7471">
        <v>0.98968333333333303</v>
      </c>
      <c r="B7471">
        <v>0.99671285930585396</v>
      </c>
      <c r="C7471">
        <v>0.996241156628767</v>
      </c>
      <c r="D7471">
        <v>0.99828397782392198</v>
      </c>
      <c r="E7471">
        <v>0.99826055953959303</v>
      </c>
    </row>
    <row r="7472" spans="1:5" x14ac:dyDescent="0.2">
      <c r="A7472">
        <v>0.99001666666666699</v>
      </c>
      <c r="B7472">
        <v>0.99681943205581103</v>
      </c>
      <c r="C7472">
        <v>0.99636299426150499</v>
      </c>
      <c r="D7472">
        <v>0.99833945285923997</v>
      </c>
      <c r="E7472">
        <v>0.99831657393966</v>
      </c>
    </row>
    <row r="7473" spans="1:5" x14ac:dyDescent="0.2">
      <c r="A7473">
        <v>0.99034999999999995</v>
      </c>
      <c r="B7473">
        <v>0.99692598031865698</v>
      </c>
      <c r="C7473">
        <v>0.996484805788733</v>
      </c>
      <c r="D7473">
        <v>0.99839492600137303</v>
      </c>
      <c r="E7473">
        <v>0.99837260008480699</v>
      </c>
    </row>
    <row r="7474" spans="1:5" x14ac:dyDescent="0.2">
      <c r="A7474">
        <v>0.99068333333333303</v>
      </c>
      <c r="B7474">
        <v>0.99703250410853805</v>
      </c>
      <c r="C7474">
        <v>0.99660659122564899</v>
      </c>
      <c r="D7474">
        <v>0.99845039723853202</v>
      </c>
      <c r="E7474">
        <v>0.99842863805356097</v>
      </c>
    </row>
    <row r="7475" spans="1:5" x14ac:dyDescent="0.2">
      <c r="A7475">
        <v>0.99101666666666699</v>
      </c>
      <c r="B7475">
        <v>0.99713900343960205</v>
      </c>
      <c r="C7475">
        <v>0.99672835058743803</v>
      </c>
      <c r="D7475">
        <v>0.99850586655893003</v>
      </c>
      <c r="E7475">
        <v>0.998484687924448</v>
      </c>
    </row>
    <row r="7476" spans="1:5" x14ac:dyDescent="0.2">
      <c r="A7476">
        <v>0.99134999999999995</v>
      </c>
      <c r="B7476">
        <v>0.99724547832599797</v>
      </c>
      <c r="C7476">
        <v>0.99685008388928598</v>
      </c>
      <c r="D7476">
        <v>0.99856133395077995</v>
      </c>
      <c r="E7476">
        <v>0.99854074977599505</v>
      </c>
    </row>
    <row r="7477" spans="1:5" x14ac:dyDescent="0.2">
      <c r="A7477">
        <v>0.99168333333333303</v>
      </c>
      <c r="B7477">
        <v>0.99735192878187295</v>
      </c>
      <c r="C7477">
        <v>0.99697179114637602</v>
      </c>
      <c r="D7477">
        <v>0.99861679940229298</v>
      </c>
      <c r="E7477">
        <v>0.99859682368672797</v>
      </c>
    </row>
    <row r="7478" spans="1:5" x14ac:dyDescent="0.2">
      <c r="A7478">
        <v>0.99201666666666699</v>
      </c>
      <c r="B7478">
        <v>0.99745835482137502</v>
      </c>
      <c r="C7478">
        <v>0.99709347237389501</v>
      </c>
      <c r="D7478">
        <v>0.99867226290168298</v>
      </c>
      <c r="E7478">
        <v>0.99865290973517296</v>
      </c>
    </row>
    <row r="7479" spans="1:5" x14ac:dyDescent="0.2">
      <c r="A7479">
        <v>0.99234999999999995</v>
      </c>
      <c r="B7479">
        <v>0.99756475645865395</v>
      </c>
      <c r="C7479">
        <v>0.99721512758702702</v>
      </c>
      <c r="D7479">
        <v>0.99872772443716196</v>
      </c>
      <c r="E7479">
        <v>0.99870900799985596</v>
      </c>
    </row>
    <row r="7480" spans="1:5" x14ac:dyDescent="0.2">
      <c r="A7480">
        <v>0.99268333333333303</v>
      </c>
      <c r="B7480">
        <v>0.99767113370785698</v>
      </c>
      <c r="C7480">
        <v>0.99733675680095801</v>
      </c>
      <c r="D7480">
        <v>0.99878318399694199</v>
      </c>
      <c r="E7480">
        <v>0.99876511855930405</v>
      </c>
    </row>
    <row r="7481" spans="1:5" x14ac:dyDescent="0.2">
      <c r="A7481">
        <v>0.99301666666666699</v>
      </c>
      <c r="B7481">
        <v>0.99777748658313203</v>
      </c>
      <c r="C7481">
        <v>0.99745836003087396</v>
      </c>
      <c r="D7481">
        <v>0.99883864156923596</v>
      </c>
      <c r="E7481">
        <v>0.99882124149204299</v>
      </c>
    </row>
    <row r="7482" spans="1:5" x14ac:dyDescent="0.2">
      <c r="A7482">
        <v>0.99334999999999996</v>
      </c>
      <c r="B7482">
        <v>0.997883815098627</v>
      </c>
      <c r="C7482">
        <v>0.99757993729195804</v>
      </c>
      <c r="D7482">
        <v>0.99889409714225597</v>
      </c>
      <c r="E7482">
        <v>0.99887737687659905</v>
      </c>
    </row>
    <row r="7483" spans="1:5" x14ac:dyDescent="0.2">
      <c r="A7483">
        <v>0.99368333333333303</v>
      </c>
      <c r="B7483">
        <v>0.99799011926849102</v>
      </c>
      <c r="C7483">
        <v>0.997701488599397</v>
      </c>
      <c r="D7483">
        <v>0.99894955070421498</v>
      </c>
      <c r="E7483">
        <v>0.998933524791498</v>
      </c>
    </row>
    <row r="7484" spans="1:5" x14ac:dyDescent="0.2">
      <c r="A7484">
        <v>0.99401666666666699</v>
      </c>
      <c r="B7484">
        <v>0.99809639910687098</v>
      </c>
      <c r="C7484">
        <v>0.99782301396837503</v>
      </c>
      <c r="D7484">
        <v>0.999005002243324</v>
      </c>
      <c r="E7484">
        <v>0.99898968531526799</v>
      </c>
    </row>
    <row r="7485" spans="1:5" x14ac:dyDescent="0.2">
      <c r="A7485">
        <v>0.99434999999999996</v>
      </c>
      <c r="B7485">
        <v>0.99820265462791602</v>
      </c>
      <c r="C7485">
        <v>0.99794451341407797</v>
      </c>
      <c r="D7485">
        <v>0.99906045174779801</v>
      </c>
      <c r="E7485">
        <v>0.99904585852643302</v>
      </c>
    </row>
    <row r="7486" spans="1:5" x14ac:dyDescent="0.2">
      <c r="A7486">
        <v>0.99468333333333303</v>
      </c>
      <c r="B7486">
        <v>0.99830888584577404</v>
      </c>
      <c r="C7486">
        <v>0.99806598695169102</v>
      </c>
      <c r="D7486">
        <v>0.99911589920584698</v>
      </c>
      <c r="E7486">
        <v>0.99910204450352103</v>
      </c>
    </row>
    <row r="7487" spans="1:5" x14ac:dyDescent="0.2">
      <c r="A7487">
        <v>0.99501666666666699</v>
      </c>
      <c r="B7487">
        <v>0.99841509277459295</v>
      </c>
      <c r="C7487">
        <v>0.99818743459639903</v>
      </c>
      <c r="D7487">
        <v>0.99917134460568502</v>
      </c>
      <c r="E7487">
        <v>0.99915824332505798</v>
      </c>
    </row>
    <row r="7488" spans="1:5" x14ac:dyDescent="0.2">
      <c r="A7488">
        <v>0.99534999999999996</v>
      </c>
      <c r="B7488">
        <v>0.99852127542852098</v>
      </c>
      <c r="C7488">
        <v>0.99830885636338695</v>
      </c>
      <c r="D7488">
        <v>0.999226787935524</v>
      </c>
      <c r="E7488">
        <v>0.99921445506956896</v>
      </c>
    </row>
    <row r="7489" spans="1:5" x14ac:dyDescent="0.2">
      <c r="A7489">
        <v>0.99568333333333303</v>
      </c>
      <c r="B7489">
        <v>0.99862743382170605</v>
      </c>
      <c r="C7489">
        <v>0.99843025226784099</v>
      </c>
      <c r="D7489">
        <v>0.99928222918357601</v>
      </c>
      <c r="E7489">
        <v>0.99927067981558204</v>
      </c>
    </row>
    <row r="7490" spans="1:5" x14ac:dyDescent="0.2">
      <c r="A7490">
        <v>0.99601666666666699</v>
      </c>
      <c r="B7490">
        <v>0.99873356796829704</v>
      </c>
      <c r="C7490">
        <v>0.99855162232494499</v>
      </c>
      <c r="D7490">
        <v>0.99933766833805404</v>
      </c>
      <c r="E7490">
        <v>0.99932691764162196</v>
      </c>
    </row>
    <row r="7491" spans="1:5" x14ac:dyDescent="0.2">
      <c r="A7491">
        <v>0.99634999999999996</v>
      </c>
      <c r="B7491">
        <v>0.99883967788244199</v>
      </c>
      <c r="C7491">
        <v>0.99867296654988502</v>
      </c>
      <c r="D7491">
        <v>0.99939310538717097</v>
      </c>
      <c r="E7491">
        <v>0.99938316862621601</v>
      </c>
    </row>
    <row r="7492" spans="1:5" x14ac:dyDescent="0.2">
      <c r="A7492">
        <v>0.99668333333333303</v>
      </c>
      <c r="B7492">
        <v>0.99894576357828901</v>
      </c>
      <c r="C7492">
        <v>0.99879428495784695</v>
      </c>
      <c r="D7492">
        <v>0.99944854031913799</v>
      </c>
      <c r="E7492">
        <v>0.99943943284788905</v>
      </c>
    </row>
    <row r="7493" spans="1:5" x14ac:dyDescent="0.2">
      <c r="A7493">
        <v>0.997016666666667</v>
      </c>
      <c r="B7493">
        <v>0.99905182506998502</v>
      </c>
      <c r="C7493">
        <v>0.99891557756401395</v>
      </c>
      <c r="D7493">
        <v>0.99950397312216799</v>
      </c>
      <c r="E7493">
        <v>0.99949571038517004</v>
      </c>
    </row>
    <row r="7494" spans="1:5" x14ac:dyDescent="0.2">
      <c r="A7494">
        <v>0.99734999999999996</v>
      </c>
      <c r="B7494">
        <v>0.99915786237167903</v>
      </c>
      <c r="C7494">
        <v>0.99903684438357299</v>
      </c>
      <c r="D7494">
        <v>0.99955940378447405</v>
      </c>
      <c r="E7494">
        <v>0.99955200131658295</v>
      </c>
    </row>
    <row r="7495" spans="1:5" x14ac:dyDescent="0.2">
      <c r="A7495">
        <v>0.99768333333333303</v>
      </c>
      <c r="B7495">
        <v>0.99926387549752005</v>
      </c>
      <c r="C7495">
        <v>0.99915808543170803</v>
      </c>
      <c r="D7495">
        <v>0.99961483229426895</v>
      </c>
      <c r="E7495">
        <v>0.99960830572065396</v>
      </c>
    </row>
    <row r="7496" spans="1:5" x14ac:dyDescent="0.2">
      <c r="A7496">
        <v>0.998016666666667</v>
      </c>
      <c r="B7496">
        <v>0.99936986446165499</v>
      </c>
      <c r="C7496">
        <v>0.99927930072360505</v>
      </c>
      <c r="D7496">
        <v>0.999670258639764</v>
      </c>
      <c r="E7496">
        <v>0.99966462367591102</v>
      </c>
    </row>
    <row r="7497" spans="1:5" x14ac:dyDescent="0.2">
      <c r="A7497">
        <v>0.99834999999999996</v>
      </c>
      <c r="B7497">
        <v>0.99947582927823297</v>
      </c>
      <c r="C7497">
        <v>0.99940049027444899</v>
      </c>
      <c r="D7497">
        <v>0.99972568280917196</v>
      </c>
      <c r="E7497">
        <v>0.99972095526088001</v>
      </c>
    </row>
    <row r="7498" spans="1:5" x14ac:dyDescent="0.2">
      <c r="A7498">
        <v>0.99868333333333303</v>
      </c>
      <c r="B7498">
        <v>0.99958176996140102</v>
      </c>
      <c r="C7498">
        <v>0.99952165409942595</v>
      </c>
      <c r="D7498">
        <v>0.99978110479070503</v>
      </c>
      <c r="E7498">
        <v>0.99977730055408598</v>
      </c>
    </row>
    <row r="7499" spans="1:5" x14ac:dyDescent="0.2">
      <c r="A7499">
        <v>0.999016666666667</v>
      </c>
      <c r="B7499">
        <v>0.99968768652530904</v>
      </c>
      <c r="C7499">
        <v>0.99964279221371899</v>
      </c>
      <c r="D7499">
        <v>0.99983652457257699</v>
      </c>
      <c r="E7499">
        <v>0.99983365963405602</v>
      </c>
    </row>
    <row r="7500" spans="1:5" x14ac:dyDescent="0.2">
      <c r="A7500">
        <v>0.99934999999999996</v>
      </c>
      <c r="B7500">
        <v>0.99979357898410304</v>
      </c>
      <c r="C7500">
        <v>0.99976390463251497</v>
      </c>
      <c r="D7500">
        <v>0.99989194214299904</v>
      </c>
      <c r="E7500">
        <v>0.99989003257931697</v>
      </c>
    </row>
    <row r="7501" spans="1:5" x14ac:dyDescent="0.2">
      <c r="A7501">
        <v>0.99968333333333304</v>
      </c>
      <c r="B7501">
        <v>0.99989944735193204</v>
      </c>
      <c r="C7501">
        <v>0.99988499137099895</v>
      </c>
      <c r="D7501">
        <v>0.99994735749018404</v>
      </c>
      <c r="E7501">
        <v>0.99994641946839402</v>
      </c>
    </row>
    <row r="7502" spans="1:5" x14ac:dyDescent="0.2">
      <c r="A7502">
        <v>1</v>
      </c>
      <c r="B7502">
        <v>1</v>
      </c>
      <c r="C7502">
        <v>1</v>
      </c>
      <c r="D7502">
        <v>1</v>
      </c>
      <c r="E7502">
        <v>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11"/>
  <sheetViews>
    <sheetView workbookViewId="0">
      <selection activeCell="B5" sqref="B5"/>
    </sheetView>
  </sheetViews>
  <sheetFormatPr defaultRowHeight="12.75" x14ac:dyDescent="0.2"/>
  <cols>
    <col min="1" max="1" width="22.6640625" style="109" customWidth="1"/>
    <col min="2" max="2" width="88.83203125" style="109" customWidth="1"/>
    <col min="3" max="3" width="22.83203125" style="109" bestFit="1" customWidth="1"/>
    <col min="4" max="256" width="9.33203125" style="109"/>
    <col min="257" max="257" width="22.6640625" style="109" customWidth="1"/>
    <col min="258" max="258" width="88.83203125" style="109" customWidth="1"/>
    <col min="259" max="259" width="22.83203125" style="109" bestFit="1" customWidth="1"/>
    <col min="260" max="512" width="9.33203125" style="109"/>
    <col min="513" max="513" width="22.6640625" style="109" customWidth="1"/>
    <col min="514" max="514" width="88.83203125" style="109" customWidth="1"/>
    <col min="515" max="515" width="22.83203125" style="109" bestFit="1" customWidth="1"/>
    <col min="516" max="768" width="9.33203125" style="109"/>
    <col min="769" max="769" width="22.6640625" style="109" customWidth="1"/>
    <col min="770" max="770" width="88.83203125" style="109" customWidth="1"/>
    <col min="771" max="771" width="22.83203125" style="109" bestFit="1" customWidth="1"/>
    <col min="772" max="1024" width="9.33203125" style="109"/>
    <col min="1025" max="1025" width="22.6640625" style="109" customWidth="1"/>
    <col min="1026" max="1026" width="88.83203125" style="109" customWidth="1"/>
    <col min="1027" max="1027" width="22.83203125" style="109" bestFit="1" customWidth="1"/>
    <col min="1028" max="1280" width="9.33203125" style="109"/>
    <col min="1281" max="1281" width="22.6640625" style="109" customWidth="1"/>
    <col min="1282" max="1282" width="88.83203125" style="109" customWidth="1"/>
    <col min="1283" max="1283" width="22.83203125" style="109" bestFit="1" customWidth="1"/>
    <col min="1284" max="1536" width="9.33203125" style="109"/>
    <col min="1537" max="1537" width="22.6640625" style="109" customWidth="1"/>
    <col min="1538" max="1538" width="88.83203125" style="109" customWidth="1"/>
    <col min="1539" max="1539" width="22.83203125" style="109" bestFit="1" customWidth="1"/>
    <col min="1540" max="1792" width="9.33203125" style="109"/>
    <col min="1793" max="1793" width="22.6640625" style="109" customWidth="1"/>
    <col min="1794" max="1794" width="88.83203125" style="109" customWidth="1"/>
    <col min="1795" max="1795" width="22.83203125" style="109" bestFit="1" customWidth="1"/>
    <col min="1796" max="2048" width="9.33203125" style="109"/>
    <col min="2049" max="2049" width="22.6640625" style="109" customWidth="1"/>
    <col min="2050" max="2050" width="88.83203125" style="109" customWidth="1"/>
    <col min="2051" max="2051" width="22.83203125" style="109" bestFit="1" customWidth="1"/>
    <col min="2052" max="2304" width="9.33203125" style="109"/>
    <col min="2305" max="2305" width="22.6640625" style="109" customWidth="1"/>
    <col min="2306" max="2306" width="88.83203125" style="109" customWidth="1"/>
    <col min="2307" max="2307" width="22.83203125" style="109" bestFit="1" customWidth="1"/>
    <col min="2308" max="2560" width="9.33203125" style="109"/>
    <col min="2561" max="2561" width="22.6640625" style="109" customWidth="1"/>
    <col min="2562" max="2562" width="88.83203125" style="109" customWidth="1"/>
    <col min="2563" max="2563" width="22.83203125" style="109" bestFit="1" customWidth="1"/>
    <col min="2564" max="2816" width="9.33203125" style="109"/>
    <col min="2817" max="2817" width="22.6640625" style="109" customWidth="1"/>
    <col min="2818" max="2818" width="88.83203125" style="109" customWidth="1"/>
    <col min="2819" max="2819" width="22.83203125" style="109" bestFit="1" customWidth="1"/>
    <col min="2820" max="3072" width="9.33203125" style="109"/>
    <col min="3073" max="3073" width="22.6640625" style="109" customWidth="1"/>
    <col min="3074" max="3074" width="88.83203125" style="109" customWidth="1"/>
    <col min="3075" max="3075" width="22.83203125" style="109" bestFit="1" customWidth="1"/>
    <col min="3076" max="3328" width="9.33203125" style="109"/>
    <col min="3329" max="3329" width="22.6640625" style="109" customWidth="1"/>
    <col min="3330" max="3330" width="88.83203125" style="109" customWidth="1"/>
    <col min="3331" max="3331" width="22.83203125" style="109" bestFit="1" customWidth="1"/>
    <col min="3332" max="3584" width="9.33203125" style="109"/>
    <col min="3585" max="3585" width="22.6640625" style="109" customWidth="1"/>
    <col min="3586" max="3586" width="88.83203125" style="109" customWidth="1"/>
    <col min="3587" max="3587" width="22.83203125" style="109" bestFit="1" customWidth="1"/>
    <col min="3588" max="3840" width="9.33203125" style="109"/>
    <col min="3841" max="3841" width="22.6640625" style="109" customWidth="1"/>
    <col min="3842" max="3842" width="88.83203125" style="109" customWidth="1"/>
    <col min="3843" max="3843" width="22.83203125" style="109" bestFit="1" customWidth="1"/>
    <col min="3844" max="4096" width="9.33203125" style="109"/>
    <col min="4097" max="4097" width="22.6640625" style="109" customWidth="1"/>
    <col min="4098" max="4098" width="88.83203125" style="109" customWidth="1"/>
    <col min="4099" max="4099" width="22.83203125" style="109" bestFit="1" customWidth="1"/>
    <col min="4100" max="4352" width="9.33203125" style="109"/>
    <col min="4353" max="4353" width="22.6640625" style="109" customWidth="1"/>
    <col min="4354" max="4354" width="88.83203125" style="109" customWidth="1"/>
    <col min="4355" max="4355" width="22.83203125" style="109" bestFit="1" customWidth="1"/>
    <col min="4356" max="4608" width="9.33203125" style="109"/>
    <col min="4609" max="4609" width="22.6640625" style="109" customWidth="1"/>
    <col min="4610" max="4610" width="88.83203125" style="109" customWidth="1"/>
    <col min="4611" max="4611" width="22.83203125" style="109" bestFit="1" customWidth="1"/>
    <col min="4612" max="4864" width="9.33203125" style="109"/>
    <col min="4865" max="4865" width="22.6640625" style="109" customWidth="1"/>
    <col min="4866" max="4866" width="88.83203125" style="109" customWidth="1"/>
    <col min="4867" max="4867" width="22.83203125" style="109" bestFit="1" customWidth="1"/>
    <col min="4868" max="5120" width="9.33203125" style="109"/>
    <col min="5121" max="5121" width="22.6640625" style="109" customWidth="1"/>
    <col min="5122" max="5122" width="88.83203125" style="109" customWidth="1"/>
    <col min="5123" max="5123" width="22.83203125" style="109" bestFit="1" customWidth="1"/>
    <col min="5124" max="5376" width="9.33203125" style="109"/>
    <col min="5377" max="5377" width="22.6640625" style="109" customWidth="1"/>
    <col min="5378" max="5378" width="88.83203125" style="109" customWidth="1"/>
    <col min="5379" max="5379" width="22.83203125" style="109" bestFit="1" customWidth="1"/>
    <col min="5380" max="5632" width="9.33203125" style="109"/>
    <col min="5633" max="5633" width="22.6640625" style="109" customWidth="1"/>
    <col min="5634" max="5634" width="88.83203125" style="109" customWidth="1"/>
    <col min="5635" max="5635" width="22.83203125" style="109" bestFit="1" customWidth="1"/>
    <col min="5636" max="5888" width="9.33203125" style="109"/>
    <col min="5889" max="5889" width="22.6640625" style="109" customWidth="1"/>
    <col min="5890" max="5890" width="88.83203125" style="109" customWidth="1"/>
    <col min="5891" max="5891" width="22.83203125" style="109" bestFit="1" customWidth="1"/>
    <col min="5892" max="6144" width="9.33203125" style="109"/>
    <col min="6145" max="6145" width="22.6640625" style="109" customWidth="1"/>
    <col min="6146" max="6146" width="88.83203125" style="109" customWidth="1"/>
    <col min="6147" max="6147" width="22.83203125" style="109" bestFit="1" customWidth="1"/>
    <col min="6148" max="6400" width="9.33203125" style="109"/>
    <col min="6401" max="6401" width="22.6640625" style="109" customWidth="1"/>
    <col min="6402" max="6402" width="88.83203125" style="109" customWidth="1"/>
    <col min="6403" max="6403" width="22.83203125" style="109" bestFit="1" customWidth="1"/>
    <col min="6404" max="6656" width="9.33203125" style="109"/>
    <col min="6657" max="6657" width="22.6640625" style="109" customWidth="1"/>
    <col min="6658" max="6658" width="88.83203125" style="109" customWidth="1"/>
    <col min="6659" max="6659" width="22.83203125" style="109" bestFit="1" customWidth="1"/>
    <col min="6660" max="6912" width="9.33203125" style="109"/>
    <col min="6913" max="6913" width="22.6640625" style="109" customWidth="1"/>
    <col min="6914" max="6914" width="88.83203125" style="109" customWidth="1"/>
    <col min="6915" max="6915" width="22.83203125" style="109" bestFit="1" customWidth="1"/>
    <col min="6916" max="7168" width="9.33203125" style="109"/>
    <col min="7169" max="7169" width="22.6640625" style="109" customWidth="1"/>
    <col min="7170" max="7170" width="88.83203125" style="109" customWidth="1"/>
    <col min="7171" max="7171" width="22.83203125" style="109" bestFit="1" customWidth="1"/>
    <col min="7172" max="7424" width="9.33203125" style="109"/>
    <col min="7425" max="7425" width="22.6640625" style="109" customWidth="1"/>
    <col min="7426" max="7426" width="88.83203125" style="109" customWidth="1"/>
    <col min="7427" max="7427" width="22.83203125" style="109" bestFit="1" customWidth="1"/>
    <col min="7428" max="7680" width="9.33203125" style="109"/>
    <col min="7681" max="7681" width="22.6640625" style="109" customWidth="1"/>
    <col min="7682" max="7682" width="88.83203125" style="109" customWidth="1"/>
    <col min="7683" max="7683" width="22.83203125" style="109" bestFit="1" customWidth="1"/>
    <col min="7684" max="7936" width="9.33203125" style="109"/>
    <col min="7937" max="7937" width="22.6640625" style="109" customWidth="1"/>
    <col min="7938" max="7938" width="88.83203125" style="109" customWidth="1"/>
    <col min="7939" max="7939" width="22.83203125" style="109" bestFit="1" customWidth="1"/>
    <col min="7940" max="8192" width="9.33203125" style="109"/>
    <col min="8193" max="8193" width="22.6640625" style="109" customWidth="1"/>
    <col min="8194" max="8194" width="88.83203125" style="109" customWidth="1"/>
    <col min="8195" max="8195" width="22.83203125" style="109" bestFit="1" customWidth="1"/>
    <col min="8196" max="8448" width="9.33203125" style="109"/>
    <col min="8449" max="8449" width="22.6640625" style="109" customWidth="1"/>
    <col min="8450" max="8450" width="88.83203125" style="109" customWidth="1"/>
    <col min="8451" max="8451" width="22.83203125" style="109" bestFit="1" customWidth="1"/>
    <col min="8452" max="8704" width="9.33203125" style="109"/>
    <col min="8705" max="8705" width="22.6640625" style="109" customWidth="1"/>
    <col min="8706" max="8706" width="88.83203125" style="109" customWidth="1"/>
    <col min="8707" max="8707" width="22.83203125" style="109" bestFit="1" customWidth="1"/>
    <col min="8708" max="8960" width="9.33203125" style="109"/>
    <col min="8961" max="8961" width="22.6640625" style="109" customWidth="1"/>
    <col min="8962" max="8962" width="88.83203125" style="109" customWidth="1"/>
    <col min="8963" max="8963" width="22.83203125" style="109" bestFit="1" customWidth="1"/>
    <col min="8964" max="9216" width="9.33203125" style="109"/>
    <col min="9217" max="9217" width="22.6640625" style="109" customWidth="1"/>
    <col min="9218" max="9218" width="88.83203125" style="109" customWidth="1"/>
    <col min="9219" max="9219" width="22.83203125" style="109" bestFit="1" customWidth="1"/>
    <col min="9220" max="9472" width="9.33203125" style="109"/>
    <col min="9473" max="9473" width="22.6640625" style="109" customWidth="1"/>
    <col min="9474" max="9474" width="88.83203125" style="109" customWidth="1"/>
    <col min="9475" max="9475" width="22.83203125" style="109" bestFit="1" customWidth="1"/>
    <col min="9476" max="9728" width="9.33203125" style="109"/>
    <col min="9729" max="9729" width="22.6640625" style="109" customWidth="1"/>
    <col min="9730" max="9730" width="88.83203125" style="109" customWidth="1"/>
    <col min="9731" max="9731" width="22.83203125" style="109" bestFit="1" customWidth="1"/>
    <col min="9732" max="9984" width="9.33203125" style="109"/>
    <col min="9985" max="9985" width="22.6640625" style="109" customWidth="1"/>
    <col min="9986" max="9986" width="88.83203125" style="109" customWidth="1"/>
    <col min="9987" max="9987" width="22.83203125" style="109" bestFit="1" customWidth="1"/>
    <col min="9988" max="10240" width="9.33203125" style="109"/>
    <col min="10241" max="10241" width="22.6640625" style="109" customWidth="1"/>
    <col min="10242" max="10242" width="88.83203125" style="109" customWidth="1"/>
    <col min="10243" max="10243" width="22.83203125" style="109" bestFit="1" customWidth="1"/>
    <col min="10244" max="10496" width="9.33203125" style="109"/>
    <col min="10497" max="10497" width="22.6640625" style="109" customWidth="1"/>
    <col min="10498" max="10498" width="88.83203125" style="109" customWidth="1"/>
    <col min="10499" max="10499" width="22.83203125" style="109" bestFit="1" customWidth="1"/>
    <col min="10500" max="10752" width="9.33203125" style="109"/>
    <col min="10753" max="10753" width="22.6640625" style="109" customWidth="1"/>
    <col min="10754" max="10754" width="88.83203125" style="109" customWidth="1"/>
    <col min="10755" max="10755" width="22.83203125" style="109" bestFit="1" customWidth="1"/>
    <col min="10756" max="11008" width="9.33203125" style="109"/>
    <col min="11009" max="11009" width="22.6640625" style="109" customWidth="1"/>
    <col min="11010" max="11010" width="88.83203125" style="109" customWidth="1"/>
    <col min="11011" max="11011" width="22.83203125" style="109" bestFit="1" customWidth="1"/>
    <col min="11012" max="11264" width="9.33203125" style="109"/>
    <col min="11265" max="11265" width="22.6640625" style="109" customWidth="1"/>
    <col min="11266" max="11266" width="88.83203125" style="109" customWidth="1"/>
    <col min="11267" max="11267" width="22.83203125" style="109" bestFit="1" customWidth="1"/>
    <col min="11268" max="11520" width="9.33203125" style="109"/>
    <col min="11521" max="11521" width="22.6640625" style="109" customWidth="1"/>
    <col min="11522" max="11522" width="88.83203125" style="109" customWidth="1"/>
    <col min="11523" max="11523" width="22.83203125" style="109" bestFit="1" customWidth="1"/>
    <col min="11524" max="11776" width="9.33203125" style="109"/>
    <col min="11777" max="11777" width="22.6640625" style="109" customWidth="1"/>
    <col min="11778" max="11778" width="88.83203125" style="109" customWidth="1"/>
    <col min="11779" max="11779" width="22.83203125" style="109" bestFit="1" customWidth="1"/>
    <col min="11780" max="12032" width="9.33203125" style="109"/>
    <col min="12033" max="12033" width="22.6640625" style="109" customWidth="1"/>
    <col min="12034" max="12034" width="88.83203125" style="109" customWidth="1"/>
    <col min="12035" max="12035" width="22.83203125" style="109" bestFit="1" customWidth="1"/>
    <col min="12036" max="12288" width="9.33203125" style="109"/>
    <col min="12289" max="12289" width="22.6640625" style="109" customWidth="1"/>
    <col min="12290" max="12290" width="88.83203125" style="109" customWidth="1"/>
    <col min="12291" max="12291" width="22.83203125" style="109" bestFit="1" customWidth="1"/>
    <col min="12292" max="12544" width="9.33203125" style="109"/>
    <col min="12545" max="12545" width="22.6640625" style="109" customWidth="1"/>
    <col min="12546" max="12546" width="88.83203125" style="109" customWidth="1"/>
    <col min="12547" max="12547" width="22.83203125" style="109" bestFit="1" customWidth="1"/>
    <col min="12548" max="12800" width="9.33203125" style="109"/>
    <col min="12801" max="12801" width="22.6640625" style="109" customWidth="1"/>
    <col min="12802" max="12802" width="88.83203125" style="109" customWidth="1"/>
    <col min="12803" max="12803" width="22.83203125" style="109" bestFit="1" customWidth="1"/>
    <col min="12804" max="13056" width="9.33203125" style="109"/>
    <col min="13057" max="13057" width="22.6640625" style="109" customWidth="1"/>
    <col min="13058" max="13058" width="88.83203125" style="109" customWidth="1"/>
    <col min="13059" max="13059" width="22.83203125" style="109" bestFit="1" customWidth="1"/>
    <col min="13060" max="13312" width="9.33203125" style="109"/>
    <col min="13313" max="13313" width="22.6640625" style="109" customWidth="1"/>
    <col min="13314" max="13314" width="88.83203125" style="109" customWidth="1"/>
    <col min="13315" max="13315" width="22.83203125" style="109" bestFit="1" customWidth="1"/>
    <col min="13316" max="13568" width="9.33203125" style="109"/>
    <col min="13569" max="13569" width="22.6640625" style="109" customWidth="1"/>
    <col min="13570" max="13570" width="88.83203125" style="109" customWidth="1"/>
    <col min="13571" max="13571" width="22.83203125" style="109" bestFit="1" customWidth="1"/>
    <col min="13572" max="13824" width="9.33203125" style="109"/>
    <col min="13825" max="13825" width="22.6640625" style="109" customWidth="1"/>
    <col min="13826" max="13826" width="88.83203125" style="109" customWidth="1"/>
    <col min="13827" max="13827" width="22.83203125" style="109" bestFit="1" customWidth="1"/>
    <col min="13828" max="14080" width="9.33203125" style="109"/>
    <col min="14081" max="14081" width="22.6640625" style="109" customWidth="1"/>
    <col min="14082" max="14082" width="88.83203125" style="109" customWidth="1"/>
    <col min="14083" max="14083" width="22.83203125" style="109" bestFit="1" customWidth="1"/>
    <col min="14084" max="14336" width="9.33203125" style="109"/>
    <col min="14337" max="14337" width="22.6640625" style="109" customWidth="1"/>
    <col min="14338" max="14338" width="88.83203125" style="109" customWidth="1"/>
    <col min="14339" max="14339" width="22.83203125" style="109" bestFit="1" customWidth="1"/>
    <col min="14340" max="14592" width="9.33203125" style="109"/>
    <col min="14593" max="14593" width="22.6640625" style="109" customWidth="1"/>
    <col min="14594" max="14594" width="88.83203125" style="109" customWidth="1"/>
    <col min="14595" max="14595" width="22.83203125" style="109" bestFit="1" customWidth="1"/>
    <col min="14596" max="14848" width="9.33203125" style="109"/>
    <col min="14849" max="14849" width="22.6640625" style="109" customWidth="1"/>
    <col min="14850" max="14850" width="88.83203125" style="109" customWidth="1"/>
    <col min="14851" max="14851" width="22.83203125" style="109" bestFit="1" customWidth="1"/>
    <col min="14852" max="15104" width="9.33203125" style="109"/>
    <col min="15105" max="15105" width="22.6640625" style="109" customWidth="1"/>
    <col min="15106" max="15106" width="88.83203125" style="109" customWidth="1"/>
    <col min="15107" max="15107" width="22.83203125" style="109" bestFit="1" customWidth="1"/>
    <col min="15108" max="15360" width="9.33203125" style="109"/>
    <col min="15361" max="15361" width="22.6640625" style="109" customWidth="1"/>
    <col min="15362" max="15362" width="88.83203125" style="109" customWidth="1"/>
    <col min="15363" max="15363" width="22.83203125" style="109" bestFit="1" customWidth="1"/>
    <col min="15364" max="15616" width="9.33203125" style="109"/>
    <col min="15617" max="15617" width="22.6640625" style="109" customWidth="1"/>
    <col min="15618" max="15618" width="88.83203125" style="109" customWidth="1"/>
    <col min="15619" max="15619" width="22.83203125" style="109" bestFit="1" customWidth="1"/>
    <col min="15620" max="15872" width="9.33203125" style="109"/>
    <col min="15873" max="15873" width="22.6640625" style="109" customWidth="1"/>
    <col min="15874" max="15874" width="88.83203125" style="109" customWidth="1"/>
    <col min="15875" max="15875" width="22.83203125" style="109" bestFit="1" customWidth="1"/>
    <col min="15876" max="16128" width="9.33203125" style="109"/>
    <col min="16129" max="16129" width="22.6640625" style="109" customWidth="1"/>
    <col min="16130" max="16130" width="88.83203125" style="109" customWidth="1"/>
    <col min="16131" max="16131" width="22.83203125" style="109" bestFit="1" customWidth="1"/>
    <col min="16132" max="16384" width="9.33203125" style="109"/>
  </cols>
  <sheetData>
    <row r="1" spans="1:3" ht="53.25" customHeight="1" x14ac:dyDescent="0.2"/>
    <row r="2" spans="1:3" ht="51" x14ac:dyDescent="0.2">
      <c r="A2" s="110" t="s">
        <v>793</v>
      </c>
      <c r="B2" s="111" t="s">
        <v>794</v>
      </c>
    </row>
    <row r="3" spans="1:3" x14ac:dyDescent="0.2">
      <c r="A3" s="109" t="s">
        <v>795</v>
      </c>
      <c r="B3" s="109" t="str">
        <f>[1]INTRODUCTION!E6</f>
        <v>GBLONTPD111</v>
      </c>
    </row>
    <row r="4" spans="1:3" x14ac:dyDescent="0.2">
      <c r="A4" s="109" t="s">
        <v>796</v>
      </c>
      <c r="B4" s="112" t="s">
        <v>797</v>
      </c>
    </row>
    <row r="5" spans="1:3" x14ac:dyDescent="0.2">
      <c r="A5" s="109" t="s">
        <v>798</v>
      </c>
      <c r="B5" s="112" t="s">
        <v>799</v>
      </c>
    </row>
    <row r="6" spans="1:3" x14ac:dyDescent="0.2">
      <c r="A6" s="109" t="s">
        <v>800</v>
      </c>
      <c r="B6" s="112" t="s">
        <v>801</v>
      </c>
    </row>
    <row r="7" spans="1:3" x14ac:dyDescent="0.2">
      <c r="A7" s="109" t="s">
        <v>802</v>
      </c>
      <c r="B7" s="109" t="s">
        <v>803</v>
      </c>
    </row>
    <row r="8" spans="1:3" x14ac:dyDescent="0.2">
      <c r="A8" s="109" t="s">
        <v>804</v>
      </c>
      <c r="B8" s="109" t="s">
        <v>805</v>
      </c>
    </row>
    <row r="9" spans="1:3" ht="191.25" x14ac:dyDescent="0.2">
      <c r="C9" s="113" t="s">
        <v>794</v>
      </c>
    </row>
    <row r="11" spans="1:3" ht="204" x14ac:dyDescent="0.2">
      <c r="C11" s="113" t="s">
        <v>806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11"/>
  <sheetViews>
    <sheetView workbookViewId="0">
      <selection activeCell="B9" sqref="B9"/>
    </sheetView>
  </sheetViews>
  <sheetFormatPr defaultRowHeight="12.75" x14ac:dyDescent="0.2"/>
  <cols>
    <col min="1" max="1" width="22.6640625" style="109" customWidth="1"/>
    <col min="2" max="2" width="88.83203125" style="109" customWidth="1"/>
    <col min="3" max="3" width="22.83203125" style="109" bestFit="1" customWidth="1"/>
    <col min="4" max="256" width="9.33203125" style="109"/>
    <col min="257" max="257" width="22.6640625" style="109" customWidth="1"/>
    <col min="258" max="258" width="88.83203125" style="109" customWidth="1"/>
    <col min="259" max="259" width="22.83203125" style="109" bestFit="1" customWidth="1"/>
    <col min="260" max="512" width="9.33203125" style="109"/>
    <col min="513" max="513" width="22.6640625" style="109" customWidth="1"/>
    <col min="514" max="514" width="88.83203125" style="109" customWidth="1"/>
    <col min="515" max="515" width="22.83203125" style="109" bestFit="1" customWidth="1"/>
    <col min="516" max="768" width="9.33203125" style="109"/>
    <col min="769" max="769" width="22.6640625" style="109" customWidth="1"/>
    <col min="770" max="770" width="88.83203125" style="109" customWidth="1"/>
    <col min="771" max="771" width="22.83203125" style="109" bestFit="1" customWidth="1"/>
    <col min="772" max="1024" width="9.33203125" style="109"/>
    <col min="1025" max="1025" width="22.6640625" style="109" customWidth="1"/>
    <col min="1026" max="1026" width="88.83203125" style="109" customWidth="1"/>
    <col min="1027" max="1027" width="22.83203125" style="109" bestFit="1" customWidth="1"/>
    <col min="1028" max="1280" width="9.33203125" style="109"/>
    <col min="1281" max="1281" width="22.6640625" style="109" customWidth="1"/>
    <col min="1282" max="1282" width="88.83203125" style="109" customWidth="1"/>
    <col min="1283" max="1283" width="22.83203125" style="109" bestFit="1" customWidth="1"/>
    <col min="1284" max="1536" width="9.33203125" style="109"/>
    <col min="1537" max="1537" width="22.6640625" style="109" customWidth="1"/>
    <col min="1538" max="1538" width="88.83203125" style="109" customWidth="1"/>
    <col min="1539" max="1539" width="22.83203125" style="109" bestFit="1" customWidth="1"/>
    <col min="1540" max="1792" width="9.33203125" style="109"/>
    <col min="1793" max="1793" width="22.6640625" style="109" customWidth="1"/>
    <col min="1794" max="1794" width="88.83203125" style="109" customWidth="1"/>
    <col min="1795" max="1795" width="22.83203125" style="109" bestFit="1" customWidth="1"/>
    <col min="1796" max="2048" width="9.33203125" style="109"/>
    <col min="2049" max="2049" width="22.6640625" style="109" customWidth="1"/>
    <col min="2050" max="2050" width="88.83203125" style="109" customWidth="1"/>
    <col min="2051" max="2051" width="22.83203125" style="109" bestFit="1" customWidth="1"/>
    <col min="2052" max="2304" width="9.33203125" style="109"/>
    <col min="2305" max="2305" width="22.6640625" style="109" customWidth="1"/>
    <col min="2306" max="2306" width="88.83203125" style="109" customWidth="1"/>
    <col min="2307" max="2307" width="22.83203125" style="109" bestFit="1" customWidth="1"/>
    <col min="2308" max="2560" width="9.33203125" style="109"/>
    <col min="2561" max="2561" width="22.6640625" style="109" customWidth="1"/>
    <col min="2562" max="2562" width="88.83203125" style="109" customWidth="1"/>
    <col min="2563" max="2563" width="22.83203125" style="109" bestFit="1" customWidth="1"/>
    <col min="2564" max="2816" width="9.33203125" style="109"/>
    <col min="2817" max="2817" width="22.6640625" style="109" customWidth="1"/>
    <col min="2818" max="2818" width="88.83203125" style="109" customWidth="1"/>
    <col min="2819" max="2819" width="22.83203125" style="109" bestFit="1" customWidth="1"/>
    <col min="2820" max="3072" width="9.33203125" style="109"/>
    <col min="3073" max="3073" width="22.6640625" style="109" customWidth="1"/>
    <col min="3074" max="3074" width="88.83203125" style="109" customWidth="1"/>
    <col min="3075" max="3075" width="22.83203125" style="109" bestFit="1" customWidth="1"/>
    <col min="3076" max="3328" width="9.33203125" style="109"/>
    <col min="3329" max="3329" width="22.6640625" style="109" customWidth="1"/>
    <col min="3330" max="3330" width="88.83203125" style="109" customWidth="1"/>
    <col min="3331" max="3331" width="22.83203125" style="109" bestFit="1" customWidth="1"/>
    <col min="3332" max="3584" width="9.33203125" style="109"/>
    <col min="3585" max="3585" width="22.6640625" style="109" customWidth="1"/>
    <col min="3586" max="3586" width="88.83203125" style="109" customWidth="1"/>
    <col min="3587" max="3587" width="22.83203125" style="109" bestFit="1" customWidth="1"/>
    <col min="3588" max="3840" width="9.33203125" style="109"/>
    <col min="3841" max="3841" width="22.6640625" style="109" customWidth="1"/>
    <col min="3842" max="3842" width="88.83203125" style="109" customWidth="1"/>
    <col min="3843" max="3843" width="22.83203125" style="109" bestFit="1" customWidth="1"/>
    <col min="3844" max="4096" width="9.33203125" style="109"/>
    <col min="4097" max="4097" width="22.6640625" style="109" customWidth="1"/>
    <col min="4098" max="4098" width="88.83203125" style="109" customWidth="1"/>
    <col min="4099" max="4099" width="22.83203125" style="109" bestFit="1" customWidth="1"/>
    <col min="4100" max="4352" width="9.33203125" style="109"/>
    <col min="4353" max="4353" width="22.6640625" style="109" customWidth="1"/>
    <col min="4354" max="4354" width="88.83203125" style="109" customWidth="1"/>
    <col min="4355" max="4355" width="22.83203125" style="109" bestFit="1" customWidth="1"/>
    <col min="4356" max="4608" width="9.33203125" style="109"/>
    <col min="4609" max="4609" width="22.6640625" style="109" customWidth="1"/>
    <col min="4610" max="4610" width="88.83203125" style="109" customWidth="1"/>
    <col min="4611" max="4611" width="22.83203125" style="109" bestFit="1" customWidth="1"/>
    <col min="4612" max="4864" width="9.33203125" style="109"/>
    <col min="4865" max="4865" width="22.6640625" style="109" customWidth="1"/>
    <col min="4866" max="4866" width="88.83203125" style="109" customWidth="1"/>
    <col min="4867" max="4867" width="22.83203125" style="109" bestFit="1" customWidth="1"/>
    <col min="4868" max="5120" width="9.33203125" style="109"/>
    <col min="5121" max="5121" width="22.6640625" style="109" customWidth="1"/>
    <col min="5122" max="5122" width="88.83203125" style="109" customWidth="1"/>
    <col min="5123" max="5123" width="22.83203125" style="109" bestFit="1" customWidth="1"/>
    <col min="5124" max="5376" width="9.33203125" style="109"/>
    <col min="5377" max="5377" width="22.6640625" style="109" customWidth="1"/>
    <col min="5378" max="5378" width="88.83203125" style="109" customWidth="1"/>
    <col min="5379" max="5379" width="22.83203125" style="109" bestFit="1" customWidth="1"/>
    <col min="5380" max="5632" width="9.33203125" style="109"/>
    <col min="5633" max="5633" width="22.6640625" style="109" customWidth="1"/>
    <col min="5634" max="5634" width="88.83203125" style="109" customWidth="1"/>
    <col min="5635" max="5635" width="22.83203125" style="109" bestFit="1" customWidth="1"/>
    <col min="5636" max="5888" width="9.33203125" style="109"/>
    <col min="5889" max="5889" width="22.6640625" style="109" customWidth="1"/>
    <col min="5890" max="5890" width="88.83203125" style="109" customWidth="1"/>
    <col min="5891" max="5891" width="22.83203125" style="109" bestFit="1" customWidth="1"/>
    <col min="5892" max="6144" width="9.33203125" style="109"/>
    <col min="6145" max="6145" width="22.6640625" style="109" customWidth="1"/>
    <col min="6146" max="6146" width="88.83203125" style="109" customWidth="1"/>
    <col min="6147" max="6147" width="22.83203125" style="109" bestFit="1" customWidth="1"/>
    <col min="6148" max="6400" width="9.33203125" style="109"/>
    <col min="6401" max="6401" width="22.6640625" style="109" customWidth="1"/>
    <col min="6402" max="6402" width="88.83203125" style="109" customWidth="1"/>
    <col min="6403" max="6403" width="22.83203125" style="109" bestFit="1" customWidth="1"/>
    <col min="6404" max="6656" width="9.33203125" style="109"/>
    <col min="6657" max="6657" width="22.6640625" style="109" customWidth="1"/>
    <col min="6658" max="6658" width="88.83203125" style="109" customWidth="1"/>
    <col min="6659" max="6659" width="22.83203125" style="109" bestFit="1" customWidth="1"/>
    <col min="6660" max="6912" width="9.33203125" style="109"/>
    <col min="6913" max="6913" width="22.6640625" style="109" customWidth="1"/>
    <col min="6914" max="6914" width="88.83203125" style="109" customWidth="1"/>
    <col min="6915" max="6915" width="22.83203125" style="109" bestFit="1" customWidth="1"/>
    <col min="6916" max="7168" width="9.33203125" style="109"/>
    <col min="7169" max="7169" width="22.6640625" style="109" customWidth="1"/>
    <col min="7170" max="7170" width="88.83203125" style="109" customWidth="1"/>
    <col min="7171" max="7171" width="22.83203125" style="109" bestFit="1" customWidth="1"/>
    <col min="7172" max="7424" width="9.33203125" style="109"/>
    <col min="7425" max="7425" width="22.6640625" style="109" customWidth="1"/>
    <col min="7426" max="7426" width="88.83203125" style="109" customWidth="1"/>
    <col min="7427" max="7427" width="22.83203125" style="109" bestFit="1" customWidth="1"/>
    <col min="7428" max="7680" width="9.33203125" style="109"/>
    <col min="7681" max="7681" width="22.6640625" style="109" customWidth="1"/>
    <col min="7682" max="7682" width="88.83203125" style="109" customWidth="1"/>
    <col min="7683" max="7683" width="22.83203125" style="109" bestFit="1" customWidth="1"/>
    <col min="7684" max="7936" width="9.33203125" style="109"/>
    <col min="7937" max="7937" width="22.6640625" style="109" customWidth="1"/>
    <col min="7938" max="7938" width="88.83203125" style="109" customWidth="1"/>
    <col min="7939" max="7939" width="22.83203125" style="109" bestFit="1" customWidth="1"/>
    <col min="7940" max="8192" width="9.33203125" style="109"/>
    <col min="8193" max="8193" width="22.6640625" style="109" customWidth="1"/>
    <col min="8194" max="8194" width="88.83203125" style="109" customWidth="1"/>
    <col min="8195" max="8195" width="22.83203125" style="109" bestFit="1" customWidth="1"/>
    <col min="8196" max="8448" width="9.33203125" style="109"/>
    <col min="8449" max="8449" width="22.6640625" style="109" customWidth="1"/>
    <col min="8450" max="8450" width="88.83203125" style="109" customWidth="1"/>
    <col min="8451" max="8451" width="22.83203125" style="109" bestFit="1" customWidth="1"/>
    <col min="8452" max="8704" width="9.33203125" style="109"/>
    <col min="8705" max="8705" width="22.6640625" style="109" customWidth="1"/>
    <col min="8706" max="8706" width="88.83203125" style="109" customWidth="1"/>
    <col min="8707" max="8707" width="22.83203125" style="109" bestFit="1" customWidth="1"/>
    <col min="8708" max="8960" width="9.33203125" style="109"/>
    <col min="8961" max="8961" width="22.6640625" style="109" customWidth="1"/>
    <col min="8962" max="8962" width="88.83203125" style="109" customWidth="1"/>
    <col min="8963" max="8963" width="22.83203125" style="109" bestFit="1" customWidth="1"/>
    <col min="8964" max="9216" width="9.33203125" style="109"/>
    <col min="9217" max="9217" width="22.6640625" style="109" customWidth="1"/>
    <col min="9218" max="9218" width="88.83203125" style="109" customWidth="1"/>
    <col min="9219" max="9219" width="22.83203125" style="109" bestFit="1" customWidth="1"/>
    <col min="9220" max="9472" width="9.33203125" style="109"/>
    <col min="9473" max="9473" width="22.6640625" style="109" customWidth="1"/>
    <col min="9474" max="9474" width="88.83203125" style="109" customWidth="1"/>
    <col min="9475" max="9475" width="22.83203125" style="109" bestFit="1" customWidth="1"/>
    <col min="9476" max="9728" width="9.33203125" style="109"/>
    <col min="9729" max="9729" width="22.6640625" style="109" customWidth="1"/>
    <col min="9730" max="9730" width="88.83203125" style="109" customWidth="1"/>
    <col min="9731" max="9731" width="22.83203125" style="109" bestFit="1" customWidth="1"/>
    <col min="9732" max="9984" width="9.33203125" style="109"/>
    <col min="9985" max="9985" width="22.6640625" style="109" customWidth="1"/>
    <col min="9986" max="9986" width="88.83203125" style="109" customWidth="1"/>
    <col min="9987" max="9987" width="22.83203125" style="109" bestFit="1" customWidth="1"/>
    <col min="9988" max="10240" width="9.33203125" style="109"/>
    <col min="10241" max="10241" width="22.6640625" style="109" customWidth="1"/>
    <col min="10242" max="10242" width="88.83203125" style="109" customWidth="1"/>
    <col min="10243" max="10243" width="22.83203125" style="109" bestFit="1" customWidth="1"/>
    <col min="10244" max="10496" width="9.33203125" style="109"/>
    <col min="10497" max="10497" width="22.6640625" style="109" customWidth="1"/>
    <col min="10498" max="10498" width="88.83203125" style="109" customWidth="1"/>
    <col min="10499" max="10499" width="22.83203125" style="109" bestFit="1" customWidth="1"/>
    <col min="10500" max="10752" width="9.33203125" style="109"/>
    <col min="10753" max="10753" width="22.6640625" style="109" customWidth="1"/>
    <col min="10754" max="10754" width="88.83203125" style="109" customWidth="1"/>
    <col min="10755" max="10755" width="22.83203125" style="109" bestFit="1" customWidth="1"/>
    <col min="10756" max="11008" width="9.33203125" style="109"/>
    <col min="11009" max="11009" width="22.6640625" style="109" customWidth="1"/>
    <col min="11010" max="11010" width="88.83203125" style="109" customWidth="1"/>
    <col min="11011" max="11011" width="22.83203125" style="109" bestFit="1" customWidth="1"/>
    <col min="11012" max="11264" width="9.33203125" style="109"/>
    <col min="11265" max="11265" width="22.6640625" style="109" customWidth="1"/>
    <col min="11266" max="11266" width="88.83203125" style="109" customWidth="1"/>
    <col min="11267" max="11267" width="22.83203125" style="109" bestFit="1" customWidth="1"/>
    <col min="11268" max="11520" width="9.33203125" style="109"/>
    <col min="11521" max="11521" width="22.6640625" style="109" customWidth="1"/>
    <col min="11522" max="11522" width="88.83203125" style="109" customWidth="1"/>
    <col min="11523" max="11523" width="22.83203125" style="109" bestFit="1" customWidth="1"/>
    <col min="11524" max="11776" width="9.33203125" style="109"/>
    <col min="11777" max="11777" width="22.6640625" style="109" customWidth="1"/>
    <col min="11778" max="11778" width="88.83203125" style="109" customWidth="1"/>
    <col min="11779" max="11779" width="22.83203125" style="109" bestFit="1" customWidth="1"/>
    <col min="11780" max="12032" width="9.33203125" style="109"/>
    <col min="12033" max="12033" width="22.6640625" style="109" customWidth="1"/>
    <col min="12034" max="12034" width="88.83203125" style="109" customWidth="1"/>
    <col min="12035" max="12035" width="22.83203125" style="109" bestFit="1" customWidth="1"/>
    <col min="12036" max="12288" width="9.33203125" style="109"/>
    <col min="12289" max="12289" width="22.6640625" style="109" customWidth="1"/>
    <col min="12290" max="12290" width="88.83203125" style="109" customWidth="1"/>
    <col min="12291" max="12291" width="22.83203125" style="109" bestFit="1" customWidth="1"/>
    <col min="12292" max="12544" width="9.33203125" style="109"/>
    <col min="12545" max="12545" width="22.6640625" style="109" customWidth="1"/>
    <col min="12546" max="12546" width="88.83203125" style="109" customWidth="1"/>
    <col min="12547" max="12547" width="22.83203125" style="109" bestFit="1" customWidth="1"/>
    <col min="12548" max="12800" width="9.33203125" style="109"/>
    <col min="12801" max="12801" width="22.6640625" style="109" customWidth="1"/>
    <col min="12802" max="12802" width="88.83203125" style="109" customWidth="1"/>
    <col min="12803" max="12803" width="22.83203125" style="109" bestFit="1" customWidth="1"/>
    <col min="12804" max="13056" width="9.33203125" style="109"/>
    <col min="13057" max="13057" width="22.6640625" style="109" customWidth="1"/>
    <col min="13058" max="13058" width="88.83203125" style="109" customWidth="1"/>
    <col min="13059" max="13059" width="22.83203125" style="109" bestFit="1" customWidth="1"/>
    <col min="13060" max="13312" width="9.33203125" style="109"/>
    <col min="13313" max="13313" width="22.6640625" style="109" customWidth="1"/>
    <col min="13314" max="13314" width="88.83203125" style="109" customWidth="1"/>
    <col min="13315" max="13315" width="22.83203125" style="109" bestFit="1" customWidth="1"/>
    <col min="13316" max="13568" width="9.33203125" style="109"/>
    <col min="13569" max="13569" width="22.6640625" style="109" customWidth="1"/>
    <col min="13570" max="13570" width="88.83203125" style="109" customWidth="1"/>
    <col min="13571" max="13571" width="22.83203125" style="109" bestFit="1" customWidth="1"/>
    <col min="13572" max="13824" width="9.33203125" style="109"/>
    <col min="13825" max="13825" width="22.6640625" style="109" customWidth="1"/>
    <col min="13826" max="13826" width="88.83203125" style="109" customWidth="1"/>
    <col min="13827" max="13827" width="22.83203125" style="109" bestFit="1" customWidth="1"/>
    <col min="13828" max="14080" width="9.33203125" style="109"/>
    <col min="14081" max="14081" width="22.6640625" style="109" customWidth="1"/>
    <col min="14082" max="14082" width="88.83203125" style="109" customWidth="1"/>
    <col min="14083" max="14083" width="22.83203125" style="109" bestFit="1" customWidth="1"/>
    <col min="14084" max="14336" width="9.33203125" style="109"/>
    <col min="14337" max="14337" width="22.6640625" style="109" customWidth="1"/>
    <col min="14338" max="14338" width="88.83203125" style="109" customWidth="1"/>
    <col min="14339" max="14339" width="22.83203125" style="109" bestFit="1" customWidth="1"/>
    <col min="14340" max="14592" width="9.33203125" style="109"/>
    <col min="14593" max="14593" width="22.6640625" style="109" customWidth="1"/>
    <col min="14594" max="14594" width="88.83203125" style="109" customWidth="1"/>
    <col min="14595" max="14595" width="22.83203125" style="109" bestFit="1" customWidth="1"/>
    <col min="14596" max="14848" width="9.33203125" style="109"/>
    <col min="14849" max="14849" width="22.6640625" style="109" customWidth="1"/>
    <col min="14850" max="14850" width="88.83203125" style="109" customWidth="1"/>
    <col min="14851" max="14851" width="22.83203125" style="109" bestFit="1" customWidth="1"/>
    <col min="14852" max="15104" width="9.33203125" style="109"/>
    <col min="15105" max="15105" width="22.6640625" style="109" customWidth="1"/>
    <col min="15106" max="15106" width="88.83203125" style="109" customWidth="1"/>
    <col min="15107" max="15107" width="22.83203125" style="109" bestFit="1" customWidth="1"/>
    <col min="15108" max="15360" width="9.33203125" style="109"/>
    <col min="15361" max="15361" width="22.6640625" style="109" customWidth="1"/>
    <col min="15362" max="15362" width="88.83203125" style="109" customWidth="1"/>
    <col min="15363" max="15363" width="22.83203125" style="109" bestFit="1" customWidth="1"/>
    <col min="15364" max="15616" width="9.33203125" style="109"/>
    <col min="15617" max="15617" width="22.6640625" style="109" customWidth="1"/>
    <col min="15618" max="15618" width="88.83203125" style="109" customWidth="1"/>
    <col min="15619" max="15619" width="22.83203125" style="109" bestFit="1" customWidth="1"/>
    <col min="15620" max="15872" width="9.33203125" style="109"/>
    <col min="15873" max="15873" width="22.6640625" style="109" customWidth="1"/>
    <col min="15874" max="15874" width="88.83203125" style="109" customWidth="1"/>
    <col min="15875" max="15875" width="22.83203125" style="109" bestFit="1" customWidth="1"/>
    <col min="15876" max="16128" width="9.33203125" style="109"/>
    <col min="16129" max="16129" width="22.6640625" style="109" customWidth="1"/>
    <col min="16130" max="16130" width="88.83203125" style="109" customWidth="1"/>
    <col min="16131" max="16131" width="22.83203125" style="109" bestFit="1" customWidth="1"/>
    <col min="16132" max="16384" width="9.33203125" style="109"/>
  </cols>
  <sheetData>
    <row r="1" spans="1:3" ht="53.25" customHeight="1" x14ac:dyDescent="0.2"/>
    <row r="2" spans="1:3" ht="76.5" x14ac:dyDescent="0.2">
      <c r="A2" s="110" t="s">
        <v>793</v>
      </c>
      <c r="B2" s="111" t="s">
        <v>821</v>
      </c>
    </row>
    <row r="3" spans="1:3" x14ac:dyDescent="0.2">
      <c r="A3" s="109" t="s">
        <v>795</v>
      </c>
      <c r="B3" s="109" t="str">
        <f>[1]INTRODUCTION!E6</f>
        <v>GBLONTPD111</v>
      </c>
    </row>
    <row r="4" spans="1:3" x14ac:dyDescent="0.2">
      <c r="A4" s="109" t="s">
        <v>796</v>
      </c>
      <c r="B4" s="112" t="str">
        <f>+[1]DTC_Update!B4</f>
        <v>RMS_EDM_QTE_17_01</v>
      </c>
    </row>
    <row r="5" spans="1:3" x14ac:dyDescent="0.2">
      <c r="A5" s="109" t="s">
        <v>798</v>
      </c>
      <c r="B5" s="112" t="s">
        <v>799</v>
      </c>
    </row>
    <row r="6" spans="1:3" x14ac:dyDescent="0.2">
      <c r="A6" s="109" t="s">
        <v>800</v>
      </c>
      <c r="B6" s="112" t="s">
        <v>801</v>
      </c>
    </row>
    <row r="7" spans="1:3" x14ac:dyDescent="0.2">
      <c r="A7" s="109" t="s">
        <v>802</v>
      </c>
      <c r="B7" s="109" t="s">
        <v>826</v>
      </c>
    </row>
    <row r="8" spans="1:3" x14ac:dyDescent="0.2">
      <c r="A8" s="109" t="s">
        <v>804</v>
      </c>
      <c r="B8" s="109" t="s">
        <v>828</v>
      </c>
    </row>
    <row r="9" spans="1:3" ht="14.25" customHeight="1" x14ac:dyDescent="0.2">
      <c r="A9" s="109" t="s">
        <v>822</v>
      </c>
      <c r="B9" s="109" t="str">
        <f>+IF(LEFT(B4,8)="RMS_EDM_","   ","WHERE ACCGRPNAME='DUFF'")</f>
        <v xml:space="preserve">   </v>
      </c>
      <c r="C9" s="113" t="s">
        <v>823</v>
      </c>
    </row>
    <row r="10" spans="1:3" ht="242.25" x14ac:dyDescent="0.2">
      <c r="C10" s="113" t="s">
        <v>824</v>
      </c>
    </row>
    <row r="11" spans="1:3" x14ac:dyDescent="0.2">
      <c r="C11" s="113"/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B9" sqref="B9"/>
    </sheetView>
  </sheetViews>
  <sheetFormatPr defaultRowHeight="12.75" x14ac:dyDescent="0.2"/>
  <cols>
    <col min="1" max="1" width="22.6640625" style="109" customWidth="1"/>
    <col min="2" max="2" width="88.83203125" style="109" customWidth="1"/>
    <col min="3" max="3" width="22.83203125" style="109" bestFit="1" customWidth="1"/>
    <col min="4" max="256" width="9.33203125" style="109"/>
    <col min="257" max="257" width="22.6640625" style="109" customWidth="1"/>
    <col min="258" max="258" width="88.83203125" style="109" customWidth="1"/>
    <col min="259" max="259" width="22.83203125" style="109" bestFit="1" customWidth="1"/>
    <col min="260" max="512" width="9.33203125" style="109"/>
    <col min="513" max="513" width="22.6640625" style="109" customWidth="1"/>
    <col min="514" max="514" width="88.83203125" style="109" customWidth="1"/>
    <col min="515" max="515" width="22.83203125" style="109" bestFit="1" customWidth="1"/>
    <col min="516" max="768" width="9.33203125" style="109"/>
    <col min="769" max="769" width="22.6640625" style="109" customWidth="1"/>
    <col min="770" max="770" width="88.83203125" style="109" customWidth="1"/>
    <col min="771" max="771" width="22.83203125" style="109" bestFit="1" customWidth="1"/>
    <col min="772" max="1024" width="9.33203125" style="109"/>
    <col min="1025" max="1025" width="22.6640625" style="109" customWidth="1"/>
    <col min="1026" max="1026" width="88.83203125" style="109" customWidth="1"/>
    <col min="1027" max="1027" width="22.83203125" style="109" bestFit="1" customWidth="1"/>
    <col min="1028" max="1280" width="9.33203125" style="109"/>
    <col min="1281" max="1281" width="22.6640625" style="109" customWidth="1"/>
    <col min="1282" max="1282" width="88.83203125" style="109" customWidth="1"/>
    <col min="1283" max="1283" width="22.83203125" style="109" bestFit="1" customWidth="1"/>
    <col min="1284" max="1536" width="9.33203125" style="109"/>
    <col min="1537" max="1537" width="22.6640625" style="109" customWidth="1"/>
    <col min="1538" max="1538" width="88.83203125" style="109" customWidth="1"/>
    <col min="1539" max="1539" width="22.83203125" style="109" bestFit="1" customWidth="1"/>
    <col min="1540" max="1792" width="9.33203125" style="109"/>
    <col min="1793" max="1793" width="22.6640625" style="109" customWidth="1"/>
    <col min="1794" max="1794" width="88.83203125" style="109" customWidth="1"/>
    <col min="1795" max="1795" width="22.83203125" style="109" bestFit="1" customWidth="1"/>
    <col min="1796" max="2048" width="9.33203125" style="109"/>
    <col min="2049" max="2049" width="22.6640625" style="109" customWidth="1"/>
    <col min="2050" max="2050" width="88.83203125" style="109" customWidth="1"/>
    <col min="2051" max="2051" width="22.83203125" style="109" bestFit="1" customWidth="1"/>
    <col min="2052" max="2304" width="9.33203125" style="109"/>
    <col min="2305" max="2305" width="22.6640625" style="109" customWidth="1"/>
    <col min="2306" max="2306" width="88.83203125" style="109" customWidth="1"/>
    <col min="2307" max="2307" width="22.83203125" style="109" bestFit="1" customWidth="1"/>
    <col min="2308" max="2560" width="9.33203125" style="109"/>
    <col min="2561" max="2561" width="22.6640625" style="109" customWidth="1"/>
    <col min="2562" max="2562" width="88.83203125" style="109" customWidth="1"/>
    <col min="2563" max="2563" width="22.83203125" style="109" bestFit="1" customWidth="1"/>
    <col min="2564" max="2816" width="9.33203125" style="109"/>
    <col min="2817" max="2817" width="22.6640625" style="109" customWidth="1"/>
    <col min="2818" max="2818" width="88.83203125" style="109" customWidth="1"/>
    <col min="2819" max="2819" width="22.83203125" style="109" bestFit="1" customWidth="1"/>
    <col min="2820" max="3072" width="9.33203125" style="109"/>
    <col min="3073" max="3073" width="22.6640625" style="109" customWidth="1"/>
    <col min="3074" max="3074" width="88.83203125" style="109" customWidth="1"/>
    <col min="3075" max="3075" width="22.83203125" style="109" bestFit="1" customWidth="1"/>
    <col min="3076" max="3328" width="9.33203125" style="109"/>
    <col min="3329" max="3329" width="22.6640625" style="109" customWidth="1"/>
    <col min="3330" max="3330" width="88.83203125" style="109" customWidth="1"/>
    <col min="3331" max="3331" width="22.83203125" style="109" bestFit="1" customWidth="1"/>
    <col min="3332" max="3584" width="9.33203125" style="109"/>
    <col min="3585" max="3585" width="22.6640625" style="109" customWidth="1"/>
    <col min="3586" max="3586" width="88.83203125" style="109" customWidth="1"/>
    <col min="3587" max="3587" width="22.83203125" style="109" bestFit="1" customWidth="1"/>
    <col min="3588" max="3840" width="9.33203125" style="109"/>
    <col min="3841" max="3841" width="22.6640625" style="109" customWidth="1"/>
    <col min="3842" max="3842" width="88.83203125" style="109" customWidth="1"/>
    <col min="3843" max="3843" width="22.83203125" style="109" bestFit="1" customWidth="1"/>
    <col min="3844" max="4096" width="9.33203125" style="109"/>
    <col min="4097" max="4097" width="22.6640625" style="109" customWidth="1"/>
    <col min="4098" max="4098" width="88.83203125" style="109" customWidth="1"/>
    <col min="4099" max="4099" width="22.83203125" style="109" bestFit="1" customWidth="1"/>
    <col min="4100" max="4352" width="9.33203125" style="109"/>
    <col min="4353" max="4353" width="22.6640625" style="109" customWidth="1"/>
    <col min="4354" max="4354" width="88.83203125" style="109" customWidth="1"/>
    <col min="4355" max="4355" width="22.83203125" style="109" bestFit="1" customWidth="1"/>
    <col min="4356" max="4608" width="9.33203125" style="109"/>
    <col min="4609" max="4609" width="22.6640625" style="109" customWidth="1"/>
    <col min="4610" max="4610" width="88.83203125" style="109" customWidth="1"/>
    <col min="4611" max="4611" width="22.83203125" style="109" bestFit="1" customWidth="1"/>
    <col min="4612" max="4864" width="9.33203125" style="109"/>
    <col min="4865" max="4865" width="22.6640625" style="109" customWidth="1"/>
    <col min="4866" max="4866" width="88.83203125" style="109" customWidth="1"/>
    <col min="4867" max="4867" width="22.83203125" style="109" bestFit="1" customWidth="1"/>
    <col min="4868" max="5120" width="9.33203125" style="109"/>
    <col min="5121" max="5121" width="22.6640625" style="109" customWidth="1"/>
    <col min="5122" max="5122" width="88.83203125" style="109" customWidth="1"/>
    <col min="5123" max="5123" width="22.83203125" style="109" bestFit="1" customWidth="1"/>
    <col min="5124" max="5376" width="9.33203125" style="109"/>
    <col min="5377" max="5377" width="22.6640625" style="109" customWidth="1"/>
    <col min="5378" max="5378" width="88.83203125" style="109" customWidth="1"/>
    <col min="5379" max="5379" width="22.83203125" style="109" bestFit="1" customWidth="1"/>
    <col min="5380" max="5632" width="9.33203125" style="109"/>
    <col min="5633" max="5633" width="22.6640625" style="109" customWidth="1"/>
    <col min="5634" max="5634" width="88.83203125" style="109" customWidth="1"/>
    <col min="5635" max="5635" width="22.83203125" style="109" bestFit="1" customWidth="1"/>
    <col min="5636" max="5888" width="9.33203125" style="109"/>
    <col min="5889" max="5889" width="22.6640625" style="109" customWidth="1"/>
    <col min="5890" max="5890" width="88.83203125" style="109" customWidth="1"/>
    <col min="5891" max="5891" width="22.83203125" style="109" bestFit="1" customWidth="1"/>
    <col min="5892" max="6144" width="9.33203125" style="109"/>
    <col min="6145" max="6145" width="22.6640625" style="109" customWidth="1"/>
    <col min="6146" max="6146" width="88.83203125" style="109" customWidth="1"/>
    <col min="6147" max="6147" width="22.83203125" style="109" bestFit="1" customWidth="1"/>
    <col min="6148" max="6400" width="9.33203125" style="109"/>
    <col min="6401" max="6401" width="22.6640625" style="109" customWidth="1"/>
    <col min="6402" max="6402" width="88.83203125" style="109" customWidth="1"/>
    <col min="6403" max="6403" width="22.83203125" style="109" bestFit="1" customWidth="1"/>
    <col min="6404" max="6656" width="9.33203125" style="109"/>
    <col min="6657" max="6657" width="22.6640625" style="109" customWidth="1"/>
    <col min="6658" max="6658" width="88.83203125" style="109" customWidth="1"/>
    <col min="6659" max="6659" width="22.83203125" style="109" bestFit="1" customWidth="1"/>
    <col min="6660" max="6912" width="9.33203125" style="109"/>
    <col min="6913" max="6913" width="22.6640625" style="109" customWidth="1"/>
    <col min="6914" max="6914" width="88.83203125" style="109" customWidth="1"/>
    <col min="6915" max="6915" width="22.83203125" style="109" bestFit="1" customWidth="1"/>
    <col min="6916" max="7168" width="9.33203125" style="109"/>
    <col min="7169" max="7169" width="22.6640625" style="109" customWidth="1"/>
    <col min="7170" max="7170" width="88.83203125" style="109" customWidth="1"/>
    <col min="7171" max="7171" width="22.83203125" style="109" bestFit="1" customWidth="1"/>
    <col min="7172" max="7424" width="9.33203125" style="109"/>
    <col min="7425" max="7425" width="22.6640625" style="109" customWidth="1"/>
    <col min="7426" max="7426" width="88.83203125" style="109" customWidth="1"/>
    <col min="7427" max="7427" width="22.83203125" style="109" bestFit="1" customWidth="1"/>
    <col min="7428" max="7680" width="9.33203125" style="109"/>
    <col min="7681" max="7681" width="22.6640625" style="109" customWidth="1"/>
    <col min="7682" max="7682" width="88.83203125" style="109" customWidth="1"/>
    <col min="7683" max="7683" width="22.83203125" style="109" bestFit="1" customWidth="1"/>
    <col min="7684" max="7936" width="9.33203125" style="109"/>
    <col min="7937" max="7937" width="22.6640625" style="109" customWidth="1"/>
    <col min="7938" max="7938" width="88.83203125" style="109" customWidth="1"/>
    <col min="7939" max="7939" width="22.83203125" style="109" bestFit="1" customWidth="1"/>
    <col min="7940" max="8192" width="9.33203125" style="109"/>
    <col min="8193" max="8193" width="22.6640625" style="109" customWidth="1"/>
    <col min="8194" max="8194" width="88.83203125" style="109" customWidth="1"/>
    <col min="8195" max="8195" width="22.83203125" style="109" bestFit="1" customWidth="1"/>
    <col min="8196" max="8448" width="9.33203125" style="109"/>
    <col min="8449" max="8449" width="22.6640625" style="109" customWidth="1"/>
    <col min="8450" max="8450" width="88.83203125" style="109" customWidth="1"/>
    <col min="8451" max="8451" width="22.83203125" style="109" bestFit="1" customWidth="1"/>
    <col min="8452" max="8704" width="9.33203125" style="109"/>
    <col min="8705" max="8705" width="22.6640625" style="109" customWidth="1"/>
    <col min="8706" max="8706" width="88.83203125" style="109" customWidth="1"/>
    <col min="8707" max="8707" width="22.83203125" style="109" bestFit="1" customWidth="1"/>
    <col min="8708" max="8960" width="9.33203125" style="109"/>
    <col min="8961" max="8961" width="22.6640625" style="109" customWidth="1"/>
    <col min="8962" max="8962" width="88.83203125" style="109" customWidth="1"/>
    <col min="8963" max="8963" width="22.83203125" style="109" bestFit="1" customWidth="1"/>
    <col min="8964" max="9216" width="9.33203125" style="109"/>
    <col min="9217" max="9217" width="22.6640625" style="109" customWidth="1"/>
    <col min="9218" max="9218" width="88.83203125" style="109" customWidth="1"/>
    <col min="9219" max="9219" width="22.83203125" style="109" bestFit="1" customWidth="1"/>
    <col min="9220" max="9472" width="9.33203125" style="109"/>
    <col min="9473" max="9473" width="22.6640625" style="109" customWidth="1"/>
    <col min="9474" max="9474" width="88.83203125" style="109" customWidth="1"/>
    <col min="9475" max="9475" width="22.83203125" style="109" bestFit="1" customWidth="1"/>
    <col min="9476" max="9728" width="9.33203125" style="109"/>
    <col min="9729" max="9729" width="22.6640625" style="109" customWidth="1"/>
    <col min="9730" max="9730" width="88.83203125" style="109" customWidth="1"/>
    <col min="9731" max="9731" width="22.83203125" style="109" bestFit="1" customWidth="1"/>
    <col min="9732" max="9984" width="9.33203125" style="109"/>
    <col min="9985" max="9985" width="22.6640625" style="109" customWidth="1"/>
    <col min="9986" max="9986" width="88.83203125" style="109" customWidth="1"/>
    <col min="9987" max="9987" width="22.83203125" style="109" bestFit="1" customWidth="1"/>
    <col min="9988" max="10240" width="9.33203125" style="109"/>
    <col min="10241" max="10241" width="22.6640625" style="109" customWidth="1"/>
    <col min="10242" max="10242" width="88.83203125" style="109" customWidth="1"/>
    <col min="10243" max="10243" width="22.83203125" style="109" bestFit="1" customWidth="1"/>
    <col min="10244" max="10496" width="9.33203125" style="109"/>
    <col min="10497" max="10497" width="22.6640625" style="109" customWidth="1"/>
    <col min="10498" max="10498" width="88.83203125" style="109" customWidth="1"/>
    <col min="10499" max="10499" width="22.83203125" style="109" bestFit="1" customWidth="1"/>
    <col min="10500" max="10752" width="9.33203125" style="109"/>
    <col min="10753" max="10753" width="22.6640625" style="109" customWidth="1"/>
    <col min="10754" max="10754" width="88.83203125" style="109" customWidth="1"/>
    <col min="10755" max="10755" width="22.83203125" style="109" bestFit="1" customWidth="1"/>
    <col min="10756" max="11008" width="9.33203125" style="109"/>
    <col min="11009" max="11009" width="22.6640625" style="109" customWidth="1"/>
    <col min="11010" max="11010" width="88.83203125" style="109" customWidth="1"/>
    <col min="11011" max="11011" width="22.83203125" style="109" bestFit="1" customWidth="1"/>
    <col min="11012" max="11264" width="9.33203125" style="109"/>
    <col min="11265" max="11265" width="22.6640625" style="109" customWidth="1"/>
    <col min="11266" max="11266" width="88.83203125" style="109" customWidth="1"/>
    <col min="11267" max="11267" width="22.83203125" style="109" bestFit="1" customWidth="1"/>
    <col min="11268" max="11520" width="9.33203125" style="109"/>
    <col min="11521" max="11521" width="22.6640625" style="109" customWidth="1"/>
    <col min="11522" max="11522" width="88.83203125" style="109" customWidth="1"/>
    <col min="11523" max="11523" width="22.83203125" style="109" bestFit="1" customWidth="1"/>
    <col min="11524" max="11776" width="9.33203125" style="109"/>
    <col min="11777" max="11777" width="22.6640625" style="109" customWidth="1"/>
    <col min="11778" max="11778" width="88.83203125" style="109" customWidth="1"/>
    <col min="11779" max="11779" width="22.83203125" style="109" bestFit="1" customWidth="1"/>
    <col min="11780" max="12032" width="9.33203125" style="109"/>
    <col min="12033" max="12033" width="22.6640625" style="109" customWidth="1"/>
    <col min="12034" max="12034" width="88.83203125" style="109" customWidth="1"/>
    <col min="12035" max="12035" width="22.83203125" style="109" bestFit="1" customWidth="1"/>
    <col min="12036" max="12288" width="9.33203125" style="109"/>
    <col min="12289" max="12289" width="22.6640625" style="109" customWidth="1"/>
    <col min="12290" max="12290" width="88.83203125" style="109" customWidth="1"/>
    <col min="12291" max="12291" width="22.83203125" style="109" bestFit="1" customWidth="1"/>
    <col min="12292" max="12544" width="9.33203125" style="109"/>
    <col min="12545" max="12545" width="22.6640625" style="109" customWidth="1"/>
    <col min="12546" max="12546" width="88.83203125" style="109" customWidth="1"/>
    <col min="12547" max="12547" width="22.83203125" style="109" bestFit="1" customWidth="1"/>
    <col min="12548" max="12800" width="9.33203125" style="109"/>
    <col min="12801" max="12801" width="22.6640625" style="109" customWidth="1"/>
    <col min="12802" max="12802" width="88.83203125" style="109" customWidth="1"/>
    <col min="12803" max="12803" width="22.83203125" style="109" bestFit="1" customWidth="1"/>
    <col min="12804" max="13056" width="9.33203125" style="109"/>
    <col min="13057" max="13057" width="22.6640625" style="109" customWidth="1"/>
    <col min="13058" max="13058" width="88.83203125" style="109" customWidth="1"/>
    <col min="13059" max="13059" width="22.83203125" style="109" bestFit="1" customWidth="1"/>
    <col min="13060" max="13312" width="9.33203125" style="109"/>
    <col min="13313" max="13313" width="22.6640625" style="109" customWidth="1"/>
    <col min="13314" max="13314" width="88.83203125" style="109" customWidth="1"/>
    <col min="13315" max="13315" width="22.83203125" style="109" bestFit="1" customWidth="1"/>
    <col min="13316" max="13568" width="9.33203125" style="109"/>
    <col min="13569" max="13569" width="22.6640625" style="109" customWidth="1"/>
    <col min="13570" max="13570" width="88.83203125" style="109" customWidth="1"/>
    <col min="13571" max="13571" width="22.83203125" style="109" bestFit="1" customWidth="1"/>
    <col min="13572" max="13824" width="9.33203125" style="109"/>
    <col min="13825" max="13825" width="22.6640625" style="109" customWidth="1"/>
    <col min="13826" max="13826" width="88.83203125" style="109" customWidth="1"/>
    <col min="13827" max="13827" width="22.83203125" style="109" bestFit="1" customWidth="1"/>
    <col min="13828" max="14080" width="9.33203125" style="109"/>
    <col min="14081" max="14081" width="22.6640625" style="109" customWidth="1"/>
    <col min="14082" max="14082" width="88.83203125" style="109" customWidth="1"/>
    <col min="14083" max="14083" width="22.83203125" style="109" bestFit="1" customWidth="1"/>
    <col min="14084" max="14336" width="9.33203125" style="109"/>
    <col min="14337" max="14337" width="22.6640625" style="109" customWidth="1"/>
    <col min="14338" max="14338" width="88.83203125" style="109" customWidth="1"/>
    <col min="14339" max="14339" width="22.83203125" style="109" bestFit="1" customWidth="1"/>
    <col min="14340" max="14592" width="9.33203125" style="109"/>
    <col min="14593" max="14593" width="22.6640625" style="109" customWidth="1"/>
    <col min="14594" max="14594" width="88.83203125" style="109" customWidth="1"/>
    <col min="14595" max="14595" width="22.83203125" style="109" bestFit="1" customWidth="1"/>
    <col min="14596" max="14848" width="9.33203125" style="109"/>
    <col min="14849" max="14849" width="22.6640625" style="109" customWidth="1"/>
    <col min="14850" max="14850" width="88.83203125" style="109" customWidth="1"/>
    <col min="14851" max="14851" width="22.83203125" style="109" bestFit="1" customWidth="1"/>
    <col min="14852" max="15104" width="9.33203125" style="109"/>
    <col min="15105" max="15105" width="22.6640625" style="109" customWidth="1"/>
    <col min="15106" max="15106" width="88.83203125" style="109" customWidth="1"/>
    <col min="15107" max="15107" width="22.83203125" style="109" bestFit="1" customWidth="1"/>
    <col min="15108" max="15360" width="9.33203125" style="109"/>
    <col min="15361" max="15361" width="22.6640625" style="109" customWidth="1"/>
    <col min="15362" max="15362" width="88.83203125" style="109" customWidth="1"/>
    <col min="15363" max="15363" width="22.83203125" style="109" bestFit="1" customWidth="1"/>
    <col min="15364" max="15616" width="9.33203125" style="109"/>
    <col min="15617" max="15617" width="22.6640625" style="109" customWidth="1"/>
    <col min="15618" max="15618" width="88.83203125" style="109" customWidth="1"/>
    <col min="15619" max="15619" width="22.83203125" style="109" bestFit="1" customWidth="1"/>
    <col min="15620" max="15872" width="9.33203125" style="109"/>
    <col min="15873" max="15873" width="22.6640625" style="109" customWidth="1"/>
    <col min="15874" max="15874" width="88.83203125" style="109" customWidth="1"/>
    <col min="15875" max="15875" width="22.83203125" style="109" bestFit="1" customWidth="1"/>
    <col min="15876" max="16128" width="9.33203125" style="109"/>
    <col min="16129" max="16129" width="22.6640625" style="109" customWidth="1"/>
    <col min="16130" max="16130" width="88.83203125" style="109" customWidth="1"/>
    <col min="16131" max="16131" width="22.83203125" style="109" bestFit="1" customWidth="1"/>
    <col min="16132" max="16384" width="9.33203125" style="109"/>
  </cols>
  <sheetData>
    <row r="1" spans="1:3" ht="53.25" customHeight="1" x14ac:dyDescent="0.2"/>
    <row r="2" spans="1:3" ht="51" x14ac:dyDescent="0.2">
      <c r="A2" s="110" t="s">
        <v>793</v>
      </c>
      <c r="B2" s="111" t="s">
        <v>794</v>
      </c>
    </row>
    <row r="3" spans="1:3" x14ac:dyDescent="0.2">
      <c r="A3" s="109" t="s">
        <v>795</v>
      </c>
      <c r="B3" s="109" t="str">
        <f>[1]INTRODUCTION!E6</f>
        <v>GBLONTPD111</v>
      </c>
    </row>
    <row r="4" spans="1:3" x14ac:dyDescent="0.2">
      <c r="A4" s="109" t="s">
        <v>796</v>
      </c>
      <c r="B4" s="112" t="s">
        <v>797</v>
      </c>
    </row>
    <row r="5" spans="1:3" x14ac:dyDescent="0.2">
      <c r="A5" s="109" t="s">
        <v>798</v>
      </c>
      <c r="B5" s="112" t="s">
        <v>799</v>
      </c>
    </row>
    <row r="6" spans="1:3" x14ac:dyDescent="0.2">
      <c r="A6" s="109" t="s">
        <v>800</v>
      </c>
      <c r="B6" s="112" t="s">
        <v>801</v>
      </c>
    </row>
    <row r="7" spans="1:3" x14ac:dyDescent="0.2">
      <c r="A7" s="109" t="s">
        <v>802</v>
      </c>
      <c r="B7" s="109" t="s">
        <v>826</v>
      </c>
    </row>
    <row r="8" spans="1:3" x14ac:dyDescent="0.2">
      <c r="A8" s="109" t="s">
        <v>804</v>
      </c>
      <c r="B8" s="109" t="s">
        <v>827</v>
      </c>
    </row>
    <row r="9" spans="1:3" ht="191.25" x14ac:dyDescent="0.2">
      <c r="C9" s="113" t="s">
        <v>794</v>
      </c>
    </row>
    <row r="11" spans="1:3" ht="204" x14ac:dyDescent="0.2">
      <c r="C11" s="113" t="s">
        <v>806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48</vt:i4>
      </vt:variant>
    </vt:vector>
  </HeadingPairs>
  <TitlesOfParts>
    <vt:vector size="64" baseType="lpstr">
      <vt:lpstr>Quote Info</vt:lpstr>
      <vt:lpstr>Account Link</vt:lpstr>
      <vt:lpstr>Fire Locations</vt:lpstr>
      <vt:lpstr>Base Rating</vt:lpstr>
      <vt:lpstr>Locations Summary</vt:lpstr>
      <vt:lpstr>Experience Rating</vt:lpstr>
      <vt:lpstr>Pricing Summary</vt:lpstr>
      <vt:lpstr>Final Terms</vt:lpstr>
      <vt:lpstr>Wind Seasons</vt:lpstr>
      <vt:lpstr>values</vt:lpstr>
      <vt:lpstr>map_code</vt:lpstr>
      <vt:lpstr>dq_code</vt:lpstr>
      <vt:lpstr>curves</vt:lpstr>
      <vt:lpstr>data_update</vt:lpstr>
      <vt:lpstr>AccGrpNameUPDATE</vt:lpstr>
      <vt:lpstr>DataUPDATE</vt:lpstr>
      <vt:lpstr>accounts</vt:lpstr>
      <vt:lpstr>assured</vt:lpstr>
      <vt:lpstr>br_lr</vt:lpstr>
      <vt:lpstr>currencies</vt:lpstr>
      <vt:lpstr>currency</vt:lpstr>
      <vt:lpstr>curve_names</vt:lpstr>
      <vt:lpstr>curves</vt:lpstr>
      <vt:lpstr>'Quote Info'!Data_for_EDM</vt:lpstr>
      <vt:lpstr>data_quality_labels</vt:lpstr>
      <vt:lpstr>dq_construction</vt:lpstr>
      <vt:lpstr>dq_geocoding</vt:lpstr>
      <vt:lpstr>dq_gocoding</vt:lpstr>
      <vt:lpstr>dq_ns</vt:lpstr>
      <vt:lpstr>dq_occupancy</vt:lpstr>
      <vt:lpstr>dq_sm</vt:lpstr>
      <vt:lpstr>dq_yb</vt:lpstr>
      <vt:lpstr>edm_names</vt:lpstr>
      <vt:lpstr>edm_selection</vt:lpstr>
      <vt:lpstr>exp_total_cycles</vt:lpstr>
      <vt:lpstr>expiry</vt:lpstr>
      <vt:lpstr>faraday_lead</vt:lpstr>
      <vt:lpstr>inception</vt:lpstr>
      <vt:lpstr>is_renewal</vt:lpstr>
      <vt:lpstr>liab_experience</vt:lpstr>
      <vt:lpstr>ls_count_not_mapped</vt:lpstr>
      <vt:lpstr>ls_value_not_mapped</vt:lpstr>
      <vt:lpstr>map_address</vt:lpstr>
      <vt:lpstr>map_level</vt:lpstr>
      <vt:lpstr>map_progress</vt:lpstr>
      <vt:lpstr>'Experience Rating'!Print_Area</vt:lpstr>
      <vt:lpstr>'Locations Summary'!Print_Area</vt:lpstr>
      <vt:lpstr>'Wind Seasons'!Print_Area</vt:lpstr>
      <vt:lpstr>qi_broker_contact</vt:lpstr>
      <vt:lpstr>qi_broker_pseud</vt:lpstr>
      <vt:lpstr>rms_account</vt:lpstr>
      <vt:lpstr>rms_edm</vt:lpstr>
      <vt:lpstr>rms_password</vt:lpstr>
      <vt:lpstr>rms_rdm</vt:lpstr>
      <vt:lpstr>rms_server</vt:lpstr>
      <vt:lpstr>rms_user</vt:lpstr>
      <vt:lpstr>Server_List</vt:lpstr>
      <vt:lpstr>team</vt:lpstr>
      <vt:lpstr>tiv</vt:lpstr>
      <vt:lpstr>uw</vt:lpstr>
      <vt:lpstr>v_cat_model</vt:lpstr>
      <vt:lpstr>v_curves</vt:lpstr>
      <vt:lpstr>v_fire</vt:lpstr>
      <vt:lpstr>yoa</vt:lpstr>
    </vt:vector>
  </TitlesOfParts>
  <Company>GenRe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Johnathan McCabe</dc:creator>
  <cp:lastModifiedBy>Johnathan McCabe</cp:lastModifiedBy>
  <cp:lastPrinted>2017-01-27T11:57:08Z</cp:lastPrinted>
  <dcterms:created xsi:type="dcterms:W3CDTF">2017-01-26T14:29:02Z</dcterms:created>
  <dcterms:modified xsi:type="dcterms:W3CDTF">2017-02-03T15:12:39Z</dcterms:modified>
</cp:coreProperties>
</file>
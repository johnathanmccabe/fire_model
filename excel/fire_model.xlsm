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6270" windowHeight="6435" tabRatio="876" activeTab="1"/>
  </bookViews>
  <sheets>
    <sheet name="Account Link" sheetId="9" r:id="rId1"/>
    <sheet name="Quote Info" sheetId="1" r:id="rId2"/>
    <sheet name="Layers" sheetId="3" state="hidden" r:id="rId3"/>
    <sheet name="Assumptions Overview" sheetId="6" state="hidden" r:id="rId4"/>
    <sheet name="Base Rating" sheetId="8" r:id="rId5"/>
    <sheet name="Fire Locations" sheetId="2" r:id="rId6"/>
    <sheet name="Locations Summary" sheetId="12" r:id="rId7"/>
    <sheet name="Experience Rating" sheetId="7" r:id="rId8"/>
    <sheet name="Pricing Summary" sheetId="4" r:id="rId9"/>
    <sheet name="Final Terms" sheetId="10" r:id="rId10"/>
    <sheet name="Wind Seasons" sheetId="14" r:id="rId11"/>
    <sheet name="values" sheetId="5" r:id="rId12"/>
    <sheet name="map_code" sheetId="13" r:id="rId13"/>
    <sheet name="dq_code" sheetId="15" r:id="rId1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ssured">'Quote Info'!$C$4</definedName>
    <definedName name="data_quality_labels">values!$D$2:$D$5</definedName>
    <definedName name="dq_construction">'Pricing Summary'!$M$6</definedName>
    <definedName name="dq_geocoding">'Pricing Summary'!$M$4</definedName>
    <definedName name="dq_gocoding">'Pricing Summary'!$M$4</definedName>
    <definedName name="dq_ns">'Pricing Summary'!$M$8</definedName>
    <definedName name="dq_occupancy">'Pricing Summary'!$M$5</definedName>
    <definedName name="dq_sm">'Pricing Summary'!$M$9</definedName>
    <definedName name="dq_yb">'Pricing Summary'!$M$7</definedName>
    <definedName name="exp_total_cycles">'Experience Rating'!$H$20</definedName>
    <definedName name="expiry">'Quote Info'!$C$14</definedName>
    <definedName name="faraday_lead">'Quote Info'!$C$17</definedName>
    <definedName name="hull_experience">'Experience Rating'!$D$25</definedName>
    <definedName name="inception">'Quote Info'!$C$13</definedName>
    <definedName name="is_renewal">'Quote Info'!$C$18</definedName>
    <definedName name="liab_experience">'Experience Rating'!$E$25</definedName>
    <definedName name="ls_count_not_mapped">'Locations Summary'!$C$9</definedName>
    <definedName name="ls_value_not_mapped">'Locations Summary'!$C$10</definedName>
    <definedName name="map_address">'Locations Summary'!$C$12</definedName>
    <definedName name="map_level">'Locations Summary'!$C$7</definedName>
    <definedName name="map_progress">'Locations Summary'!$C$8</definedName>
    <definedName name="Pal_Workbook_GUID" hidden="1">"LCB5ZPC7BPK83P3WM6CQP4FI"</definedName>
    <definedName name="prev_sequel_id">'Quote Info'!$C$7</definedName>
    <definedName name="_xlnm.Print_Area" localSheetId="7">'Experience Rating'!$A$1:$I$28</definedName>
    <definedName name="_xlnm.Print_Area" localSheetId="6">'Locations Summary'!$A$1:$I$43</definedName>
    <definedName name="_xlnm.Print_Area" localSheetId="10">'Wind Seasons'!$A$1:$P$42</definedName>
    <definedName name="qi_broker_contact">'Quote Info'!$C$11</definedName>
    <definedName name="qi_broker_pseud">'Quote Info'!$C$10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quel_id">'Quote Info'!$C$6</definedName>
    <definedName name="team">'Quote Info'!$C$5</definedName>
    <definedName name="uw">'Quote Info'!$C$9</definedName>
    <definedName name="v_cat_model">values!$B$2:$B$3</definedName>
    <definedName name="v_curves">values!$A$2:$A$4</definedName>
    <definedName name="v_fire">values!$C$2:$C$4</definedName>
    <definedName name="yoa">'Quote Info'!$C$15</definedName>
  </definedNames>
  <calcPr calcId="145621"/>
</workbook>
</file>

<file path=xl/calcChain.xml><?xml version="1.0" encoding="utf-8"?>
<calcChain xmlns="http://schemas.openxmlformats.org/spreadsheetml/2006/main">
  <c r="A5" i="13" l="1"/>
  <c r="E12" i="14"/>
  <c r="F12" i="14"/>
  <c r="G12" i="14"/>
  <c r="H12" i="14"/>
  <c r="I12" i="14"/>
  <c r="J12" i="14"/>
  <c r="K12" i="14"/>
  <c r="L12" i="14"/>
  <c r="M12" i="14"/>
  <c r="N12" i="14"/>
  <c r="O12" i="14"/>
  <c r="D12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A1" i="15"/>
  <c r="C5" i="12" l="1"/>
  <c r="C4" i="12"/>
  <c r="C3" i="12"/>
  <c r="A22" i="13"/>
  <c r="A2" i="13"/>
  <c r="D5" i="4" l="1"/>
  <c r="D6" i="4"/>
  <c r="D4" i="4"/>
  <c r="H8" i="4"/>
  <c r="H7" i="4"/>
  <c r="H6" i="4"/>
  <c r="H9" i="4" s="1"/>
  <c r="H4" i="4"/>
  <c r="H5" i="4" s="1"/>
  <c r="D22" i="7"/>
  <c r="D21" i="7"/>
  <c r="D20" i="7"/>
  <c r="H21" i="7" l="1"/>
  <c r="H22" i="7"/>
  <c r="H20" i="7"/>
  <c r="E25" i="7" l="1"/>
  <c r="C15" i="1" l="1"/>
  <c r="B18" i="7" s="1"/>
  <c r="G18" i="7" l="1"/>
  <c r="B17" i="7"/>
  <c r="G17" i="7" l="1"/>
  <c r="B16" i="7"/>
  <c r="G16" i="7" l="1"/>
  <c r="B15" i="7"/>
  <c r="G15" i="7" l="1"/>
  <c r="B14" i="7"/>
  <c r="G14" i="7" l="1"/>
  <c r="D25" i="7" s="1"/>
  <c r="D26" i="7" s="1"/>
  <c r="B13" i="7"/>
  <c r="G13" i="7" l="1"/>
  <c r="B12" i="7"/>
  <c r="G12" i="7" l="1"/>
  <c r="B11" i="7"/>
  <c r="G11" i="7" l="1"/>
  <c r="B10" i="7"/>
  <c r="G10" i="7" l="1"/>
  <c r="B9" i="7"/>
  <c r="G9" i="7" s="1"/>
</calcChain>
</file>

<file path=xl/comments1.xml><?xml version="1.0" encoding="utf-8"?>
<comments xmlns="http://schemas.openxmlformats.org/spreadsheetml/2006/main">
  <authors>
    <author>Bingyan Hong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Bingyan Hong:</t>
        </r>
        <r>
          <rPr>
            <sz val="9"/>
            <color indexed="81"/>
            <rFont val="Tahoma"/>
            <family val="2"/>
          </rPr>
          <t xml:space="preserve">
May need review
</t>
        </r>
      </text>
    </comment>
  </commentList>
</comments>
</file>

<file path=xl/sharedStrings.xml><?xml version="1.0" encoding="utf-8"?>
<sst xmlns="http://schemas.openxmlformats.org/spreadsheetml/2006/main" count="1702" uniqueCount="352">
  <si>
    <t>Assured</t>
  </si>
  <si>
    <t>Team</t>
  </si>
  <si>
    <t>Underwriter</t>
  </si>
  <si>
    <t>Broker Pseudonym</t>
  </si>
  <si>
    <t>Broker Contact</t>
  </si>
  <si>
    <t>YoA</t>
  </si>
  <si>
    <t>Inception Date</t>
  </si>
  <si>
    <t>Faraday Lead</t>
  </si>
  <si>
    <t>Renewal</t>
  </si>
  <si>
    <t>Layer Information</t>
  </si>
  <si>
    <t>Limit</t>
  </si>
  <si>
    <t>Excess</t>
  </si>
  <si>
    <t>Quote Information</t>
  </si>
  <si>
    <t>Locnum</t>
  </si>
  <si>
    <t>Locname</t>
  </si>
  <si>
    <t>Addressnum</t>
  </si>
  <si>
    <t>Streetname</t>
  </si>
  <si>
    <t>Zipcode</t>
  </si>
  <si>
    <t>State</t>
  </si>
  <si>
    <t>City</t>
  </si>
  <si>
    <t>County</t>
  </si>
  <si>
    <t>Country</t>
  </si>
  <si>
    <t>RmsBuildingClass</t>
  </si>
  <si>
    <t>RmsBuildingClassDesc</t>
  </si>
  <si>
    <t>IsoFireBuildingClass</t>
  </si>
  <si>
    <t>IsoFireBuildingClassDesc</t>
  </si>
  <si>
    <t>AtcOccupancy</t>
  </si>
  <si>
    <t>AtcOccupancyDesc</t>
  </si>
  <si>
    <t>NumberOfBuildings</t>
  </si>
  <si>
    <t>NumberOfStories</t>
  </si>
  <si>
    <t>SqFootArea</t>
  </si>
  <si>
    <t>Yearbuilt</t>
  </si>
  <si>
    <t>BuildingsValue</t>
  </si>
  <si>
    <t>BuildingsRate</t>
  </si>
  <si>
    <t>ContentsValue</t>
  </si>
  <si>
    <t>ContentsRate</t>
  </si>
  <si>
    <t>BiValue</t>
  </si>
  <si>
    <t>BiRate</t>
  </si>
  <si>
    <t>Currency</t>
  </si>
  <si>
    <t>Tiv</t>
  </si>
  <si>
    <t>Pc</t>
  </si>
  <si>
    <t>Sprinklered</t>
  </si>
  <si>
    <t>RatedValue</t>
  </si>
  <si>
    <t>UnratedValue</t>
  </si>
  <si>
    <t>PureLossCost</t>
  </si>
  <si>
    <t>CreditDebit</t>
  </si>
  <si>
    <t>AdjustedLossCost</t>
  </si>
  <si>
    <t>PuretechnicalRate</t>
  </si>
  <si>
    <t>AdjustedTechnicalRate</t>
  </si>
  <si>
    <t>US</t>
  </si>
  <si>
    <t>3 - REINFORCED CONCRETE</t>
  </si>
  <si>
    <t>5 - Modified Fire Resistive</t>
  </si>
  <si>
    <t>USD</t>
  </si>
  <si>
    <t>N</t>
  </si>
  <si>
    <t>Curve</t>
  </si>
  <si>
    <t>Primary 1</t>
  </si>
  <si>
    <t>Flat 1</t>
  </si>
  <si>
    <t>Primary 2</t>
  </si>
  <si>
    <t>Curves</t>
  </si>
  <si>
    <t>Occupancy</t>
  </si>
  <si>
    <t>ATC Code</t>
  </si>
  <si>
    <t>ATC Description</t>
  </si>
  <si>
    <t>Curve Name</t>
  </si>
  <si>
    <t>Permanent Dwelling (single family housing)</t>
  </si>
  <si>
    <t>Entertainment and Recreation</t>
  </si>
  <si>
    <t>Parking</t>
  </si>
  <si>
    <t>Heavy Fabrication and Assembly</t>
  </si>
  <si>
    <t>Light Fabrication and Assembly</t>
  </si>
  <si>
    <t>Food and Drugs Processing</t>
  </si>
  <si>
    <t>Chemicals Processing</t>
  </si>
  <si>
    <t>Metal and Minerals Processing</t>
  </si>
  <si>
    <t>High Technology</t>
  </si>
  <si>
    <t>Construction</t>
  </si>
  <si>
    <t>Petroleum</t>
  </si>
  <si>
    <t>Permanent Dwelling (multi family housing)</t>
  </si>
  <si>
    <t>Agriculture</t>
  </si>
  <si>
    <t>Mining</t>
  </si>
  <si>
    <t>Religion and Nonprofit</t>
  </si>
  <si>
    <t>General Services</t>
  </si>
  <si>
    <t>Emergency Response Services</t>
  </si>
  <si>
    <t>Education</t>
  </si>
  <si>
    <t>Highway</t>
  </si>
  <si>
    <t>Railroad</t>
  </si>
  <si>
    <t>Air</t>
  </si>
  <si>
    <t>Sea/Water</t>
  </si>
  <si>
    <t>Temporary Lodging</t>
  </si>
  <si>
    <t>Electrical</t>
  </si>
  <si>
    <t>Water</t>
  </si>
  <si>
    <t>Sanitary Sewer</t>
  </si>
  <si>
    <t>Natural Gas</t>
  </si>
  <si>
    <t>Telephone &amp; Telegraph</t>
  </si>
  <si>
    <t>Communication (Radio and TV)</t>
  </si>
  <si>
    <t>Flood Control</t>
  </si>
  <si>
    <t>General Commercial</t>
  </si>
  <si>
    <t>General Industrial</t>
  </si>
  <si>
    <t>Miscellaneous</t>
  </si>
  <si>
    <t>Group Institutional Housing</t>
  </si>
  <si>
    <t>Dwelling</t>
  </si>
  <si>
    <t>Homeowner</t>
  </si>
  <si>
    <t>Multi-Family Dwelling - Homeowners Association</t>
  </si>
  <si>
    <t>Multi-Family Dwelling - Condominium Unit Owner</t>
  </si>
  <si>
    <t>Gasoline Service Station</t>
  </si>
  <si>
    <t>Restaurants</t>
  </si>
  <si>
    <t>Casinos</t>
  </si>
  <si>
    <t>Acute Care Services Hospitals</t>
  </si>
  <si>
    <t>Retail Trade</t>
  </si>
  <si>
    <t>OSHPD Acute Care Services Hospitals (California ONLY)</t>
  </si>
  <si>
    <t>Hotels - Large</t>
  </si>
  <si>
    <t>Hotels - Small and Medium</t>
  </si>
  <si>
    <t>Rental - General Commercial</t>
  </si>
  <si>
    <t>Universities and Colleges</t>
  </si>
  <si>
    <t>Wholesale Trade</t>
  </si>
  <si>
    <t>Personal and Repair Services</t>
  </si>
  <si>
    <t>Professional, Technical and Business Services</t>
  </si>
  <si>
    <t>Health Care Service</t>
  </si>
  <si>
    <t>Sequel ID</t>
  </si>
  <si>
    <t>2 SHORE DR</t>
  </si>
  <si>
    <t>MA</t>
  </si>
  <si>
    <t>PEABODY</t>
  </si>
  <si>
    <t>ESSEX COUNTY</t>
  </si>
  <si>
    <t>1 - Wood</t>
  </si>
  <si>
    <t>1 - Frame</t>
  </si>
  <si>
    <t>2 - Permanent Dwelling (multi family housing)</t>
  </si>
  <si>
    <t>4 SHORE DR</t>
  </si>
  <si>
    <t>6 SHORE DR</t>
  </si>
  <si>
    <t>8 SHORE DR</t>
  </si>
  <si>
    <t>10 SHORE DR</t>
  </si>
  <si>
    <t>12 SHORE DR</t>
  </si>
  <si>
    <t>15 SHORE DR</t>
  </si>
  <si>
    <t>16 SHORE DR</t>
  </si>
  <si>
    <t>17 SHORE DR</t>
  </si>
  <si>
    <t>18 SHORE DR</t>
  </si>
  <si>
    <t>19 SHORE DR</t>
  </si>
  <si>
    <t>20 SHORE DR</t>
  </si>
  <si>
    <t>21 SHORE DR</t>
  </si>
  <si>
    <t>22 SHORE DR</t>
  </si>
  <si>
    <t>23 SHORE DR</t>
  </si>
  <si>
    <t>26 SHORE DR</t>
  </si>
  <si>
    <t>27 SHORE DR</t>
  </si>
  <si>
    <t>30 SHORE DR</t>
  </si>
  <si>
    <t>31 SHORE DR</t>
  </si>
  <si>
    <t>34 SHORE DR</t>
  </si>
  <si>
    <t>35 SHORE DR</t>
  </si>
  <si>
    <t>37 SHORE DR</t>
  </si>
  <si>
    <t>38 SHORE DR</t>
  </si>
  <si>
    <t>39 SHORE DR</t>
  </si>
  <si>
    <t>40 SHORE DR</t>
  </si>
  <si>
    <t>45 SHORE DR</t>
  </si>
  <si>
    <t>46 SHORE DR</t>
  </si>
  <si>
    <t>47 SHORE DR</t>
  </si>
  <si>
    <t>51 SHORE DR</t>
  </si>
  <si>
    <t>60 SHORE DR</t>
  </si>
  <si>
    <t>64 SHORE DR</t>
  </si>
  <si>
    <t>78 SHORE DR</t>
  </si>
  <si>
    <t>90 SHORE DR</t>
  </si>
  <si>
    <t>92 SHORE DR</t>
  </si>
  <si>
    <t>96 SHORE DR</t>
  </si>
  <si>
    <t>110 SHORE DR</t>
  </si>
  <si>
    <t>122 SHORE DR</t>
  </si>
  <si>
    <t>130 SHORE DR</t>
  </si>
  <si>
    <t>132 SHORE DR</t>
  </si>
  <si>
    <t>134 SHORE DR</t>
  </si>
  <si>
    <t>136 SHORE DR</t>
  </si>
  <si>
    <t>138 SHORE DR</t>
  </si>
  <si>
    <t>140 SHORE DR</t>
  </si>
  <si>
    <t>142 SHORE DR</t>
  </si>
  <si>
    <t>144 SHORE DR</t>
  </si>
  <si>
    <t>146 SHORE DR</t>
  </si>
  <si>
    <t>148 SHORE DR</t>
  </si>
  <si>
    <t>152 SHORE DR</t>
  </si>
  <si>
    <t>156 SHORE DR</t>
  </si>
  <si>
    <t>1 GARDEN RD</t>
  </si>
  <si>
    <t>17 GARDEN RD</t>
  </si>
  <si>
    <t>35 GARDEN RD</t>
  </si>
  <si>
    <t>37 GARDEN RD</t>
  </si>
  <si>
    <t>39 GARDEN RD</t>
  </si>
  <si>
    <t>43 GARDEN RD</t>
  </si>
  <si>
    <t>49 GARDEN RD</t>
  </si>
  <si>
    <t>51 GARDEN RD</t>
  </si>
  <si>
    <t>55 GARDEN RD</t>
  </si>
  <si>
    <t>3 GARDEN RD</t>
  </si>
  <si>
    <t>21 GARDEN RD</t>
  </si>
  <si>
    <t>1 SHORE DR</t>
  </si>
  <si>
    <t>108 SHORE DR</t>
  </si>
  <si>
    <t>45 NORTH ST</t>
  </si>
  <si>
    <t>STONEHAM</t>
  </si>
  <si>
    <t>MIDDLESEX COUNTY</t>
  </si>
  <si>
    <t>2 - Masonry</t>
  </si>
  <si>
    <t>2 - Joisted Masonry</t>
  </si>
  <si>
    <t>100 LEISURE LN</t>
  </si>
  <si>
    <t>200 LEISURE LN</t>
  </si>
  <si>
    <t>15 COURT SQ</t>
  </si>
  <si>
    <t>BOSTON</t>
  </si>
  <si>
    <t>SUFFOLK COUNTY</t>
  </si>
  <si>
    <t>8 - Professional, Technical and Business Services</t>
  </si>
  <si>
    <t>2 MAIN ST</t>
  </si>
  <si>
    <t>10 MAIN ST</t>
  </si>
  <si>
    <t>0 - Unknown</t>
  </si>
  <si>
    <t>47 - Restaurants</t>
  </si>
  <si>
    <t>16 MAIN ST</t>
  </si>
  <si>
    <t>9 - Health Care Service</t>
  </si>
  <si>
    <t>701 TECHNOLOGY CENTER DR</t>
  </si>
  <si>
    <t>STOUGHTON</t>
  </si>
  <si>
    <t>NORFOLK COUNTY</t>
  </si>
  <si>
    <t>5 - Retail Trade</t>
  </si>
  <si>
    <t>703 TECHNOLOGY CENTER DR</t>
  </si>
  <si>
    <t>707 TECHNOLOGY CENTER DR</t>
  </si>
  <si>
    <t>36 MIDDLESEX TPKE</t>
  </si>
  <si>
    <t>BEDFORD</t>
  </si>
  <si>
    <t>21 PEACH ORCHARD RD</t>
  </si>
  <si>
    <t>BURLINGTON</t>
  </si>
  <si>
    <t>1 - Permanent Dwelling (single family housing)</t>
  </si>
  <si>
    <t>24 SETTLERS GREEN DR</t>
  </si>
  <si>
    <t>NH</t>
  </si>
  <si>
    <t>NORTH CONWAY</t>
  </si>
  <si>
    <t>CARROLL COUNTY</t>
  </si>
  <si>
    <t>331 MAIN ST</t>
  </si>
  <si>
    <t>NASHUA</t>
  </si>
  <si>
    <t>HILLSBOROUGH COUNTY</t>
  </si>
  <si>
    <t>331 COMMERCE WAY</t>
  </si>
  <si>
    <t>PEMBROKE</t>
  </si>
  <si>
    <t>MERRIMACK COUNTY</t>
  </si>
  <si>
    <t xml:space="preserve">4A  </t>
  </si>
  <si>
    <t>4A - Steel Frame</t>
  </si>
  <si>
    <t>331R COMMERCE WAY</t>
  </si>
  <si>
    <t>524 THORN HILL RD</t>
  </si>
  <si>
    <t>INTERVALE</t>
  </si>
  <si>
    <t>13 SABINO FARM RD</t>
  </si>
  <si>
    <t>7 - Personal and Repair Services</t>
  </si>
  <si>
    <t>105 HOPKINS ST</t>
  </si>
  <si>
    <t>WAKEFIELD</t>
  </si>
  <si>
    <t>109 HOPKINS ST</t>
  </si>
  <si>
    <t>26 BEACON ST</t>
  </si>
  <si>
    <t>180 NEW BOSTON ST</t>
  </si>
  <si>
    <t>WOBURN</t>
  </si>
  <si>
    <t>Previous Sequel ID</t>
  </si>
  <si>
    <t>Airlines Pricing Model - Experience Rate</t>
  </si>
  <si>
    <t>Hull</t>
  </si>
  <si>
    <t>Liability</t>
  </si>
  <si>
    <t>Trend Rate</t>
  </si>
  <si>
    <t>Acturial Development</t>
  </si>
  <si>
    <t>Inc YoA?</t>
  </si>
  <si>
    <t>True IBNR</t>
  </si>
  <si>
    <t>IBNER to ult</t>
  </si>
  <si>
    <t>Y</t>
  </si>
  <si>
    <t>Total</t>
  </si>
  <si>
    <t>Average</t>
  </si>
  <si>
    <t>5 year average</t>
  </si>
  <si>
    <t>Expected Loss</t>
  </si>
  <si>
    <t>TOTAL</t>
  </si>
  <si>
    <t>TIV</t>
  </si>
  <si>
    <t>Ultimate Claims</t>
  </si>
  <si>
    <t>Incurred</t>
  </si>
  <si>
    <t>Locations</t>
  </si>
  <si>
    <t>Buildings</t>
  </si>
  <si>
    <t>Buildings Value</t>
  </si>
  <si>
    <t>Contents Value</t>
  </si>
  <si>
    <t>BI Value</t>
  </si>
  <si>
    <t>Overview</t>
  </si>
  <si>
    <t>Cat Model</t>
  </si>
  <si>
    <t>RMS</t>
  </si>
  <si>
    <t>AIR</t>
  </si>
  <si>
    <t>Selected Cat model</t>
  </si>
  <si>
    <t>Selected Fire</t>
  </si>
  <si>
    <t>Fire</t>
  </si>
  <si>
    <t>Results</t>
  </si>
  <si>
    <t>Fire  AAL (Model)</t>
  </si>
  <si>
    <t>Fire AAL (Base Rates)</t>
  </si>
  <si>
    <t>Fire AAL (Experience)</t>
  </si>
  <si>
    <t>RMS Cat AAL</t>
  </si>
  <si>
    <t>AIR Cat AAL</t>
  </si>
  <si>
    <t>Selected AAL</t>
  </si>
  <si>
    <t>Fire Model</t>
  </si>
  <si>
    <t>Base Rates</t>
  </si>
  <si>
    <t>Experience Rate</t>
  </si>
  <si>
    <t>BRICKPOINT</t>
  </si>
  <si>
    <t>AXR</t>
  </si>
  <si>
    <t>Josh Jeffcoat</t>
  </si>
  <si>
    <t>BES</t>
  </si>
  <si>
    <t>Commercial Lines</t>
  </si>
  <si>
    <t>Geocoding</t>
  </si>
  <si>
    <t>Very good</t>
  </si>
  <si>
    <t>Year Built</t>
  </si>
  <si>
    <t>Poor</t>
  </si>
  <si>
    <t>Num Of Stories</t>
  </si>
  <si>
    <t>Good</t>
  </si>
  <si>
    <t>Secondary Modifiers</t>
  </si>
  <si>
    <t>Notes</t>
  </si>
  <si>
    <t>AOP Deductible</t>
  </si>
  <si>
    <t>Historic Pricing Results</t>
  </si>
  <si>
    <t>Foreign Exchange</t>
  </si>
  <si>
    <t>TBD</t>
  </si>
  <si>
    <t>Pc Credit</t>
  </si>
  <si>
    <t>Sprinkler Credit</t>
  </si>
  <si>
    <t>Map Level</t>
  </si>
  <si>
    <t># plot code</t>
  </si>
  <si>
    <t>xlc["map_progress"] = "Initialising"</t>
  </si>
  <si>
    <t>library(fire.pricing)</t>
  </si>
  <si>
    <t>library(excel.link)</t>
  </si>
  <si>
    <t>library(Faraday.Pricing)</t>
  </si>
  <si>
    <t>xlc["map_progress"] = "Reading Location Data"</t>
  </si>
  <si>
    <t>yy &lt;- fire.pricing:: get_rms_fire_engine_locations(edm = "RMS_EDM_QTE_16_10",</t>
  </si>
  <si>
    <t xml:space="preserve">                                    server = "GBLONTPD111",</t>
  </si>
  <si>
    <t xml:space="preserve">                                    account = "CL16_CG299N16A000_01")</t>
  </si>
  <si>
    <t>p &lt;- county_state_map(longitude=  yy$LONGITUDE,</t>
  </si>
  <si>
    <t xml:space="preserve">                      latitude = yy$LATITUDE,</t>
  </si>
  <si>
    <t xml:space="preserve">                      value = yy$TIV,</t>
  </si>
  <si>
    <t xml:space="preserve">                      level = level)</t>
  </si>
  <si>
    <t>xlc["map_progress"] = "Creating map image"</t>
  </si>
  <si>
    <t>to_excel1 = current.graphics(filename = "c:/p.jpg", picname = "map")</t>
  </si>
  <si>
    <t>unlink(x = "c:/p.png", force = T)</t>
  </si>
  <si>
    <t>xlc["map_progress"] = ""</t>
  </si>
  <si>
    <t>Expiry Date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</si>
  <si>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</si>
  <si>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</si>
  <si>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</si>
  <si>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</si>
  <si>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</si>
  <si>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</si>
  <si>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</si>
  <si>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</si>
  <si>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</si>
  <si>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</si>
  <si>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</si>
  <si>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</si>
  <si>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 Pacific</t>
  </si>
  <si>
    <t>NW Pacific</t>
  </si>
  <si>
    <t>North Atlantic</t>
  </si>
  <si>
    <t>North Indian</t>
  </si>
  <si>
    <t>Australia/SE Indian</t>
  </si>
  <si>
    <t>Australia/SW Pacific</t>
  </si>
  <si>
    <t>SW Indian</t>
  </si>
  <si>
    <t># of hurricanes/typhoons per month (not weighted by strength)</t>
  </si>
  <si>
    <t>if(level == ""){</t>
  </si>
  <si>
    <t>}</t>
  </si>
  <si>
    <t>stop()</t>
  </si>
  <si>
    <t>Locations not mapped</t>
  </si>
  <si>
    <t>Values not mapped</t>
  </si>
  <si>
    <t>ggsave("c:/p.jpg", plot = p$plot, width = 7, height = 5)</t>
  </si>
  <si>
    <t>xlc["'Locations Summary'!map_address"] = to_excel1</t>
  </si>
  <si>
    <t>xlc["'Locations Summary'!ls_count_not_mapped"] = p$count_not_geocoded</t>
  </si>
  <si>
    <t>xlc["'Locations Summary'!ls_value_not_mapped"] = p$values_not_geocoded</t>
  </si>
  <si>
    <t>Fair</t>
  </si>
  <si>
    <t>data_quality_labels</t>
  </si>
  <si>
    <t># dq code</t>
  </si>
  <si>
    <t>dqs &lt;- rms_data_quality_scores(edm = "RMS_EDM_QTE_16_10",</t>
  </si>
  <si>
    <t xml:space="preserve">                              server = "GBLONTPD111",</t>
  </si>
  <si>
    <t xml:space="preserve">                              account = "CL16_CG299N16A000_01",</t>
  </si>
  <si>
    <t xml:space="preserve">                              thresholds = c(0.7,0.9,0.95))</t>
  </si>
  <si>
    <t>labels &lt;- xl["'values'!data_quality_labels", drop = T]</t>
  </si>
  <si>
    <t>xl["'Pricing Summary'!dq_occupancy"] &lt;- labels[dqs$occupancy_score]</t>
  </si>
  <si>
    <t>xl["'Pricing Summary'!dq_construction"] &lt;- labels[dqs$construction_score]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</si>
</sst>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0_ ;\-0\ "/>
    <numFmt numFmtId="165" formatCode="0.0%"/>
    <numFmt numFmtId="166" formatCode="_-* #,##0_-;\-* #,##0_-;_-* &quot;-&quot;??_-;_-@_-"/>
    <numFmt numFmtId="167" formatCode="_-* #,##0.000_-;\-* #,##0.000_-;_-* &quot;-&quot;??_-;_-@_-"/>
    <numFmt numFmtId="168" formatCode="0.0000%"/>
    <numFmt numFmtId="169" formatCode="#,##0_ ;\-#,##0\ "/>
    <numFmt numFmtId="170" formatCode="_(&quot;$&quot;* #,##0.00_);_(&quot;$&quot;* \(#,##0.00\);_(&quot;$&quot;* &quot;-&quot;??_);_(@_)"/>
  </numFmts>
  <fonts count="39" x14ac:knownFonts="1">
    <font>
      <sz val="8"/>
      <color theme="1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indexed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color rgb="FF333333"/>
      <name val="Trebuchet MS"/>
      <family val="2"/>
    </font>
    <font>
      <sz val="8"/>
      <name val="Verdana"/>
      <family val="2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rgb="FFFF0000"/>
      <name val="Calibri"/>
      <family val="2"/>
      <charset val="204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67">
    <xf numFmtId="0" fontId="0" fillId="0" borderId="0"/>
    <xf numFmtId="43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9" fillId="0" borderId="0"/>
    <xf numFmtId="0" fontId="20" fillId="0" borderId="0"/>
    <xf numFmtId="9" fontId="21" fillId="0" borderId="0" applyFont="0" applyFill="0" applyBorder="0" applyAlignment="0" applyProtection="0"/>
    <xf numFmtId="0" fontId="21" fillId="10" borderId="0" applyNumberFormat="0" applyBorder="0" applyAlignment="0" applyProtection="0"/>
    <xf numFmtId="0" fontId="2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6" borderId="0" applyNumberFormat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7" borderId="0" applyNumberFormat="0" applyBorder="0" applyAlignment="0" applyProtection="0"/>
    <xf numFmtId="0" fontId="23" fillId="11" borderId="0" applyNumberFormat="0" applyBorder="0" applyAlignment="0" applyProtection="0"/>
    <xf numFmtId="0" fontId="24" fillId="28" borderId="25" applyNumberFormat="0" applyAlignment="0" applyProtection="0"/>
    <xf numFmtId="0" fontId="25" fillId="29" borderId="26" applyNumberFormat="0" applyAlignment="0" applyProtection="0"/>
    <xf numFmtId="170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12" borderId="0" applyNumberFormat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15" borderId="25" applyNumberFormat="0" applyAlignment="0" applyProtection="0"/>
    <xf numFmtId="0" fontId="32" fillId="0" borderId="30" applyNumberFormat="0" applyFill="0" applyAlignment="0" applyProtection="0"/>
    <xf numFmtId="0" fontId="33" fillId="30" borderId="0" applyNumberFormat="0" applyBorder="0" applyAlignment="0" applyProtection="0"/>
    <xf numFmtId="0" fontId="16" fillId="31" borderId="31" applyNumberFormat="0" applyFont="0" applyAlignment="0" applyProtection="0"/>
    <xf numFmtId="0" fontId="34" fillId="28" borderId="32" applyNumberFormat="0" applyAlignment="0" applyProtection="0"/>
    <xf numFmtId="0" fontId="35" fillId="0" borderId="0" applyNumberFormat="0" applyFill="0" applyBorder="0" applyAlignment="0" applyProtection="0"/>
    <xf numFmtId="0" fontId="36" fillId="0" borderId="33" applyNumberFormat="0" applyFill="0" applyAlignment="0" applyProtection="0"/>
    <xf numFmtId="0" fontId="37" fillId="0" borderId="0" applyNumberFormat="0" applyFill="0" applyBorder="0" applyAlignment="0" applyProtection="0"/>
  </cellStyleXfs>
  <cellXfs count="106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4" fontId="4" fillId="3" borderId="2" xfId="0" applyNumberFormat="1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64" fontId="5" fillId="4" borderId="1" xfId="1" applyNumberFormat="1" applyFont="1" applyFill="1" applyBorder="1" applyAlignment="1" applyProtection="1">
      <alignment horizontal="right" vertical="center"/>
    </xf>
    <xf numFmtId="0" fontId="0" fillId="3" borderId="0" xfId="0" applyFill="1"/>
    <xf numFmtId="0" fontId="6" fillId="0" borderId="0" xfId="0" applyFont="1"/>
    <xf numFmtId="0" fontId="6" fillId="3" borderId="0" xfId="0" applyFont="1" applyFill="1"/>
    <xf numFmtId="3" fontId="4" fillId="3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0" xfId="2"/>
    <xf numFmtId="0" fontId="4" fillId="0" borderId="1" xfId="2" applyFont="1" applyBorder="1"/>
    <xf numFmtId="0" fontId="3" fillId="2" borderId="1" xfId="2" applyFont="1" applyFill="1" applyBorder="1" applyAlignment="1" applyProtection="1">
      <alignment horizontal="center" vertical="center"/>
    </xf>
    <xf numFmtId="165" fontId="4" fillId="3" borderId="1" xfId="3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 applyProtection="1">
      <alignment horizontal="center" vertical="center" wrapText="1"/>
    </xf>
    <xf numFmtId="166" fontId="5" fillId="7" borderId="1" xfId="2" applyNumberFormat="1" applyFont="1" applyFill="1" applyBorder="1" applyAlignment="1" applyProtection="1">
      <alignment vertical="center"/>
    </xf>
    <xf numFmtId="166" fontId="9" fillId="0" borderId="1" xfId="2" applyNumberFormat="1" applyFont="1" applyFill="1" applyBorder="1" applyAlignment="1" applyProtection="1">
      <alignment horizontal="right" vertical="center"/>
    </xf>
    <xf numFmtId="0" fontId="4" fillId="8" borderId="1" xfId="2" applyFont="1" applyFill="1" applyBorder="1" applyAlignment="1" applyProtection="1">
      <alignment vertical="center"/>
      <protection locked="0"/>
    </xf>
    <xf numFmtId="0" fontId="4" fillId="8" borderId="1" xfId="2" applyFont="1" applyFill="1" applyBorder="1" applyAlignment="1">
      <alignment vertical="center"/>
    </xf>
    <xf numFmtId="0" fontId="3" fillId="2" borderId="1" xfId="2" applyFont="1" applyFill="1" applyBorder="1" applyAlignment="1" applyProtection="1">
      <alignment horizontal="center" vertical="center" wrapText="1"/>
      <protection locked="0"/>
    </xf>
    <xf numFmtId="0" fontId="10" fillId="8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 applyProtection="1">
      <alignment horizontal="center" vertical="center"/>
      <protection locked="0"/>
    </xf>
    <xf numFmtId="166" fontId="5" fillId="3" borderId="1" xfId="4" applyNumberFormat="1" applyFont="1" applyFill="1" applyBorder="1" applyAlignment="1" applyProtection="1">
      <alignment vertical="center"/>
      <protection locked="0"/>
    </xf>
    <xf numFmtId="165" fontId="5" fillId="7" borderId="1" xfId="2" applyNumberFormat="1" applyFont="1" applyFill="1" applyBorder="1" applyAlignment="1" applyProtection="1">
      <alignment vertical="center"/>
    </xf>
    <xf numFmtId="167" fontId="5" fillId="7" borderId="1" xfId="4" applyNumberFormat="1" applyFont="1" applyFill="1" applyBorder="1" applyAlignment="1" applyProtection="1">
      <alignment vertical="center"/>
    </xf>
    <xf numFmtId="166" fontId="5" fillId="3" borderId="1" xfId="2" applyNumberFormat="1" applyFont="1" applyFill="1" applyBorder="1" applyAlignment="1" applyProtection="1">
      <alignment vertical="center"/>
      <protection locked="0"/>
    </xf>
    <xf numFmtId="0" fontId="3" fillId="8" borderId="1" xfId="2" applyFont="1" applyFill="1" applyBorder="1" applyAlignment="1" applyProtection="1">
      <alignment horizontal="center" vertical="center"/>
    </xf>
    <xf numFmtId="0" fontId="5" fillId="8" borderId="1" xfId="2" applyFont="1" applyFill="1" applyBorder="1" applyAlignment="1" applyProtection="1">
      <alignment horizontal="center" vertical="center"/>
      <protection locked="0"/>
    </xf>
    <xf numFmtId="166" fontId="5" fillId="8" borderId="1" xfId="4" applyNumberFormat="1" applyFont="1" applyFill="1" applyBorder="1" applyAlignment="1" applyProtection="1">
      <alignment vertical="center"/>
      <protection locked="0"/>
    </xf>
    <xf numFmtId="165" fontId="5" fillId="8" borderId="1" xfId="2" applyNumberFormat="1" applyFont="1" applyFill="1" applyBorder="1" applyAlignment="1" applyProtection="1">
      <alignment vertical="center"/>
    </xf>
    <xf numFmtId="43" fontId="5" fillId="8" borderId="1" xfId="4" applyFont="1" applyFill="1" applyBorder="1" applyAlignment="1" applyProtection="1">
      <alignment vertical="center"/>
    </xf>
    <xf numFmtId="166" fontId="5" fillId="8" borderId="1" xfId="2" applyNumberFormat="1" applyFont="1" applyFill="1" applyBorder="1" applyAlignment="1" applyProtection="1">
      <alignment vertical="center"/>
    </xf>
    <xf numFmtId="0" fontId="3" fillId="2" borderId="1" xfId="2" applyFont="1" applyFill="1" applyBorder="1" applyAlignment="1" applyProtection="1">
      <alignment horizontal="right" vertical="center"/>
    </xf>
    <xf numFmtId="0" fontId="11" fillId="8" borderId="1" xfId="2" applyFont="1" applyFill="1" applyBorder="1" applyAlignment="1" applyProtection="1">
      <alignment vertical="center"/>
    </xf>
    <xf numFmtId="0" fontId="4" fillId="8" borderId="1" xfId="2" applyFont="1" applyFill="1" applyBorder="1" applyAlignment="1" applyProtection="1">
      <alignment vertical="center"/>
    </xf>
    <xf numFmtId="0" fontId="3" fillId="2" borderId="1" xfId="2" applyFont="1" applyFill="1" applyBorder="1" applyAlignment="1" applyProtection="1">
      <alignment horizontal="right" vertical="center"/>
      <protection locked="0"/>
    </xf>
    <xf numFmtId="0" fontId="10" fillId="8" borderId="1" xfId="2" applyFont="1" applyFill="1" applyBorder="1" applyAlignment="1" applyProtection="1">
      <alignment vertical="center"/>
      <protection locked="0"/>
    </xf>
    <xf numFmtId="0" fontId="12" fillId="8" borderId="1" xfId="2" applyFont="1" applyFill="1" applyBorder="1" applyAlignment="1">
      <alignment vertical="center"/>
    </xf>
    <xf numFmtId="166" fontId="4" fillId="8" borderId="1" xfId="4" applyNumberFormat="1" applyFont="1" applyFill="1" applyBorder="1" applyAlignment="1" applyProtection="1">
      <alignment vertical="center"/>
    </xf>
    <xf numFmtId="43" fontId="4" fillId="8" borderId="1" xfId="4" applyFont="1" applyFill="1" applyBorder="1" applyAlignment="1" applyProtection="1">
      <alignment vertical="center"/>
    </xf>
    <xf numFmtId="10" fontId="10" fillId="8" borderId="1" xfId="3" applyNumberFormat="1" applyFont="1" applyFill="1" applyBorder="1" applyAlignment="1" applyProtection="1">
      <alignment horizontal="center" vertical="center"/>
    </xf>
    <xf numFmtId="168" fontId="4" fillId="8" borderId="1" xfId="3" applyNumberFormat="1" applyFont="1" applyFill="1" applyBorder="1" applyAlignment="1">
      <alignment vertical="center"/>
    </xf>
    <xf numFmtId="169" fontId="5" fillId="4" borderId="1" xfId="1" applyNumberFormat="1" applyFont="1" applyFill="1" applyBorder="1" applyAlignment="1" applyProtection="1">
      <alignment horizontal="right" vertical="center"/>
    </xf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left" vertical="center" wrapText="1"/>
    </xf>
    <xf numFmtId="3" fontId="4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>
      <alignment horizontal="left" vertical="center" wrapText="1"/>
    </xf>
    <xf numFmtId="0" fontId="17" fillId="0" borderId="0" xfId="0" applyFont="1"/>
    <xf numFmtId="164" fontId="5" fillId="4" borderId="1" xfId="1" applyNumberFormat="1" applyFont="1" applyFill="1" applyBorder="1" applyAlignment="1" applyProtection="1">
      <alignment horizontal="center" vertical="center"/>
    </xf>
    <xf numFmtId="0" fontId="18" fillId="9" borderId="0" xfId="0" applyFont="1" applyFill="1" applyBorder="1" applyAlignment="1">
      <alignment horizontal="left"/>
    </xf>
    <xf numFmtId="0" fontId="18" fillId="9" borderId="0" xfId="0" applyFont="1" applyFill="1" applyBorder="1" applyAlignment="1">
      <alignment horizontal="center"/>
    </xf>
    <xf numFmtId="0" fontId="5" fillId="9" borderId="0" xfId="0" applyFont="1" applyFill="1" applyBorder="1" applyAlignment="1">
      <alignment horizontal="center"/>
    </xf>
    <xf numFmtId="3" fontId="6" fillId="0" borderId="0" xfId="0" applyNumberFormat="1" applyFont="1"/>
    <xf numFmtId="3" fontId="0" fillId="0" borderId="0" xfId="0" applyNumberFormat="1"/>
    <xf numFmtId="0" fontId="19" fillId="0" borderId="0" xfId="21"/>
    <xf numFmtId="0" fontId="4" fillId="4" borderId="2" xfId="0" applyFont="1" applyFill="1" applyBorder="1" applyAlignment="1" applyProtection="1">
      <alignment horizontal="center" vertical="center"/>
    </xf>
    <xf numFmtId="14" fontId="4" fillId="4" borderId="2" xfId="0" applyNumberFormat="1" applyFont="1" applyFill="1" applyBorder="1" applyAlignment="1" applyProtection="1">
      <alignment horizontal="center" vertical="center"/>
    </xf>
    <xf numFmtId="0" fontId="4" fillId="0" borderId="0" xfId="22" applyFont="1"/>
    <xf numFmtId="0" fontId="10" fillId="0" borderId="0" xfId="22" applyFont="1" applyAlignment="1">
      <alignment horizontal="left"/>
    </xf>
    <xf numFmtId="9" fontId="4" fillId="0" borderId="0" xfId="22" applyNumberFormat="1" applyFont="1" applyAlignment="1">
      <alignment horizontal="right"/>
    </xf>
    <xf numFmtId="0" fontId="10" fillId="0" borderId="0" xfId="22" applyFont="1" applyAlignment="1">
      <alignment horizontal="right"/>
    </xf>
    <xf numFmtId="9" fontId="4" fillId="0" borderId="14" xfId="23" applyFont="1" applyBorder="1"/>
    <xf numFmtId="9" fontId="4" fillId="0" borderId="15" xfId="23" applyFont="1" applyBorder="1"/>
    <xf numFmtId="9" fontId="4" fillId="0" borderId="16" xfId="23" applyFont="1" applyBorder="1"/>
    <xf numFmtId="9" fontId="4" fillId="0" borderId="17" xfId="23" applyFont="1" applyBorder="1"/>
    <xf numFmtId="9" fontId="4" fillId="0" borderId="0" xfId="23" applyFont="1" applyBorder="1"/>
    <xf numFmtId="9" fontId="4" fillId="0" borderId="18" xfId="23" applyFont="1" applyBorder="1"/>
    <xf numFmtId="9" fontId="4" fillId="0" borderId="19" xfId="23" applyFont="1" applyBorder="1"/>
    <xf numFmtId="9" fontId="4" fillId="0" borderId="20" xfId="23" applyFont="1" applyBorder="1"/>
    <xf numFmtId="9" fontId="4" fillId="0" borderId="21" xfId="23" applyFont="1" applyBorder="1"/>
    <xf numFmtId="9" fontId="4" fillId="0" borderId="22" xfId="23" applyFont="1" applyBorder="1"/>
    <xf numFmtId="9" fontId="4" fillId="0" borderId="24" xfId="23" applyFont="1" applyBorder="1"/>
    <xf numFmtId="9" fontId="4" fillId="0" borderId="23" xfId="23" applyFont="1" applyBorder="1"/>
    <xf numFmtId="0" fontId="4" fillId="0" borderId="0" xfId="22" applyFont="1" applyAlignment="1">
      <alignment horizontal="right"/>
    </xf>
    <xf numFmtId="0" fontId="10" fillId="0" borderId="0" xfId="22" applyFont="1"/>
    <xf numFmtId="0" fontId="19" fillId="0" borderId="0" xfId="21" applyProtection="1"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3" fontId="4" fillId="4" borderId="2" xfId="0" applyNumberFormat="1" applyFont="1" applyFill="1" applyBorder="1" applyAlignment="1" applyProtection="1">
      <alignment horizontal="center" vertical="center"/>
    </xf>
    <xf numFmtId="0" fontId="38" fillId="0" borderId="0" xfId="21" applyFont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3" fillId="5" borderId="3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3" fillId="5" borderId="6" xfId="2" applyFont="1" applyFill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0" fontId="3" fillId="5" borderId="8" xfId="2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right"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1" xfId="2" applyFont="1" applyFill="1" applyBorder="1" applyAlignment="1" applyProtection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3" fontId="10" fillId="0" borderId="10" xfId="2" applyNumberFormat="1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164" fontId="5" fillId="4" borderId="12" xfId="1" applyNumberFormat="1" applyFont="1" applyFill="1" applyBorder="1" applyAlignment="1" applyProtection="1">
      <alignment horizontal="right" vertical="center"/>
    </xf>
    <xf numFmtId="164" fontId="5" fillId="4" borderId="0" xfId="1" applyNumberFormat="1" applyFont="1" applyFill="1" applyBorder="1" applyAlignment="1" applyProtection="1">
      <alignment horizontal="right" vertical="center"/>
    </xf>
    <xf numFmtId="14" fontId="5" fillId="4" borderId="12" xfId="1" applyNumberFormat="1" applyFont="1" applyFill="1" applyBorder="1" applyAlignment="1" applyProtection="1">
      <alignment horizontal="right" vertical="center"/>
    </xf>
    <xf numFmtId="14" fontId="5" fillId="4" borderId="0" xfId="1" applyNumberFormat="1" applyFont="1" applyFill="1" applyBorder="1" applyAlignment="1" applyProtection="1">
      <alignment horizontal="right" vertical="center"/>
    </xf>
    <xf numFmtId="0" fontId="4" fillId="3" borderId="2" xfId="0" applyFont="1" applyFill="1" applyBorder="1" applyAlignment="1" applyProtection="1">
      <alignment horizontal="left" vertical="center"/>
      <protection locked="0"/>
    </xf>
    <xf numFmtId="0" fontId="4" fillId="3" borderId="34" xfId="0" applyFont="1" applyFill="1" applyBorder="1" applyAlignment="1" applyProtection="1">
      <alignment horizontal="left" vertical="center"/>
      <protection locked="0"/>
    </xf>
  </cellXfs>
  <cellStyles count="67">
    <cellStyle name="20% - Accent1 2" xfId="24"/>
    <cellStyle name="20% - Accent2 2" xfId="25"/>
    <cellStyle name="20% - Accent3 2" xfId="26"/>
    <cellStyle name="20% - Accent4 2" xfId="27"/>
    <cellStyle name="20% - Accent5 2" xfId="28"/>
    <cellStyle name="20% - Accent6 2" xfId="29"/>
    <cellStyle name="40% - Accent1 2" xfId="30"/>
    <cellStyle name="40% - Accent2 2" xfId="31"/>
    <cellStyle name="40% - Accent3 2" xfId="32"/>
    <cellStyle name="40% - Accent4 2" xfId="33"/>
    <cellStyle name="40% - Accent5 2" xfId="34"/>
    <cellStyle name="40% - Accent6 2" xfId="35"/>
    <cellStyle name="60% - Accent1 2" xfId="36"/>
    <cellStyle name="60% - Accent2 2" xfId="37"/>
    <cellStyle name="60% - Accent3 2" xfId="38"/>
    <cellStyle name="60% - Accent4 2" xfId="39"/>
    <cellStyle name="60% - Accent5 2" xfId="40"/>
    <cellStyle name="60% - Accent6 2" xfId="41"/>
    <cellStyle name="Accent1 2" xfId="42"/>
    <cellStyle name="Accent2 2" xfId="43"/>
    <cellStyle name="Accent3 2" xfId="44"/>
    <cellStyle name="Accent4 2" xfId="45"/>
    <cellStyle name="Accent5 2" xfId="46"/>
    <cellStyle name="Accent6 2" xfId="47"/>
    <cellStyle name="Bad 2" xfId="48"/>
    <cellStyle name="Calculation 2" xfId="49"/>
    <cellStyle name="Check Cell 2" xfId="50"/>
    <cellStyle name="Comma" xfId="1" builtinId="3"/>
    <cellStyle name="Comma 2" xfId="4"/>
    <cellStyle name="Comma 2 2" xfId="5"/>
    <cellStyle name="Comma 2 2 2" xfId="6"/>
    <cellStyle name="Comma 2 3" xfId="7"/>
    <cellStyle name="Comma 3" xfId="8"/>
    <cellStyle name="Comma 3 2" xfId="9"/>
    <cellStyle name="Comma 4" xfId="10"/>
    <cellStyle name="Comma 4 2" xfId="11"/>
    <cellStyle name="Comma 5" xfId="12"/>
    <cellStyle name="Currency 2" xfId="51"/>
    <cellStyle name="Currency 3" xfId="52"/>
    <cellStyle name="Explanatory Text 2" xfId="53"/>
    <cellStyle name="Good 2" xfId="54"/>
    <cellStyle name="Heading 1 2" xfId="55"/>
    <cellStyle name="Heading 2 2" xfId="56"/>
    <cellStyle name="Heading 3 2" xfId="57"/>
    <cellStyle name="Heading 4 2" xfId="58"/>
    <cellStyle name="Input 2" xfId="59"/>
    <cellStyle name="Linked Cell 2" xfId="60"/>
    <cellStyle name="Neutral 2" xfId="61"/>
    <cellStyle name="Normal" xfId="0" builtinId="0"/>
    <cellStyle name="Normal 2" xfId="2"/>
    <cellStyle name="Normal 3" xfId="21"/>
    <cellStyle name="Normal 4" xfId="22"/>
    <cellStyle name="Note 2" xfId="62"/>
    <cellStyle name="Output 2" xfId="63"/>
    <cellStyle name="Percent 2" xfId="3"/>
    <cellStyle name="Percent 2 2" xfId="13"/>
    <cellStyle name="Percent 2 2 2" xfId="14"/>
    <cellStyle name="Percent 2 3" xfId="15"/>
    <cellStyle name="Percent 3" xfId="16"/>
    <cellStyle name="Percent 3 2" xfId="17"/>
    <cellStyle name="Percent 4" xfId="18"/>
    <cellStyle name="Percent 4 2" xfId="19"/>
    <cellStyle name="Percent 5" xfId="20"/>
    <cellStyle name="Percent 6" xfId="23"/>
    <cellStyle name="Title 2" xfId="64"/>
    <cellStyle name="Total 2" xfId="65"/>
    <cellStyle name="Warning Text 2" xfId="66"/>
  </cellStyles>
  <dxfs count="21"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baseline="0">
              <a:latin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'Wind Seasons'!$B$13</c:f>
              <c:strCache>
                <c:ptCount val="1"/>
                <c:pt idx="0">
                  <c:v>North Atlantic</c:v>
                </c:pt>
              </c:strCache>
            </c:strRef>
          </c:tx>
          <c:marker>
            <c:symbol val="none"/>
          </c:marker>
          <c:cat>
            <c:strRef>
              <c:f>'Wind Seasons'!$D$3:$O$3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'Wind Seasons'!$D$13:$O$13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3.2520325203252036E-2</c:v>
                </c:pt>
                <c:pt idx="6">
                  <c:v>4.0650406504065047E-2</c:v>
                </c:pt>
                <c:pt idx="7">
                  <c:v>0.28455284552845528</c:v>
                </c:pt>
                <c:pt idx="8">
                  <c:v>0.41463414634146345</c:v>
                </c:pt>
                <c:pt idx="9">
                  <c:v>0.18699186991869921</c:v>
                </c:pt>
                <c:pt idx="10">
                  <c:v>4.0650406504065047E-2</c:v>
                </c:pt>
                <c:pt idx="1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429120"/>
        <c:axId val="151430656"/>
      </c:lineChart>
      <c:catAx>
        <c:axId val="151429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51430656"/>
        <c:crosses val="autoZero"/>
        <c:auto val="1"/>
        <c:lblAlgn val="ctr"/>
        <c:lblOffset val="100"/>
        <c:noMultiLvlLbl val="0"/>
      </c:catAx>
      <c:valAx>
        <c:axId val="151430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crossAx val="151429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C$17" lockText="1" noThreeD="1"/>
</file>

<file path=xl/ctrlProps/ctrlProp2.xml><?xml version="1.0" encoding="utf-8"?>
<formControlPr xmlns="http://schemas.microsoft.com/office/spreadsheetml/2009/9/main" objectType="CheckBox" fmlaLink="$C$18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314325</xdr:colOff>
          <xdr:row>16</xdr:row>
          <xdr:rowOff>228600</xdr:rowOff>
        </xdr:to>
        <xdr:sp macro="" textlink="">
          <xdr:nvSpPr>
            <xdr:cNvPr id="1025" name="chk_faraday_lea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314325</xdr:colOff>
          <xdr:row>17</xdr:row>
          <xdr:rowOff>228600</xdr:rowOff>
        </xdr:to>
        <xdr:sp macro="" textlink="">
          <xdr:nvSpPr>
            <xdr:cNvPr id="1026" name="chk_faraday_lea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10</xdr:row>
      <xdr:rowOff>180975</xdr:rowOff>
    </xdr:from>
    <xdr:to>
      <xdr:col>3</xdr:col>
      <xdr:colOff>219075</xdr:colOff>
      <xdr:row>12</xdr:row>
      <xdr:rowOff>66675</xdr:rowOff>
    </xdr:to>
    <xdr:sp macro="" textlink="">
      <xdr:nvSpPr>
        <xdr:cNvPr id="2" name="Rounded Rectangle 1"/>
        <xdr:cNvSpPr/>
      </xdr:nvSpPr>
      <xdr:spPr>
        <a:xfrm>
          <a:off x="1133475" y="2371725"/>
          <a:ext cx="14668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Recalculate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4</xdr:row>
      <xdr:rowOff>95250</xdr:rowOff>
    </xdr:from>
    <xdr:to>
      <xdr:col>1</xdr:col>
      <xdr:colOff>676275</xdr:colOff>
      <xdr:row>7</xdr:row>
      <xdr:rowOff>19050</xdr:rowOff>
    </xdr:to>
    <xdr:sp macro="" textlink="">
      <xdr:nvSpPr>
        <xdr:cNvPr id="2" name="Rounded Rectangle 1"/>
        <xdr:cNvSpPr/>
      </xdr:nvSpPr>
      <xdr:spPr>
        <a:xfrm>
          <a:off x="228600" y="666750"/>
          <a:ext cx="13049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Apply Curve Choices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0</xdr:rowOff>
    </xdr:from>
    <xdr:to>
      <xdr:col>8</xdr:col>
      <xdr:colOff>333375</xdr:colOff>
      <xdr:row>35</xdr:row>
      <xdr:rowOff>0</xdr:rowOff>
    </xdr:to>
    <xdr:pic>
      <xdr:nvPicPr>
        <xdr:cNvPr id="106" name="_map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350" y="2095500"/>
          <a:ext cx="6400800" cy="45720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13</xdr:row>
      <xdr:rowOff>0</xdr:rowOff>
    </xdr:from>
    <xdr:to>
      <xdr:col>3</xdr:col>
      <xdr:colOff>581025</xdr:colOff>
      <xdr:row>15</xdr:row>
      <xdr:rowOff>66675</xdr:rowOff>
    </xdr:to>
    <xdr:sp macro="[0]!calculate_results" textlink="">
      <xdr:nvSpPr>
        <xdr:cNvPr id="2" name="Rounded Rectangle 1"/>
        <xdr:cNvSpPr/>
      </xdr:nvSpPr>
      <xdr:spPr>
        <a:xfrm>
          <a:off x="1190625" y="1714500"/>
          <a:ext cx="13049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Calculate Results</a:t>
          </a:r>
        </a:p>
      </xdr:txBody>
    </xdr:sp>
    <xdr:clientData/>
  </xdr:twoCellAnchor>
  <xdr:twoCellAnchor>
    <xdr:from>
      <xdr:col>2</xdr:col>
      <xdr:colOff>0</xdr:colOff>
      <xdr:row>25</xdr:row>
      <xdr:rowOff>38100</xdr:rowOff>
    </xdr:from>
    <xdr:to>
      <xdr:col>12</xdr:col>
      <xdr:colOff>1200150</xdr:colOff>
      <xdr:row>30</xdr:row>
      <xdr:rowOff>19050</xdr:rowOff>
    </xdr:to>
    <xdr:sp macro="" textlink="">
      <xdr:nvSpPr>
        <xdr:cNvPr id="4" name="TextBox 3"/>
        <xdr:cNvSpPr txBox="1"/>
      </xdr:nvSpPr>
      <xdr:spPr>
        <a:xfrm>
          <a:off x="1066800" y="3895725"/>
          <a:ext cx="862012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523874</xdr:colOff>
      <xdr:row>15</xdr:row>
      <xdr:rowOff>104775</xdr:rowOff>
    </xdr:from>
    <xdr:to>
      <xdr:col>14</xdr:col>
      <xdr:colOff>514349</xdr:colOff>
      <xdr:row>39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>
      <selection activeCell="E38" sqref="E38"/>
    </sheetView>
  </sheetViews>
  <sheetFormatPr defaultRowHeight="11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J18"/>
  <sheetViews>
    <sheetView showGridLines="0" tabSelected="1" topLeftCell="A19" zoomScaleNormal="100" workbookViewId="0">
      <selection activeCell="Q27" sqref="Q27"/>
    </sheetView>
  </sheetViews>
  <sheetFormatPr defaultRowHeight="11.25" x14ac:dyDescent="0.2"/>
  <cols>
    <col min="2" max="2" width="15.83203125" bestFit="1" customWidth="1"/>
    <col min="3" max="3" width="27.83203125" customWidth="1"/>
  </cols>
  <sheetData>
    <row r="1" spans="2:10" x14ac:dyDescent="0.2">
      <c r="B1" s="80" t="s">
        <v>12</v>
      </c>
      <c r="C1" s="80"/>
      <c r="D1" s="80"/>
      <c r="E1" s="80"/>
      <c r="F1" s="80"/>
      <c r="G1" s="80"/>
    </row>
    <row r="2" spans="2:10" x14ac:dyDescent="0.2">
      <c r="B2" s="80"/>
      <c r="C2" s="80"/>
      <c r="D2" s="80"/>
      <c r="E2" s="80"/>
      <c r="F2" s="80"/>
      <c r="G2" s="80"/>
    </row>
    <row r="4" spans="2:10" ht="18.75" customHeight="1" x14ac:dyDescent="0.2">
      <c r="B4" s="1" t="s">
        <v>0</v>
      </c>
      <c r="C4" s="5" t="s">
        <v>275</v>
      </c>
    </row>
    <row r="5" spans="2:10" ht="18.75" customHeight="1" x14ac:dyDescent="0.3">
      <c r="B5" s="1" t="s">
        <v>1</v>
      </c>
      <c r="C5" s="5" t="s">
        <v>279</v>
      </c>
      <c r="J5" s="48"/>
    </row>
    <row r="6" spans="2:10" ht="18.75" customHeight="1" x14ac:dyDescent="0.2">
      <c r="B6" s="1" t="s">
        <v>115</v>
      </c>
      <c r="C6" s="5"/>
    </row>
    <row r="7" spans="2:10" ht="18.75" customHeight="1" x14ac:dyDescent="0.2">
      <c r="B7" s="1" t="s">
        <v>235</v>
      </c>
      <c r="C7" s="5"/>
    </row>
    <row r="8" spans="2:10" ht="18.75" customHeight="1" x14ac:dyDescent="0.2">
      <c r="C8" s="2"/>
    </row>
    <row r="9" spans="2:10" ht="18.75" customHeight="1" x14ac:dyDescent="0.2">
      <c r="B9" s="1" t="s">
        <v>2</v>
      </c>
      <c r="C9" s="5" t="s">
        <v>276</v>
      </c>
    </row>
    <row r="10" spans="2:10" ht="18.75" customHeight="1" x14ac:dyDescent="0.2">
      <c r="B10" s="1" t="s">
        <v>3</v>
      </c>
      <c r="C10" s="5" t="s">
        <v>278</v>
      </c>
    </row>
    <row r="11" spans="2:10" ht="18.75" customHeight="1" x14ac:dyDescent="0.2">
      <c r="B11" s="1" t="s">
        <v>4</v>
      </c>
      <c r="C11" s="5" t="s">
        <v>277</v>
      </c>
    </row>
    <row r="12" spans="2:10" ht="18.75" customHeight="1" x14ac:dyDescent="0.2">
      <c r="C12" s="2"/>
    </row>
    <row r="13" spans="2:10" ht="18.75" customHeight="1" x14ac:dyDescent="0.2">
      <c r="B13" s="1" t="s">
        <v>6</v>
      </c>
      <c r="C13" s="4">
        <v>42710</v>
      </c>
    </row>
    <row r="14" spans="2:10" ht="18.75" customHeight="1" x14ac:dyDescent="0.2">
      <c r="B14" s="1" t="s">
        <v>312</v>
      </c>
      <c r="C14" s="4">
        <v>42709</v>
      </c>
    </row>
    <row r="15" spans="2:10" ht="18.75" customHeight="1" x14ac:dyDescent="0.2">
      <c r="B15" s="1" t="s">
        <v>5</v>
      </c>
      <c r="C15" s="49">
        <f>YEAR(C13)</f>
        <v>2016</v>
      </c>
    </row>
    <row r="16" spans="2:10" ht="18.75" customHeight="1" x14ac:dyDescent="0.2">
      <c r="C16" s="2"/>
    </row>
    <row r="17" spans="2:3" ht="18.75" customHeight="1" x14ac:dyDescent="0.2">
      <c r="B17" s="1" t="s">
        <v>7</v>
      </c>
      <c r="C17" s="3" t="b">
        <v>1</v>
      </c>
    </row>
    <row r="18" spans="2:3" ht="18.75" customHeight="1" x14ac:dyDescent="0.2">
      <c r="B18" s="1" t="s">
        <v>8</v>
      </c>
      <c r="C18" s="3" t="b">
        <v>0</v>
      </c>
    </row>
  </sheetData>
  <mergeCells count="1">
    <mergeCell ref="B1:G2"/>
  </mergeCells>
  <conditionalFormatting sqref="C15">
    <cfRule type="expression" dxfId="20" priority="1">
      <formula>ABS(C15-B15)/B15&gt;0.1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&amp;C&amp;"Calibri,Bold"&amp;11Quote Information</oddHeader>
    <oddFooter>&amp;L&amp;Z&amp;F&amp;R&amp;P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_faraday_lead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2</xdr:col>
                    <xdr:colOff>314325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k_faraday_lead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2</xdr:col>
                    <xdr:colOff>314325</xdr:colOff>
                    <xdr:row>17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9"/>
  <sheetViews>
    <sheetView showGridLines="0" workbookViewId="0">
      <selection activeCell="B4" sqref="B4:D9"/>
    </sheetView>
  </sheetViews>
  <sheetFormatPr defaultRowHeight="18.75" customHeight="1" x14ac:dyDescent="0.2"/>
  <cols>
    <col min="3" max="4" width="23" customWidth="1"/>
  </cols>
  <sheetData>
    <row r="1" spans="2:7" ht="11.25" customHeight="1" x14ac:dyDescent="0.2">
      <c r="B1" s="80" t="s">
        <v>9</v>
      </c>
      <c r="C1" s="80"/>
      <c r="D1" s="80"/>
      <c r="E1" s="80"/>
      <c r="F1" s="80"/>
      <c r="G1" s="80"/>
    </row>
    <row r="2" spans="2:7" ht="11.25" customHeight="1" x14ac:dyDescent="0.2">
      <c r="B2" s="80"/>
      <c r="C2" s="80"/>
      <c r="D2" s="80"/>
      <c r="E2" s="80"/>
      <c r="F2" s="80"/>
      <c r="G2" s="80"/>
    </row>
    <row r="4" spans="2:7" ht="18.75" customHeight="1" x14ac:dyDescent="0.2">
      <c r="C4" s="1" t="s">
        <v>10</v>
      </c>
      <c r="D4" s="1" t="s">
        <v>11</v>
      </c>
    </row>
    <row r="5" spans="2:7" ht="18.75" customHeight="1" x14ac:dyDescent="0.2">
      <c r="B5" s="1">
        <v>1</v>
      </c>
      <c r="C5" s="10">
        <v>1000000000</v>
      </c>
      <c r="D5" s="10">
        <v>1000000</v>
      </c>
    </row>
    <row r="6" spans="2:7" ht="18.75" customHeight="1" x14ac:dyDescent="0.2">
      <c r="B6" s="1">
        <v>2</v>
      </c>
      <c r="C6" s="10"/>
      <c r="D6" s="10"/>
    </row>
    <row r="7" spans="2:7" ht="18.75" customHeight="1" x14ac:dyDescent="0.2">
      <c r="B7" s="1">
        <v>3</v>
      </c>
      <c r="C7" s="10"/>
      <c r="D7" s="10"/>
    </row>
    <row r="8" spans="2:7" ht="18.75" customHeight="1" x14ac:dyDescent="0.2">
      <c r="B8" s="1">
        <v>4</v>
      </c>
      <c r="C8" s="10"/>
      <c r="D8" s="10"/>
    </row>
    <row r="9" spans="2:7" ht="18.75" customHeight="1" x14ac:dyDescent="0.2">
      <c r="B9" s="1">
        <v>5</v>
      </c>
      <c r="C9" s="10"/>
      <c r="D9" s="10"/>
    </row>
  </sheetData>
  <mergeCells count="1">
    <mergeCell ref="B1:G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61"/>
  <sheetViews>
    <sheetView showGridLines="0" workbookViewId="0">
      <selection activeCell="E23" sqref="E23"/>
    </sheetView>
  </sheetViews>
  <sheetFormatPr defaultRowHeight="11.25" x14ac:dyDescent="0.2"/>
  <cols>
    <col min="1" max="1" width="15" customWidth="1"/>
    <col min="2" max="2" width="39.33203125" customWidth="1"/>
    <col min="3" max="3" width="18.33203125" customWidth="1"/>
  </cols>
  <sheetData>
    <row r="3" spans="1:7" ht="11.25" customHeight="1" x14ac:dyDescent="0.2">
      <c r="A3" s="81" t="s">
        <v>58</v>
      </c>
      <c r="B3" s="82"/>
      <c r="C3" s="82"/>
      <c r="E3" s="81" t="s">
        <v>290</v>
      </c>
      <c r="F3" s="82"/>
      <c r="G3" s="82"/>
    </row>
    <row r="4" spans="1:7" ht="11.25" customHeight="1" x14ac:dyDescent="0.2">
      <c r="A4" s="83"/>
      <c r="B4" s="84"/>
      <c r="C4" s="84"/>
      <c r="E4" s="83"/>
      <c r="F4" s="84"/>
      <c r="G4" s="84"/>
    </row>
    <row r="9" spans="1:7" x14ac:dyDescent="0.2">
      <c r="A9" s="1" t="s">
        <v>60</v>
      </c>
      <c r="B9" s="1" t="s">
        <v>61</v>
      </c>
      <c r="C9" s="1" t="s">
        <v>54</v>
      </c>
    </row>
    <row r="10" spans="1:7" x14ac:dyDescent="0.2">
      <c r="A10" s="6">
        <v>1</v>
      </c>
      <c r="B10" s="6" t="s">
        <v>63</v>
      </c>
      <c r="C10" s="5" t="s">
        <v>55</v>
      </c>
    </row>
    <row r="11" spans="1:7" x14ac:dyDescent="0.2">
      <c r="A11" s="6">
        <v>2</v>
      </c>
      <c r="B11" s="6" t="s">
        <v>74</v>
      </c>
      <c r="C11" s="5" t="s">
        <v>55</v>
      </c>
    </row>
    <row r="12" spans="1:7" x14ac:dyDescent="0.2">
      <c r="A12" s="6">
        <v>3</v>
      </c>
      <c r="B12" s="6" t="s">
        <v>85</v>
      </c>
      <c r="C12" s="5" t="s">
        <v>55</v>
      </c>
    </row>
    <row r="13" spans="1:7" x14ac:dyDescent="0.2">
      <c r="A13" s="6">
        <v>4</v>
      </c>
      <c r="B13" s="6" t="s">
        <v>96</v>
      </c>
      <c r="C13" s="5" t="s">
        <v>57</v>
      </c>
    </row>
    <row r="14" spans="1:7" x14ac:dyDescent="0.2">
      <c r="A14" s="6">
        <v>5</v>
      </c>
      <c r="B14" s="6" t="s">
        <v>105</v>
      </c>
      <c r="C14" s="5" t="s">
        <v>57</v>
      </c>
    </row>
    <row r="15" spans="1:7" x14ac:dyDescent="0.2">
      <c r="A15" s="6">
        <v>6</v>
      </c>
      <c r="B15" s="6" t="s">
        <v>111</v>
      </c>
      <c r="C15" s="5" t="s">
        <v>57</v>
      </c>
    </row>
    <row r="16" spans="1:7" x14ac:dyDescent="0.2">
      <c r="A16" s="6">
        <v>7</v>
      </c>
      <c r="B16" s="6" t="s">
        <v>112</v>
      </c>
      <c r="C16" s="5" t="s">
        <v>57</v>
      </c>
    </row>
    <row r="17" spans="1:3" x14ac:dyDescent="0.2">
      <c r="A17" s="6">
        <v>8</v>
      </c>
      <c r="B17" s="6" t="s">
        <v>113</v>
      </c>
      <c r="C17" s="5" t="s">
        <v>55</v>
      </c>
    </row>
    <row r="18" spans="1:3" x14ac:dyDescent="0.2">
      <c r="A18" s="6">
        <v>9</v>
      </c>
      <c r="B18" s="6" t="s">
        <v>114</v>
      </c>
      <c r="C18" s="5" t="s">
        <v>57</v>
      </c>
    </row>
    <row r="19" spans="1:3" x14ac:dyDescent="0.2">
      <c r="A19" s="6">
        <v>10</v>
      </c>
      <c r="B19" s="6" t="s">
        <v>64</v>
      </c>
      <c r="C19" s="5" t="s">
        <v>57</v>
      </c>
    </row>
    <row r="20" spans="1:3" x14ac:dyDescent="0.2">
      <c r="A20" s="6">
        <v>11</v>
      </c>
      <c r="B20" s="6" t="s">
        <v>65</v>
      </c>
      <c r="C20" s="5" t="s">
        <v>57</v>
      </c>
    </row>
    <row r="21" spans="1:3" x14ac:dyDescent="0.2">
      <c r="A21" s="6">
        <v>12</v>
      </c>
      <c r="B21" s="6" t="s">
        <v>66</v>
      </c>
      <c r="C21" s="5" t="s">
        <v>57</v>
      </c>
    </row>
    <row r="22" spans="1:3" x14ac:dyDescent="0.2">
      <c r="A22" s="6">
        <v>13</v>
      </c>
      <c r="B22" s="6" t="s">
        <v>67</v>
      </c>
      <c r="C22" s="5" t="s">
        <v>57</v>
      </c>
    </row>
    <row r="23" spans="1:3" x14ac:dyDescent="0.2">
      <c r="A23" s="6">
        <v>14</v>
      </c>
      <c r="B23" s="6" t="s">
        <v>68</v>
      </c>
      <c r="C23" s="5" t="s">
        <v>57</v>
      </c>
    </row>
    <row r="24" spans="1:3" x14ac:dyDescent="0.2">
      <c r="A24" s="6">
        <v>15</v>
      </c>
      <c r="B24" s="6" t="s">
        <v>69</v>
      </c>
      <c r="C24" s="5" t="s">
        <v>57</v>
      </c>
    </row>
    <row r="25" spans="1:3" x14ac:dyDescent="0.2">
      <c r="A25" s="6">
        <v>16</v>
      </c>
      <c r="B25" s="6" t="s">
        <v>70</v>
      </c>
      <c r="C25" s="5" t="s">
        <v>57</v>
      </c>
    </row>
    <row r="26" spans="1:3" x14ac:dyDescent="0.2">
      <c r="A26" s="6">
        <v>17</v>
      </c>
      <c r="B26" s="6" t="s">
        <v>71</v>
      </c>
      <c r="C26" s="5" t="s">
        <v>57</v>
      </c>
    </row>
    <row r="27" spans="1:3" x14ac:dyDescent="0.2">
      <c r="A27" s="6">
        <v>18</v>
      </c>
      <c r="B27" s="6" t="s">
        <v>72</v>
      </c>
      <c r="C27" s="5" t="s">
        <v>57</v>
      </c>
    </row>
    <row r="28" spans="1:3" x14ac:dyDescent="0.2">
      <c r="A28" s="6">
        <v>19</v>
      </c>
      <c r="B28" s="6" t="s">
        <v>73</v>
      </c>
      <c r="C28" s="5" t="s">
        <v>56</v>
      </c>
    </row>
    <row r="29" spans="1:3" x14ac:dyDescent="0.2">
      <c r="A29" s="6">
        <v>20</v>
      </c>
      <c r="B29" s="6" t="s">
        <v>75</v>
      </c>
      <c r="C29" s="5" t="s">
        <v>57</v>
      </c>
    </row>
    <row r="30" spans="1:3" x14ac:dyDescent="0.2">
      <c r="A30" s="6">
        <v>21</v>
      </c>
      <c r="B30" s="6" t="s">
        <v>76</v>
      </c>
      <c r="C30" s="5" t="s">
        <v>57</v>
      </c>
    </row>
    <row r="31" spans="1:3" x14ac:dyDescent="0.2">
      <c r="A31" s="6">
        <v>22</v>
      </c>
      <c r="B31" s="6" t="s">
        <v>77</v>
      </c>
      <c r="C31" s="5" t="s">
        <v>57</v>
      </c>
    </row>
    <row r="32" spans="1:3" x14ac:dyDescent="0.2">
      <c r="A32" s="6">
        <v>23</v>
      </c>
      <c r="B32" s="6" t="s">
        <v>78</v>
      </c>
      <c r="C32" s="5" t="s">
        <v>55</v>
      </c>
    </row>
    <row r="33" spans="1:3" x14ac:dyDescent="0.2">
      <c r="A33" s="6">
        <v>24</v>
      </c>
      <c r="B33" s="6" t="s">
        <v>79</v>
      </c>
      <c r="C33" s="5" t="s">
        <v>57</v>
      </c>
    </row>
    <row r="34" spans="1:3" x14ac:dyDescent="0.2">
      <c r="A34" s="6">
        <v>25</v>
      </c>
      <c r="B34" s="6" t="s">
        <v>80</v>
      </c>
      <c r="C34" s="5" t="s">
        <v>57</v>
      </c>
    </row>
    <row r="35" spans="1:3" x14ac:dyDescent="0.2">
      <c r="A35" s="6">
        <v>26</v>
      </c>
      <c r="B35" s="6" t="s">
        <v>81</v>
      </c>
      <c r="C35" s="5" t="s">
        <v>57</v>
      </c>
    </row>
    <row r="36" spans="1:3" x14ac:dyDescent="0.2">
      <c r="A36" s="6">
        <v>27</v>
      </c>
      <c r="B36" s="6" t="s">
        <v>82</v>
      </c>
      <c r="C36" s="5" t="s">
        <v>57</v>
      </c>
    </row>
    <row r="37" spans="1:3" x14ac:dyDescent="0.2">
      <c r="A37" s="6">
        <v>28</v>
      </c>
      <c r="B37" s="6" t="s">
        <v>83</v>
      </c>
      <c r="C37" s="5" t="s">
        <v>57</v>
      </c>
    </row>
    <row r="38" spans="1:3" x14ac:dyDescent="0.2">
      <c r="A38" s="6">
        <v>29</v>
      </c>
      <c r="B38" s="6" t="s">
        <v>84</v>
      </c>
      <c r="C38" s="5" t="s">
        <v>57</v>
      </c>
    </row>
    <row r="39" spans="1:3" x14ac:dyDescent="0.2">
      <c r="A39" s="6">
        <v>30</v>
      </c>
      <c r="B39" s="6" t="s">
        <v>86</v>
      </c>
      <c r="C39" s="5" t="s">
        <v>57</v>
      </c>
    </row>
    <row r="40" spans="1:3" x14ac:dyDescent="0.2">
      <c r="A40" s="6">
        <v>31</v>
      </c>
      <c r="B40" s="6" t="s">
        <v>87</v>
      </c>
      <c r="C40" s="5" t="s">
        <v>57</v>
      </c>
    </row>
    <row r="41" spans="1:3" x14ac:dyDescent="0.2">
      <c r="A41" s="6">
        <v>32</v>
      </c>
      <c r="B41" s="6" t="s">
        <v>88</v>
      </c>
      <c r="C41" s="5" t="s">
        <v>57</v>
      </c>
    </row>
    <row r="42" spans="1:3" x14ac:dyDescent="0.2">
      <c r="A42" s="6">
        <v>33</v>
      </c>
      <c r="B42" s="6" t="s">
        <v>89</v>
      </c>
      <c r="C42" s="5" t="s">
        <v>57</v>
      </c>
    </row>
    <row r="43" spans="1:3" x14ac:dyDescent="0.2">
      <c r="A43" s="6">
        <v>34</v>
      </c>
      <c r="B43" s="6" t="s">
        <v>90</v>
      </c>
      <c r="C43" s="5" t="s">
        <v>57</v>
      </c>
    </row>
    <row r="44" spans="1:3" x14ac:dyDescent="0.2">
      <c r="A44" s="6">
        <v>35</v>
      </c>
      <c r="B44" s="6" t="s">
        <v>91</v>
      </c>
      <c r="C44" s="5" t="s">
        <v>57</v>
      </c>
    </row>
    <row r="45" spans="1:3" x14ac:dyDescent="0.2">
      <c r="A45" s="6">
        <v>36</v>
      </c>
      <c r="B45" s="6" t="s">
        <v>92</v>
      </c>
      <c r="C45" s="5" t="s">
        <v>57</v>
      </c>
    </row>
    <row r="46" spans="1:3" x14ac:dyDescent="0.2">
      <c r="A46" s="6">
        <v>37</v>
      </c>
      <c r="B46" s="6" t="s">
        <v>93</v>
      </c>
      <c r="C46" s="5" t="s">
        <v>57</v>
      </c>
    </row>
    <row r="47" spans="1:3" x14ac:dyDescent="0.2">
      <c r="A47" s="6">
        <v>38</v>
      </c>
      <c r="B47" s="6" t="s">
        <v>94</v>
      </c>
      <c r="C47" s="5" t="s">
        <v>57</v>
      </c>
    </row>
    <row r="48" spans="1:3" x14ac:dyDescent="0.2">
      <c r="A48" s="6">
        <v>39</v>
      </c>
      <c r="B48" s="6" t="s">
        <v>95</v>
      </c>
      <c r="C48" s="5" t="s">
        <v>57</v>
      </c>
    </row>
    <row r="49" spans="1:3" x14ac:dyDescent="0.2">
      <c r="A49" s="6">
        <v>40</v>
      </c>
      <c r="B49" s="6" t="s">
        <v>97</v>
      </c>
      <c r="C49" s="5" t="s">
        <v>57</v>
      </c>
    </row>
    <row r="50" spans="1:3" x14ac:dyDescent="0.2">
      <c r="A50" s="6">
        <v>41</v>
      </c>
      <c r="B50" s="6" t="s">
        <v>98</v>
      </c>
      <c r="C50" s="5" t="s">
        <v>57</v>
      </c>
    </row>
    <row r="51" spans="1:3" x14ac:dyDescent="0.2">
      <c r="A51" s="6">
        <v>42</v>
      </c>
      <c r="B51" s="6" t="s">
        <v>99</v>
      </c>
      <c r="C51" s="5" t="s">
        <v>57</v>
      </c>
    </row>
    <row r="52" spans="1:3" x14ac:dyDescent="0.2">
      <c r="A52" s="6">
        <v>43</v>
      </c>
      <c r="B52" s="6" t="s">
        <v>100</v>
      </c>
      <c r="C52" s="5" t="s">
        <v>57</v>
      </c>
    </row>
    <row r="53" spans="1:3" x14ac:dyDescent="0.2">
      <c r="A53" s="6">
        <v>44</v>
      </c>
      <c r="B53" s="6" t="s">
        <v>101</v>
      </c>
      <c r="C53" s="5" t="s">
        <v>57</v>
      </c>
    </row>
    <row r="54" spans="1:3" x14ac:dyDescent="0.2">
      <c r="A54" s="6">
        <v>47</v>
      </c>
      <c r="B54" s="6" t="s">
        <v>102</v>
      </c>
      <c r="C54" s="5" t="s">
        <v>57</v>
      </c>
    </row>
    <row r="55" spans="1:3" x14ac:dyDescent="0.2">
      <c r="A55" s="6">
        <v>48</v>
      </c>
      <c r="B55" s="6" t="s">
        <v>103</v>
      </c>
      <c r="C55" s="5" t="s">
        <v>57</v>
      </c>
    </row>
    <row r="56" spans="1:3" x14ac:dyDescent="0.2">
      <c r="A56" s="6">
        <v>49</v>
      </c>
      <c r="B56" s="6" t="s">
        <v>104</v>
      </c>
      <c r="C56" s="5" t="s">
        <v>57</v>
      </c>
    </row>
    <row r="57" spans="1:3" x14ac:dyDescent="0.2">
      <c r="A57" s="6">
        <v>50</v>
      </c>
      <c r="B57" s="6" t="s">
        <v>106</v>
      </c>
      <c r="C57" s="5" t="s">
        <v>57</v>
      </c>
    </row>
    <row r="58" spans="1:3" x14ac:dyDescent="0.2">
      <c r="A58" s="6">
        <v>51</v>
      </c>
      <c r="B58" s="6" t="s">
        <v>107</v>
      </c>
      <c r="C58" s="5" t="s">
        <v>57</v>
      </c>
    </row>
    <row r="59" spans="1:3" x14ac:dyDescent="0.2">
      <c r="A59" s="6">
        <v>52</v>
      </c>
      <c r="B59" s="6" t="s">
        <v>108</v>
      </c>
      <c r="C59" s="5" t="s">
        <v>57</v>
      </c>
    </row>
    <row r="60" spans="1:3" x14ac:dyDescent="0.2">
      <c r="A60" s="6">
        <v>53</v>
      </c>
      <c r="B60" s="6" t="s">
        <v>109</v>
      </c>
      <c r="C60" s="5" t="s">
        <v>57</v>
      </c>
    </row>
    <row r="61" spans="1:3" x14ac:dyDescent="0.2">
      <c r="A61" s="6">
        <v>54</v>
      </c>
      <c r="B61" s="6" t="s">
        <v>110</v>
      </c>
      <c r="C61" s="5" t="s">
        <v>57</v>
      </c>
    </row>
  </sheetData>
  <sortState ref="A7:C58">
    <sortCondition ref="A7:A58"/>
  </sortState>
  <mergeCells count="2">
    <mergeCell ref="A3:C4"/>
    <mergeCell ref="E3:G4"/>
  </mergeCells>
  <conditionalFormatting sqref="A10:B61">
    <cfRule type="expression" dxfId="19" priority="3">
      <formula>ABS(A10-XFD10)/XFD10&gt;0.1</formula>
    </cfRule>
  </conditionalFormatting>
  <conditionalFormatting sqref="C10:C61">
    <cfRule type="expression" dxfId="18" priority="1">
      <formula>C10="Flat 1"</formula>
    </cfRule>
    <cfRule type="expression" dxfId="17" priority="2">
      <formula>C10="Primary 1"</formula>
    </cfRule>
  </conditionalFormatting>
  <dataValidations count="1">
    <dataValidation type="list" allowBlank="1" showInputMessage="1" showErrorMessage="1" sqref="C10:C61">
      <formula1>v_curves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50" sqref="D50"/>
    </sheetView>
  </sheetViews>
  <sheetFormatPr defaultRowHeight="11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39"/>
  <sheetViews>
    <sheetView workbookViewId="0">
      <selection activeCell="E11" sqref="E11"/>
    </sheetView>
  </sheetViews>
  <sheetFormatPr defaultRowHeight="11.25" x14ac:dyDescent="0.2"/>
  <cols>
    <col min="7" max="7" width="11.83203125" bestFit="1" customWidth="1"/>
    <col min="8" max="8" width="15" bestFit="1" customWidth="1"/>
    <col min="11" max="11" width="21.33203125" bestFit="1" customWidth="1"/>
    <col min="12" max="12" width="17.1640625" bestFit="1" customWidth="1"/>
    <col min="13" max="13" width="21.6640625" bestFit="1" customWidth="1"/>
    <col min="15" max="15" width="18.5" bestFit="1" customWidth="1"/>
    <col min="16" max="16" width="16.5" bestFit="1" customWidth="1"/>
    <col min="20" max="20" width="12.83203125" style="54" bestFit="1" customWidth="1"/>
    <col min="21" max="21" width="12.1640625" bestFit="1" customWidth="1"/>
    <col min="22" max="22" width="12.83203125" style="54" bestFit="1" customWidth="1"/>
    <col min="23" max="23" width="12.1640625" bestFit="1" customWidth="1"/>
    <col min="24" max="24" width="9.33203125" style="54"/>
    <col min="25" max="25" width="12.1640625" bestFit="1" customWidth="1"/>
    <col min="27" max="27" width="10.1640625" style="54" bestFit="1" customWidth="1"/>
    <col min="29" max="29" width="9.33203125" style="7"/>
    <col min="30" max="30" width="10.1640625" bestFit="1" customWidth="1"/>
    <col min="31" max="31" width="11.83203125" style="7" bestFit="1" customWidth="1"/>
    <col min="32" max="32" width="10.33203125" style="54" bestFit="1" customWidth="1"/>
    <col min="33" max="33" width="12.1640625" style="54" bestFit="1" customWidth="1"/>
    <col min="34" max="34" width="12.1640625" style="7" customWidth="1"/>
    <col min="35" max="35" width="12.1640625" bestFit="1" customWidth="1"/>
    <col min="36" max="36" width="12.1640625" style="7" customWidth="1"/>
    <col min="37" max="37" width="15.33203125" bestFit="1" customWidth="1"/>
    <col min="38" max="38" width="16" bestFit="1" customWidth="1"/>
    <col min="39" max="39" width="19.6640625" bestFit="1" customWidth="1"/>
  </cols>
  <sheetData>
    <row r="1" spans="1:39" s="8" customFormat="1" x14ac:dyDescent="0.2">
      <c r="A1" s="8" t="s">
        <v>13</v>
      </c>
      <c r="B1" s="8" t="s">
        <v>14</v>
      </c>
      <c r="C1" s="8" t="s">
        <v>15</v>
      </c>
      <c r="D1" s="8" t="s">
        <v>16</v>
      </c>
      <c r="E1" s="8" t="s">
        <v>17</v>
      </c>
      <c r="F1" s="8" t="s">
        <v>18</v>
      </c>
      <c r="G1" s="8" t="s">
        <v>19</v>
      </c>
      <c r="H1" s="8" t="s">
        <v>20</v>
      </c>
      <c r="I1" s="8" t="s">
        <v>21</v>
      </c>
      <c r="J1" s="8" t="s">
        <v>22</v>
      </c>
      <c r="K1" s="8" t="s">
        <v>23</v>
      </c>
      <c r="L1" s="8" t="s">
        <v>24</v>
      </c>
      <c r="M1" s="8" t="s">
        <v>25</v>
      </c>
      <c r="N1" s="8" t="s">
        <v>26</v>
      </c>
      <c r="O1" s="8" t="s">
        <v>27</v>
      </c>
      <c r="P1" s="8" t="s">
        <v>28</v>
      </c>
      <c r="Q1" s="8" t="s">
        <v>29</v>
      </c>
      <c r="R1" s="8" t="s">
        <v>30</v>
      </c>
      <c r="S1" s="8" t="s">
        <v>31</v>
      </c>
      <c r="T1" s="53" t="s">
        <v>32</v>
      </c>
      <c r="U1" s="8" t="s">
        <v>33</v>
      </c>
      <c r="V1" s="53" t="s">
        <v>34</v>
      </c>
      <c r="W1" s="8" t="s">
        <v>35</v>
      </c>
      <c r="X1" s="53" t="s">
        <v>36</v>
      </c>
      <c r="Y1" s="8" t="s">
        <v>37</v>
      </c>
      <c r="Z1" s="8" t="s">
        <v>38</v>
      </c>
      <c r="AA1" s="53" t="s">
        <v>39</v>
      </c>
      <c r="AB1" s="8" t="s">
        <v>40</v>
      </c>
      <c r="AC1" s="9" t="s">
        <v>292</v>
      </c>
      <c r="AD1" s="8" t="s">
        <v>41</v>
      </c>
      <c r="AE1" s="9" t="s">
        <v>293</v>
      </c>
      <c r="AF1" s="53" t="s">
        <v>42</v>
      </c>
      <c r="AG1" s="53" t="s">
        <v>43</v>
      </c>
      <c r="AH1" s="9" t="s">
        <v>54</v>
      </c>
      <c r="AI1" s="8" t="s">
        <v>44</v>
      </c>
      <c r="AJ1" s="9" t="s">
        <v>45</v>
      </c>
      <c r="AK1" s="8" t="s">
        <v>46</v>
      </c>
      <c r="AL1" s="8" t="s">
        <v>47</v>
      </c>
      <c r="AM1" s="8" t="s">
        <v>48</v>
      </c>
    </row>
    <row r="2" spans="1:39" x14ac:dyDescent="0.2">
      <c r="A2">
        <v>1</v>
      </c>
      <c r="D2" t="s">
        <v>116</v>
      </c>
      <c r="E2">
        <v>1960</v>
      </c>
      <c r="F2" t="s">
        <v>117</v>
      </c>
      <c r="G2" t="s">
        <v>118</v>
      </c>
      <c r="H2" t="s">
        <v>119</v>
      </c>
      <c r="I2" t="s">
        <v>49</v>
      </c>
      <c r="J2">
        <v>1</v>
      </c>
      <c r="K2" t="s">
        <v>120</v>
      </c>
      <c r="L2">
        <v>1</v>
      </c>
      <c r="M2" t="s">
        <v>121</v>
      </c>
      <c r="N2">
        <v>2</v>
      </c>
      <c r="O2" t="s">
        <v>122</v>
      </c>
      <c r="P2">
        <v>1</v>
      </c>
      <c r="S2">
        <v>1960</v>
      </c>
      <c r="T2" s="54">
        <v>528820</v>
      </c>
      <c r="U2">
        <v>0.136386300515971</v>
      </c>
      <c r="V2" s="54">
        <v>50000</v>
      </c>
      <c r="W2">
        <v>0.142128752590504</v>
      </c>
      <c r="X2" s="54">
        <v>70311</v>
      </c>
      <c r="Y2">
        <v>0.136386300515971</v>
      </c>
      <c r="Z2" t="s">
        <v>52</v>
      </c>
      <c r="AA2" s="54">
        <v>649131</v>
      </c>
      <c r="AC2" s="7">
        <v>0.93500000000000005</v>
      </c>
      <c r="AD2">
        <v>2</v>
      </c>
      <c r="AE2" s="7">
        <v>1</v>
      </c>
      <c r="AF2" s="54">
        <v>649131</v>
      </c>
      <c r="AG2" s="54">
        <v>0</v>
      </c>
      <c r="AH2" s="7" t="s">
        <v>55</v>
      </c>
      <c r="AI2">
        <v>830.46417858102063</v>
      </c>
      <c r="AJ2" s="7">
        <v>1</v>
      </c>
      <c r="AK2">
        <v>830.46417858102063</v>
      </c>
      <c r="AL2">
        <v>1.27934758E-3</v>
      </c>
      <c r="AM2">
        <v>1.27934758E-3</v>
      </c>
    </row>
    <row r="3" spans="1:39" x14ac:dyDescent="0.2">
      <c r="A3">
        <v>2</v>
      </c>
      <c r="D3" t="s">
        <v>123</v>
      </c>
      <c r="E3">
        <v>1960</v>
      </c>
      <c r="F3" t="s">
        <v>117</v>
      </c>
      <c r="G3" t="s">
        <v>118</v>
      </c>
      <c r="H3" t="s">
        <v>119</v>
      </c>
      <c r="I3" t="s">
        <v>49</v>
      </c>
      <c r="J3">
        <v>1</v>
      </c>
      <c r="K3" t="s">
        <v>120</v>
      </c>
      <c r="L3">
        <v>1</v>
      </c>
      <c r="M3" t="s">
        <v>121</v>
      </c>
      <c r="N3">
        <v>2</v>
      </c>
      <c r="O3" t="s">
        <v>122</v>
      </c>
      <c r="P3">
        <v>1</v>
      </c>
      <c r="S3">
        <v>1960</v>
      </c>
      <c r="T3" s="54">
        <v>553720</v>
      </c>
      <c r="U3">
        <v>0.136386300515971</v>
      </c>
      <c r="V3" s="54">
        <v>0</v>
      </c>
      <c r="W3">
        <v>0.142128752590504</v>
      </c>
      <c r="X3" s="54">
        <v>70286</v>
      </c>
      <c r="Y3">
        <v>0.136386300515971</v>
      </c>
      <c r="Z3" t="s">
        <v>52</v>
      </c>
      <c r="AA3" s="54">
        <v>624006</v>
      </c>
      <c r="AC3" s="7">
        <v>0.93500000000000005</v>
      </c>
      <c r="AD3">
        <v>2</v>
      </c>
      <c r="AE3" s="7">
        <v>1</v>
      </c>
      <c r="AF3" s="54">
        <v>624006</v>
      </c>
      <c r="AG3" s="54">
        <v>0</v>
      </c>
      <c r="AH3" s="7" t="s">
        <v>55</v>
      </c>
      <c r="AI3">
        <v>795.7398830018401</v>
      </c>
      <c r="AJ3" s="7">
        <v>1</v>
      </c>
      <c r="AK3">
        <v>795.7398830018401</v>
      </c>
      <c r="AL3">
        <v>1.2752118999999999E-3</v>
      </c>
      <c r="AM3">
        <v>1.2752118999999999E-3</v>
      </c>
    </row>
    <row r="4" spans="1:39" x14ac:dyDescent="0.2">
      <c r="A4">
        <v>3</v>
      </c>
      <c r="D4" t="s">
        <v>124</v>
      </c>
      <c r="E4">
        <v>1960</v>
      </c>
      <c r="F4" t="s">
        <v>117</v>
      </c>
      <c r="G4" t="s">
        <v>118</v>
      </c>
      <c r="H4" t="s">
        <v>119</v>
      </c>
      <c r="I4" t="s">
        <v>49</v>
      </c>
      <c r="J4">
        <v>1</v>
      </c>
      <c r="K4" t="s">
        <v>120</v>
      </c>
      <c r="L4">
        <v>1</v>
      </c>
      <c r="M4" t="s">
        <v>121</v>
      </c>
      <c r="N4">
        <v>2</v>
      </c>
      <c r="O4" t="s">
        <v>122</v>
      </c>
      <c r="P4">
        <v>1</v>
      </c>
      <c r="S4">
        <v>1960</v>
      </c>
      <c r="T4" s="54">
        <v>551572</v>
      </c>
      <c r="U4">
        <v>0.136386300515971</v>
      </c>
      <c r="V4" s="54">
        <v>0</v>
      </c>
      <c r="W4">
        <v>0.142128752590504</v>
      </c>
      <c r="X4" s="54">
        <v>70286</v>
      </c>
      <c r="Y4">
        <v>0.136386300515971</v>
      </c>
      <c r="Z4" t="s">
        <v>52</v>
      </c>
      <c r="AA4" s="54">
        <v>621858</v>
      </c>
      <c r="AC4" s="7">
        <v>0.93500000000000005</v>
      </c>
      <c r="AD4">
        <v>2</v>
      </c>
      <c r="AE4" s="7">
        <v>1</v>
      </c>
      <c r="AF4" s="54">
        <v>621858</v>
      </c>
      <c r="AG4" s="54">
        <v>0</v>
      </c>
      <c r="AH4" s="7" t="s">
        <v>55</v>
      </c>
      <c r="AI4">
        <v>793.00072781953747</v>
      </c>
      <c r="AJ4" s="7">
        <v>1</v>
      </c>
      <c r="AK4">
        <v>793.00072781953747</v>
      </c>
      <c r="AL4">
        <v>1.2752118999999999E-3</v>
      </c>
      <c r="AM4">
        <v>1.2752118999999999E-3</v>
      </c>
    </row>
    <row r="5" spans="1:39" x14ac:dyDescent="0.2">
      <c r="A5">
        <v>4</v>
      </c>
      <c r="D5" t="s">
        <v>125</v>
      </c>
      <c r="E5">
        <v>1960</v>
      </c>
      <c r="F5" t="s">
        <v>117</v>
      </c>
      <c r="G5" t="s">
        <v>118</v>
      </c>
      <c r="H5" t="s">
        <v>119</v>
      </c>
      <c r="I5" t="s">
        <v>49</v>
      </c>
      <c r="J5">
        <v>1</v>
      </c>
      <c r="K5" t="s">
        <v>120</v>
      </c>
      <c r="L5">
        <v>1</v>
      </c>
      <c r="M5" t="s">
        <v>121</v>
      </c>
      <c r="N5">
        <v>2</v>
      </c>
      <c r="O5" t="s">
        <v>122</v>
      </c>
      <c r="P5">
        <v>1</v>
      </c>
      <c r="S5">
        <v>1960</v>
      </c>
      <c r="T5" s="54">
        <v>550404</v>
      </c>
      <c r="U5">
        <v>0.136386300515971</v>
      </c>
      <c r="V5" s="54">
        <v>0</v>
      </c>
      <c r="W5">
        <v>0.142128752590504</v>
      </c>
      <c r="X5" s="54">
        <v>70286</v>
      </c>
      <c r="Y5">
        <v>0.136386300515971</v>
      </c>
      <c r="Z5" t="s">
        <v>52</v>
      </c>
      <c r="AA5" s="54">
        <v>620690</v>
      </c>
      <c r="AC5" s="7">
        <v>0.93500000000000005</v>
      </c>
      <c r="AD5">
        <v>2</v>
      </c>
      <c r="AE5" s="7">
        <v>1</v>
      </c>
      <c r="AF5" s="54">
        <v>620690</v>
      </c>
      <c r="AG5" s="54">
        <v>0</v>
      </c>
      <c r="AH5" s="7" t="s">
        <v>55</v>
      </c>
      <c r="AI5">
        <v>791.51128030886264</v>
      </c>
      <c r="AJ5" s="7">
        <v>1</v>
      </c>
      <c r="AK5">
        <v>791.51128030886264</v>
      </c>
      <c r="AL5">
        <v>1.2752118999999999E-3</v>
      </c>
      <c r="AM5">
        <v>1.2752118999999999E-3</v>
      </c>
    </row>
    <row r="6" spans="1:39" x14ac:dyDescent="0.2">
      <c r="A6">
        <v>5</v>
      </c>
      <c r="D6" t="s">
        <v>126</v>
      </c>
      <c r="E6">
        <v>1960</v>
      </c>
      <c r="F6" t="s">
        <v>117</v>
      </c>
      <c r="G6" t="s">
        <v>118</v>
      </c>
      <c r="H6" t="s">
        <v>119</v>
      </c>
      <c r="I6" t="s">
        <v>49</v>
      </c>
      <c r="J6">
        <v>1</v>
      </c>
      <c r="K6" t="s">
        <v>120</v>
      </c>
      <c r="L6">
        <v>1</v>
      </c>
      <c r="M6" t="s">
        <v>121</v>
      </c>
      <c r="N6">
        <v>2</v>
      </c>
      <c r="O6" t="s">
        <v>122</v>
      </c>
      <c r="P6">
        <v>1</v>
      </c>
      <c r="S6">
        <v>1960</v>
      </c>
      <c r="T6" s="54">
        <v>549400</v>
      </c>
      <c r="U6">
        <v>0.136386300515971</v>
      </c>
      <c r="V6" s="54">
        <v>0</v>
      </c>
      <c r="W6">
        <v>0.142128752590504</v>
      </c>
      <c r="X6" s="54">
        <v>70286</v>
      </c>
      <c r="Y6">
        <v>0.136386300515971</v>
      </c>
      <c r="Z6" t="s">
        <v>52</v>
      </c>
      <c r="AA6" s="54">
        <v>619686</v>
      </c>
      <c r="AC6" s="7">
        <v>0.93500000000000005</v>
      </c>
      <c r="AD6">
        <v>2</v>
      </c>
      <c r="AE6" s="7">
        <v>1</v>
      </c>
      <c r="AF6" s="54">
        <v>619686</v>
      </c>
      <c r="AG6" s="54">
        <v>0</v>
      </c>
      <c r="AH6" s="7" t="s">
        <v>55</v>
      </c>
      <c r="AI6">
        <v>790.23096755139909</v>
      </c>
      <c r="AJ6" s="7">
        <v>1</v>
      </c>
      <c r="AK6">
        <v>790.23096755139909</v>
      </c>
      <c r="AL6">
        <v>1.2752118999999999E-3</v>
      </c>
      <c r="AM6">
        <v>1.2752118999999999E-3</v>
      </c>
    </row>
    <row r="7" spans="1:39" x14ac:dyDescent="0.2">
      <c r="A7">
        <v>6</v>
      </c>
      <c r="D7" t="s">
        <v>127</v>
      </c>
      <c r="E7">
        <v>1960</v>
      </c>
      <c r="F7" t="s">
        <v>117</v>
      </c>
      <c r="G7" t="s">
        <v>118</v>
      </c>
      <c r="H7" t="s">
        <v>119</v>
      </c>
      <c r="I7" t="s">
        <v>49</v>
      </c>
      <c r="J7">
        <v>1</v>
      </c>
      <c r="K7" t="s">
        <v>120</v>
      </c>
      <c r="L7">
        <v>1</v>
      </c>
      <c r="M7" t="s">
        <v>121</v>
      </c>
      <c r="N7">
        <v>2</v>
      </c>
      <c r="O7" t="s">
        <v>122</v>
      </c>
      <c r="P7">
        <v>1</v>
      </c>
      <c r="S7">
        <v>1960</v>
      </c>
      <c r="T7" s="54">
        <v>1007078</v>
      </c>
      <c r="U7">
        <v>0.136386300515971</v>
      </c>
      <c r="V7" s="54">
        <v>0</v>
      </c>
      <c r="W7">
        <v>0.142128752590504</v>
      </c>
      <c r="X7" s="54">
        <v>124446</v>
      </c>
      <c r="Y7">
        <v>0.136386300515971</v>
      </c>
      <c r="Z7" t="s">
        <v>52</v>
      </c>
      <c r="AA7" s="54">
        <v>1131524</v>
      </c>
      <c r="AC7" s="7">
        <v>0.93500000000000005</v>
      </c>
      <c r="AD7">
        <v>2</v>
      </c>
      <c r="AE7" s="7">
        <v>1</v>
      </c>
      <c r="AF7" s="54">
        <v>1131524</v>
      </c>
      <c r="AG7" s="54">
        <v>0</v>
      </c>
      <c r="AH7" s="7" t="s">
        <v>55</v>
      </c>
      <c r="AI7">
        <v>1442.932881052064</v>
      </c>
      <c r="AJ7" s="7">
        <v>1</v>
      </c>
      <c r="AK7">
        <v>1442.932881052064</v>
      </c>
      <c r="AL7">
        <v>1.2752118999999999E-3</v>
      </c>
      <c r="AM7">
        <v>1.2752118999999999E-3</v>
      </c>
    </row>
    <row r="8" spans="1:39" x14ac:dyDescent="0.2">
      <c r="A8">
        <v>7</v>
      </c>
      <c r="D8" t="s">
        <v>128</v>
      </c>
      <c r="E8">
        <v>1960</v>
      </c>
      <c r="F8" t="s">
        <v>117</v>
      </c>
      <c r="G8" t="s">
        <v>118</v>
      </c>
      <c r="H8" t="s">
        <v>119</v>
      </c>
      <c r="I8" t="s">
        <v>49</v>
      </c>
      <c r="J8">
        <v>1</v>
      </c>
      <c r="K8" t="s">
        <v>120</v>
      </c>
      <c r="L8">
        <v>1</v>
      </c>
      <c r="M8" t="s">
        <v>121</v>
      </c>
      <c r="N8">
        <v>2</v>
      </c>
      <c r="O8" t="s">
        <v>122</v>
      </c>
      <c r="P8">
        <v>1</v>
      </c>
      <c r="S8">
        <v>1960</v>
      </c>
      <c r="T8" s="54">
        <v>440537</v>
      </c>
      <c r="U8">
        <v>0.136386300515971</v>
      </c>
      <c r="V8" s="54">
        <v>0</v>
      </c>
      <c r="W8">
        <v>0.142128752590504</v>
      </c>
      <c r="X8" s="54">
        <v>70286</v>
      </c>
      <c r="Y8">
        <v>0.136386300515971</v>
      </c>
      <c r="Z8" t="s">
        <v>52</v>
      </c>
      <c r="AA8" s="54">
        <v>510823</v>
      </c>
      <c r="AC8" s="7">
        <v>0.93500000000000005</v>
      </c>
      <c r="AD8">
        <v>2</v>
      </c>
      <c r="AE8" s="7">
        <v>1</v>
      </c>
      <c r="AF8" s="54">
        <v>510823</v>
      </c>
      <c r="AG8" s="54">
        <v>0</v>
      </c>
      <c r="AH8" s="7" t="s">
        <v>55</v>
      </c>
      <c r="AI8">
        <v>651.40757341219307</v>
      </c>
      <c r="AJ8" s="7">
        <v>1</v>
      </c>
      <c r="AK8">
        <v>651.40757341219307</v>
      </c>
      <c r="AL8">
        <v>1.2752118999999999E-3</v>
      </c>
      <c r="AM8">
        <v>1.2752118999999999E-3</v>
      </c>
    </row>
    <row r="9" spans="1:39" x14ac:dyDescent="0.2">
      <c r="A9">
        <v>8</v>
      </c>
      <c r="D9" t="s">
        <v>129</v>
      </c>
      <c r="E9">
        <v>1960</v>
      </c>
      <c r="F9" t="s">
        <v>117</v>
      </c>
      <c r="G9" t="s">
        <v>118</v>
      </c>
      <c r="H9" t="s">
        <v>119</v>
      </c>
      <c r="I9" t="s">
        <v>49</v>
      </c>
      <c r="J9">
        <v>1</v>
      </c>
      <c r="K9" t="s">
        <v>120</v>
      </c>
      <c r="L9">
        <v>1</v>
      </c>
      <c r="M9" t="s">
        <v>121</v>
      </c>
      <c r="N9">
        <v>2</v>
      </c>
      <c r="O9" t="s">
        <v>122</v>
      </c>
      <c r="P9">
        <v>1</v>
      </c>
      <c r="S9">
        <v>1960</v>
      </c>
      <c r="T9" s="54">
        <v>544925</v>
      </c>
      <c r="U9">
        <v>0.136386300515971</v>
      </c>
      <c r="V9" s="54">
        <v>0</v>
      </c>
      <c r="W9">
        <v>0.142128752590504</v>
      </c>
      <c r="X9" s="54">
        <v>70286</v>
      </c>
      <c r="Y9">
        <v>0.136386300515971</v>
      </c>
      <c r="Z9" t="s">
        <v>52</v>
      </c>
      <c r="AA9" s="54">
        <v>615211</v>
      </c>
      <c r="AC9" s="7">
        <v>0.93500000000000005</v>
      </c>
      <c r="AD9">
        <v>2</v>
      </c>
      <c r="AE9" s="7">
        <v>1</v>
      </c>
      <c r="AF9" s="54">
        <v>615211</v>
      </c>
      <c r="AG9" s="54">
        <v>0</v>
      </c>
      <c r="AH9" s="7" t="s">
        <v>55</v>
      </c>
      <c r="AI9">
        <v>784.52439425493515</v>
      </c>
      <c r="AJ9" s="7">
        <v>1</v>
      </c>
      <c r="AK9">
        <v>784.52439425493515</v>
      </c>
      <c r="AL9">
        <v>1.2752118999999999E-3</v>
      </c>
      <c r="AM9">
        <v>1.2752118999999999E-3</v>
      </c>
    </row>
    <row r="10" spans="1:39" x14ac:dyDescent="0.2">
      <c r="A10">
        <v>9</v>
      </c>
      <c r="D10" t="s">
        <v>130</v>
      </c>
      <c r="E10">
        <v>1960</v>
      </c>
      <c r="F10" t="s">
        <v>117</v>
      </c>
      <c r="G10" t="s">
        <v>118</v>
      </c>
      <c r="H10" t="s">
        <v>119</v>
      </c>
      <c r="I10" t="s">
        <v>49</v>
      </c>
      <c r="J10">
        <v>1</v>
      </c>
      <c r="K10" t="s">
        <v>120</v>
      </c>
      <c r="L10">
        <v>1</v>
      </c>
      <c r="M10" t="s">
        <v>121</v>
      </c>
      <c r="N10">
        <v>2</v>
      </c>
      <c r="O10" t="s">
        <v>122</v>
      </c>
      <c r="P10">
        <v>1</v>
      </c>
      <c r="S10">
        <v>1960</v>
      </c>
      <c r="T10" s="54">
        <v>409227</v>
      </c>
      <c r="U10">
        <v>0.136386300515971</v>
      </c>
      <c r="V10" s="54">
        <v>0</v>
      </c>
      <c r="W10">
        <v>0.142128752590504</v>
      </c>
      <c r="X10" s="54">
        <v>70286</v>
      </c>
      <c r="Y10">
        <v>0.136386300515971</v>
      </c>
      <c r="Z10" t="s">
        <v>52</v>
      </c>
      <c r="AA10" s="54">
        <v>479513</v>
      </c>
      <c r="AC10" s="7">
        <v>0.93500000000000005</v>
      </c>
      <c r="AD10">
        <v>2</v>
      </c>
      <c r="AE10" s="7">
        <v>1</v>
      </c>
      <c r="AF10" s="54">
        <v>479513</v>
      </c>
      <c r="AG10" s="54">
        <v>0</v>
      </c>
      <c r="AH10" s="7" t="s">
        <v>55</v>
      </c>
      <c r="AI10">
        <v>611.48068851559344</v>
      </c>
      <c r="AJ10" s="7">
        <v>1</v>
      </c>
      <c r="AK10">
        <v>611.48068851559344</v>
      </c>
      <c r="AL10">
        <v>1.2752118999999999E-3</v>
      </c>
      <c r="AM10">
        <v>1.2752118999999999E-3</v>
      </c>
    </row>
    <row r="11" spans="1:39" x14ac:dyDescent="0.2">
      <c r="A11">
        <v>10</v>
      </c>
      <c r="D11" t="s">
        <v>131</v>
      </c>
      <c r="E11">
        <v>1960</v>
      </c>
      <c r="F11" t="s">
        <v>117</v>
      </c>
      <c r="G11" t="s">
        <v>118</v>
      </c>
      <c r="H11" t="s">
        <v>119</v>
      </c>
      <c r="I11" t="s">
        <v>49</v>
      </c>
      <c r="J11">
        <v>1</v>
      </c>
      <c r="K11" t="s">
        <v>120</v>
      </c>
      <c r="L11">
        <v>1</v>
      </c>
      <c r="M11" t="s">
        <v>121</v>
      </c>
      <c r="N11">
        <v>2</v>
      </c>
      <c r="O11" t="s">
        <v>122</v>
      </c>
      <c r="P11">
        <v>1</v>
      </c>
      <c r="S11">
        <v>1960</v>
      </c>
      <c r="T11" s="54">
        <v>440537</v>
      </c>
      <c r="U11">
        <v>0.136386300515971</v>
      </c>
      <c r="V11" s="54">
        <v>0</v>
      </c>
      <c r="W11">
        <v>0.142128752590504</v>
      </c>
      <c r="X11" s="54">
        <v>70286</v>
      </c>
      <c r="Y11">
        <v>0.136386300515971</v>
      </c>
      <c r="Z11" t="s">
        <v>52</v>
      </c>
      <c r="AA11" s="54">
        <v>510823</v>
      </c>
      <c r="AC11" s="7">
        <v>0.93500000000000005</v>
      </c>
      <c r="AD11">
        <v>2</v>
      </c>
      <c r="AE11" s="7">
        <v>1</v>
      </c>
      <c r="AF11" s="54">
        <v>510823</v>
      </c>
      <c r="AG11" s="54">
        <v>0</v>
      </c>
      <c r="AH11" s="7" t="s">
        <v>55</v>
      </c>
      <c r="AI11">
        <v>651.40757341219307</v>
      </c>
      <c r="AJ11" s="7">
        <v>1</v>
      </c>
      <c r="AK11">
        <v>651.40757341219307</v>
      </c>
      <c r="AL11">
        <v>1.2752118999999999E-3</v>
      </c>
      <c r="AM11">
        <v>1.2752118999999999E-3</v>
      </c>
    </row>
    <row r="12" spans="1:39" x14ac:dyDescent="0.2">
      <c r="A12">
        <v>11</v>
      </c>
      <c r="D12" t="s">
        <v>132</v>
      </c>
      <c r="E12">
        <v>1960</v>
      </c>
      <c r="F12" t="s">
        <v>117</v>
      </c>
      <c r="G12" t="s">
        <v>118</v>
      </c>
      <c r="H12" t="s">
        <v>119</v>
      </c>
      <c r="I12" t="s">
        <v>49</v>
      </c>
      <c r="J12">
        <v>1</v>
      </c>
      <c r="K12" t="s">
        <v>120</v>
      </c>
      <c r="L12">
        <v>1</v>
      </c>
      <c r="M12" t="s">
        <v>121</v>
      </c>
      <c r="N12">
        <v>2</v>
      </c>
      <c r="O12" t="s">
        <v>122</v>
      </c>
      <c r="P12">
        <v>1</v>
      </c>
      <c r="S12">
        <v>1960</v>
      </c>
      <c r="T12" s="54">
        <v>416392</v>
      </c>
      <c r="U12">
        <v>0.136386300515971</v>
      </c>
      <c r="V12" s="54">
        <v>0</v>
      </c>
      <c r="W12">
        <v>0.142128752590504</v>
      </c>
      <c r="X12" s="54">
        <v>70286</v>
      </c>
      <c r="Y12">
        <v>0.136386300515971</v>
      </c>
      <c r="Z12" t="s">
        <v>52</v>
      </c>
      <c r="AA12" s="54">
        <v>486678</v>
      </c>
      <c r="AC12" s="7">
        <v>0.93500000000000005</v>
      </c>
      <c r="AD12">
        <v>2</v>
      </c>
      <c r="AE12" s="7">
        <v>1</v>
      </c>
      <c r="AF12" s="54">
        <v>486678</v>
      </c>
      <c r="AG12" s="54">
        <v>0</v>
      </c>
      <c r="AH12" s="7" t="s">
        <v>55</v>
      </c>
      <c r="AI12">
        <v>620.61758184948474</v>
      </c>
      <c r="AJ12" s="7">
        <v>1</v>
      </c>
      <c r="AK12">
        <v>620.61758184948474</v>
      </c>
      <c r="AL12">
        <v>1.2752118999999999E-3</v>
      </c>
      <c r="AM12">
        <v>1.2752118999999999E-3</v>
      </c>
    </row>
    <row r="13" spans="1:39" x14ac:dyDescent="0.2">
      <c r="A13">
        <v>12</v>
      </c>
      <c r="D13" t="s">
        <v>133</v>
      </c>
      <c r="E13">
        <v>1960</v>
      </c>
      <c r="F13" t="s">
        <v>117</v>
      </c>
      <c r="G13" t="s">
        <v>118</v>
      </c>
      <c r="H13" t="s">
        <v>119</v>
      </c>
      <c r="I13" t="s">
        <v>49</v>
      </c>
      <c r="J13">
        <v>1</v>
      </c>
      <c r="K13" t="s">
        <v>120</v>
      </c>
      <c r="L13">
        <v>1</v>
      </c>
      <c r="M13" t="s">
        <v>121</v>
      </c>
      <c r="N13">
        <v>2</v>
      </c>
      <c r="O13" t="s">
        <v>122</v>
      </c>
      <c r="P13">
        <v>1</v>
      </c>
      <c r="S13">
        <v>1960</v>
      </c>
      <c r="T13" s="54">
        <v>440537</v>
      </c>
      <c r="U13">
        <v>0.136386300515971</v>
      </c>
      <c r="V13" s="54">
        <v>0</v>
      </c>
      <c r="W13">
        <v>0.142128752590504</v>
      </c>
      <c r="X13" s="54">
        <v>70286</v>
      </c>
      <c r="Y13">
        <v>0.136386300515971</v>
      </c>
      <c r="Z13" t="s">
        <v>52</v>
      </c>
      <c r="AA13" s="54">
        <v>510823</v>
      </c>
      <c r="AC13" s="7">
        <v>0.93500000000000005</v>
      </c>
      <c r="AD13">
        <v>2</v>
      </c>
      <c r="AE13" s="7">
        <v>1</v>
      </c>
      <c r="AF13" s="54">
        <v>510823</v>
      </c>
      <c r="AG13" s="54">
        <v>0</v>
      </c>
      <c r="AH13" s="7" t="s">
        <v>55</v>
      </c>
      <c r="AI13">
        <v>651.40757341219307</v>
      </c>
      <c r="AJ13" s="7">
        <v>1</v>
      </c>
      <c r="AK13">
        <v>651.40757341219307</v>
      </c>
      <c r="AL13">
        <v>1.2752118999999999E-3</v>
      </c>
      <c r="AM13">
        <v>1.2752118999999999E-3</v>
      </c>
    </row>
    <row r="14" spans="1:39" x14ac:dyDescent="0.2">
      <c r="A14">
        <v>13</v>
      </c>
      <c r="D14" t="s">
        <v>134</v>
      </c>
      <c r="E14">
        <v>1960</v>
      </c>
      <c r="F14" t="s">
        <v>117</v>
      </c>
      <c r="G14" t="s">
        <v>118</v>
      </c>
      <c r="H14" t="s">
        <v>119</v>
      </c>
      <c r="I14" t="s">
        <v>49</v>
      </c>
      <c r="J14">
        <v>1</v>
      </c>
      <c r="K14" t="s">
        <v>120</v>
      </c>
      <c r="L14">
        <v>1</v>
      </c>
      <c r="M14" t="s">
        <v>121</v>
      </c>
      <c r="N14">
        <v>2</v>
      </c>
      <c r="O14" t="s">
        <v>122</v>
      </c>
      <c r="P14">
        <v>1</v>
      </c>
      <c r="S14">
        <v>1960</v>
      </c>
      <c r="T14" s="54">
        <v>440537</v>
      </c>
      <c r="U14">
        <v>0.136386300515971</v>
      </c>
      <c r="V14" s="54">
        <v>0</v>
      </c>
      <c r="W14">
        <v>0.142128752590504</v>
      </c>
      <c r="X14" s="54">
        <v>70286</v>
      </c>
      <c r="Y14">
        <v>0.136386300515971</v>
      </c>
      <c r="Z14" t="s">
        <v>52</v>
      </c>
      <c r="AA14" s="54">
        <v>510823</v>
      </c>
      <c r="AC14" s="7">
        <v>0.93500000000000005</v>
      </c>
      <c r="AD14">
        <v>2</v>
      </c>
      <c r="AE14" s="7">
        <v>1</v>
      </c>
      <c r="AF14" s="54">
        <v>510823</v>
      </c>
      <c r="AG14" s="54">
        <v>0</v>
      </c>
      <c r="AH14" s="7" t="s">
        <v>55</v>
      </c>
      <c r="AI14">
        <v>651.40757341219307</v>
      </c>
      <c r="AJ14" s="7">
        <v>1</v>
      </c>
      <c r="AK14">
        <v>651.40757341219307</v>
      </c>
      <c r="AL14">
        <v>1.2752118999999999E-3</v>
      </c>
      <c r="AM14">
        <v>1.2752118999999999E-3</v>
      </c>
    </row>
    <row r="15" spans="1:39" x14ac:dyDescent="0.2">
      <c r="A15">
        <v>14</v>
      </c>
      <c r="D15" t="s">
        <v>135</v>
      </c>
      <c r="E15">
        <v>1960</v>
      </c>
      <c r="F15" t="s">
        <v>117</v>
      </c>
      <c r="G15" t="s">
        <v>118</v>
      </c>
      <c r="H15" t="s">
        <v>119</v>
      </c>
      <c r="I15" t="s">
        <v>49</v>
      </c>
      <c r="J15">
        <v>1</v>
      </c>
      <c r="K15" t="s">
        <v>120</v>
      </c>
      <c r="L15">
        <v>1</v>
      </c>
      <c r="M15" t="s">
        <v>121</v>
      </c>
      <c r="N15">
        <v>2</v>
      </c>
      <c r="O15" t="s">
        <v>122</v>
      </c>
      <c r="P15">
        <v>1</v>
      </c>
      <c r="S15">
        <v>1960</v>
      </c>
      <c r="T15" s="54">
        <v>1014526</v>
      </c>
      <c r="U15">
        <v>0.136386300515971</v>
      </c>
      <c r="V15" s="54">
        <v>0</v>
      </c>
      <c r="W15">
        <v>0.142128752590504</v>
      </c>
      <c r="X15" s="54">
        <v>124446</v>
      </c>
      <c r="Y15">
        <v>0.136386300515971</v>
      </c>
      <c r="Z15" t="s">
        <v>52</v>
      </c>
      <c r="AA15" s="54">
        <v>1138972</v>
      </c>
      <c r="AC15" s="7">
        <v>0.93500000000000005</v>
      </c>
      <c r="AD15">
        <v>2</v>
      </c>
      <c r="AE15" s="7">
        <v>1</v>
      </c>
      <c r="AF15" s="54">
        <v>1138972</v>
      </c>
      <c r="AG15" s="54">
        <v>0</v>
      </c>
      <c r="AH15" s="7" t="s">
        <v>55</v>
      </c>
      <c r="AI15">
        <v>1452.4306593564354</v>
      </c>
      <c r="AJ15" s="7">
        <v>1</v>
      </c>
      <c r="AK15">
        <v>1452.4306593564354</v>
      </c>
      <c r="AL15">
        <v>1.2752118999999999E-3</v>
      </c>
      <c r="AM15">
        <v>1.2752118999999999E-3</v>
      </c>
    </row>
    <row r="16" spans="1:39" x14ac:dyDescent="0.2">
      <c r="A16">
        <v>15</v>
      </c>
      <c r="D16" t="s">
        <v>136</v>
      </c>
      <c r="E16">
        <v>1960</v>
      </c>
      <c r="F16" t="s">
        <v>117</v>
      </c>
      <c r="G16" t="s">
        <v>118</v>
      </c>
      <c r="H16" t="s">
        <v>119</v>
      </c>
      <c r="I16" t="s">
        <v>49</v>
      </c>
      <c r="J16">
        <v>1</v>
      </c>
      <c r="K16" t="s">
        <v>120</v>
      </c>
      <c r="L16">
        <v>1</v>
      </c>
      <c r="M16" t="s">
        <v>121</v>
      </c>
      <c r="N16">
        <v>2</v>
      </c>
      <c r="O16" t="s">
        <v>122</v>
      </c>
      <c r="P16">
        <v>1</v>
      </c>
      <c r="S16">
        <v>1960</v>
      </c>
      <c r="T16" s="54">
        <v>1612958</v>
      </c>
      <c r="U16">
        <v>0.136386300515971</v>
      </c>
      <c r="V16" s="54">
        <v>0</v>
      </c>
      <c r="W16">
        <v>0.142128752590504</v>
      </c>
      <c r="X16" s="54">
        <v>124446</v>
      </c>
      <c r="Y16">
        <v>0.136386300515971</v>
      </c>
      <c r="Z16" t="s">
        <v>52</v>
      </c>
      <c r="AA16" s="54">
        <v>1737404</v>
      </c>
      <c r="AC16" s="7">
        <v>0.93500000000000005</v>
      </c>
      <c r="AD16">
        <v>2</v>
      </c>
      <c r="AE16" s="7">
        <v>1</v>
      </c>
      <c r="AF16" s="54">
        <v>1737404</v>
      </c>
      <c r="AG16" s="54">
        <v>0</v>
      </c>
      <c r="AH16" s="7" t="s">
        <v>55</v>
      </c>
      <c r="AI16">
        <v>2215.5582729764283</v>
      </c>
      <c r="AJ16" s="7">
        <v>1</v>
      </c>
      <c r="AK16">
        <v>2215.5582729764283</v>
      </c>
      <c r="AL16">
        <v>1.2752118999999999E-3</v>
      </c>
      <c r="AM16">
        <v>1.2752118999999999E-3</v>
      </c>
    </row>
    <row r="17" spans="1:39" x14ac:dyDescent="0.2">
      <c r="A17">
        <v>16</v>
      </c>
      <c r="D17" t="s">
        <v>137</v>
      </c>
      <c r="E17">
        <v>1960</v>
      </c>
      <c r="F17" t="s">
        <v>117</v>
      </c>
      <c r="G17" t="s">
        <v>118</v>
      </c>
      <c r="H17" t="s">
        <v>119</v>
      </c>
      <c r="I17" t="s">
        <v>49</v>
      </c>
      <c r="J17">
        <v>1</v>
      </c>
      <c r="K17" t="s">
        <v>120</v>
      </c>
      <c r="L17">
        <v>1</v>
      </c>
      <c r="M17" t="s">
        <v>121</v>
      </c>
      <c r="N17">
        <v>2</v>
      </c>
      <c r="O17" t="s">
        <v>122</v>
      </c>
      <c r="P17">
        <v>1</v>
      </c>
      <c r="S17">
        <v>1960</v>
      </c>
      <c r="T17" s="54">
        <v>1013417</v>
      </c>
      <c r="U17">
        <v>0.136386300515971</v>
      </c>
      <c r="V17" s="54">
        <v>0</v>
      </c>
      <c r="W17">
        <v>0.142128752590504</v>
      </c>
      <c r="X17" s="54">
        <v>124446</v>
      </c>
      <c r="Y17">
        <v>0.136386300515971</v>
      </c>
      <c r="Z17" t="s">
        <v>52</v>
      </c>
      <c r="AA17" s="54">
        <v>1137863</v>
      </c>
      <c r="AC17" s="7">
        <v>0.93500000000000005</v>
      </c>
      <c r="AD17">
        <v>2</v>
      </c>
      <c r="AE17" s="7">
        <v>1</v>
      </c>
      <c r="AF17" s="54">
        <v>1137863</v>
      </c>
      <c r="AG17" s="54">
        <v>0</v>
      </c>
      <c r="AH17" s="7" t="s">
        <v>55</v>
      </c>
      <c r="AI17">
        <v>1451.0164493484403</v>
      </c>
      <c r="AJ17" s="7">
        <v>1</v>
      </c>
      <c r="AK17">
        <v>1451.0164493484403</v>
      </c>
      <c r="AL17">
        <v>1.2752118999999999E-3</v>
      </c>
      <c r="AM17">
        <v>1.2752118999999999E-3</v>
      </c>
    </row>
    <row r="18" spans="1:39" x14ac:dyDescent="0.2">
      <c r="A18">
        <v>17</v>
      </c>
      <c r="D18" t="s">
        <v>138</v>
      </c>
      <c r="E18">
        <v>1960</v>
      </c>
      <c r="F18" t="s">
        <v>117</v>
      </c>
      <c r="G18" t="s">
        <v>118</v>
      </c>
      <c r="H18" t="s">
        <v>119</v>
      </c>
      <c r="I18" t="s">
        <v>49</v>
      </c>
      <c r="J18">
        <v>1</v>
      </c>
      <c r="K18" t="s">
        <v>120</v>
      </c>
      <c r="L18">
        <v>1</v>
      </c>
      <c r="M18" t="s">
        <v>121</v>
      </c>
      <c r="N18">
        <v>2</v>
      </c>
      <c r="O18" t="s">
        <v>122</v>
      </c>
      <c r="P18">
        <v>1</v>
      </c>
      <c r="S18">
        <v>1960</v>
      </c>
      <c r="T18" s="54">
        <v>3082654</v>
      </c>
      <c r="U18">
        <v>0.136386300515971</v>
      </c>
      <c r="V18" s="54">
        <v>0</v>
      </c>
      <c r="W18">
        <v>0.142128752590504</v>
      </c>
      <c r="X18" s="54">
        <v>286924</v>
      </c>
      <c r="Y18">
        <v>0.136386300515971</v>
      </c>
      <c r="Z18" t="s">
        <v>52</v>
      </c>
      <c r="AA18" s="54">
        <v>3369578</v>
      </c>
      <c r="AC18" s="7">
        <v>0.93500000000000005</v>
      </c>
      <c r="AD18">
        <v>2</v>
      </c>
      <c r="AE18" s="7">
        <v>1</v>
      </c>
      <c r="AF18" s="54">
        <v>3369578</v>
      </c>
      <c r="AG18" s="54">
        <v>0</v>
      </c>
      <c r="AH18" s="7" t="s">
        <v>55</v>
      </c>
      <c r="AI18">
        <v>4296.9259966820428</v>
      </c>
      <c r="AJ18" s="7">
        <v>1</v>
      </c>
      <c r="AK18">
        <v>4296.9259966820428</v>
      </c>
      <c r="AL18">
        <v>1.2752118999999999E-3</v>
      </c>
      <c r="AM18">
        <v>1.2752118999999999E-3</v>
      </c>
    </row>
    <row r="19" spans="1:39" x14ac:dyDescent="0.2">
      <c r="A19">
        <v>18</v>
      </c>
      <c r="D19" t="s">
        <v>139</v>
      </c>
      <c r="E19">
        <v>1960</v>
      </c>
      <c r="F19" t="s">
        <v>117</v>
      </c>
      <c r="G19" t="s">
        <v>118</v>
      </c>
      <c r="H19" t="s">
        <v>119</v>
      </c>
      <c r="I19" t="s">
        <v>49</v>
      </c>
      <c r="J19">
        <v>1</v>
      </c>
      <c r="K19" t="s">
        <v>120</v>
      </c>
      <c r="L19">
        <v>1</v>
      </c>
      <c r="M19" t="s">
        <v>121</v>
      </c>
      <c r="N19">
        <v>2</v>
      </c>
      <c r="O19" t="s">
        <v>122</v>
      </c>
      <c r="P19">
        <v>1</v>
      </c>
      <c r="S19">
        <v>1960</v>
      </c>
      <c r="T19" s="54">
        <v>1013417</v>
      </c>
      <c r="U19">
        <v>0.136386300515971</v>
      </c>
      <c r="V19" s="54">
        <v>0</v>
      </c>
      <c r="W19">
        <v>0.142128752590504</v>
      </c>
      <c r="X19" s="54">
        <v>124446</v>
      </c>
      <c r="Y19">
        <v>0.136386300515971</v>
      </c>
      <c r="Z19" t="s">
        <v>52</v>
      </c>
      <c r="AA19" s="54">
        <v>1137863</v>
      </c>
      <c r="AC19" s="7">
        <v>0.93500000000000005</v>
      </c>
      <c r="AD19">
        <v>2</v>
      </c>
      <c r="AE19" s="7">
        <v>1</v>
      </c>
      <c r="AF19" s="54">
        <v>1137863</v>
      </c>
      <c r="AG19" s="54">
        <v>0</v>
      </c>
      <c r="AH19" s="7" t="s">
        <v>55</v>
      </c>
      <c r="AI19">
        <v>1451.0164493484403</v>
      </c>
      <c r="AJ19" s="7">
        <v>1</v>
      </c>
      <c r="AK19">
        <v>1451.0164493484403</v>
      </c>
      <c r="AL19">
        <v>1.2752118999999999E-3</v>
      </c>
      <c r="AM19">
        <v>1.2752118999999999E-3</v>
      </c>
    </row>
    <row r="20" spans="1:39" x14ac:dyDescent="0.2">
      <c r="A20">
        <v>19</v>
      </c>
      <c r="D20" t="s">
        <v>140</v>
      </c>
      <c r="E20">
        <v>1960</v>
      </c>
      <c r="F20" t="s">
        <v>117</v>
      </c>
      <c r="G20" t="s">
        <v>118</v>
      </c>
      <c r="H20" t="s">
        <v>119</v>
      </c>
      <c r="I20" t="s">
        <v>49</v>
      </c>
      <c r="J20">
        <v>1</v>
      </c>
      <c r="K20" t="s">
        <v>120</v>
      </c>
      <c r="L20">
        <v>1</v>
      </c>
      <c r="M20" t="s">
        <v>121</v>
      </c>
      <c r="N20">
        <v>2</v>
      </c>
      <c r="O20" t="s">
        <v>122</v>
      </c>
      <c r="P20">
        <v>1</v>
      </c>
      <c r="S20">
        <v>1960</v>
      </c>
      <c r="T20" s="54">
        <v>2938284</v>
      </c>
      <c r="U20">
        <v>0.136386300515971</v>
      </c>
      <c r="V20" s="54">
        <v>0</v>
      </c>
      <c r="W20">
        <v>0.142128752590504</v>
      </c>
      <c r="X20" s="54">
        <v>232765</v>
      </c>
      <c r="Y20">
        <v>0.136386300515971</v>
      </c>
      <c r="Z20" t="s">
        <v>52</v>
      </c>
      <c r="AA20" s="54">
        <v>3171049</v>
      </c>
      <c r="AC20" s="7">
        <v>0.93500000000000005</v>
      </c>
      <c r="AD20">
        <v>2</v>
      </c>
      <c r="AE20" s="7">
        <v>1</v>
      </c>
      <c r="AF20" s="54">
        <v>3171049</v>
      </c>
      <c r="AG20" s="54">
        <v>0</v>
      </c>
      <c r="AH20" s="7" t="s">
        <v>55</v>
      </c>
      <c r="AI20">
        <v>4043.7594514365283</v>
      </c>
      <c r="AJ20" s="7">
        <v>1</v>
      </c>
      <c r="AK20">
        <v>4043.7594514365283</v>
      </c>
      <c r="AL20">
        <v>1.2752118999999999E-3</v>
      </c>
      <c r="AM20">
        <v>1.2752118999999999E-3</v>
      </c>
    </row>
    <row r="21" spans="1:39" x14ac:dyDescent="0.2">
      <c r="A21">
        <v>20</v>
      </c>
      <c r="D21" t="s">
        <v>141</v>
      </c>
      <c r="E21">
        <v>1960</v>
      </c>
      <c r="F21" t="s">
        <v>117</v>
      </c>
      <c r="G21" t="s">
        <v>118</v>
      </c>
      <c r="H21" t="s">
        <v>119</v>
      </c>
      <c r="I21" t="s">
        <v>49</v>
      </c>
      <c r="J21">
        <v>1</v>
      </c>
      <c r="K21" t="s">
        <v>120</v>
      </c>
      <c r="L21">
        <v>1</v>
      </c>
      <c r="M21" t="s">
        <v>121</v>
      </c>
      <c r="N21">
        <v>2</v>
      </c>
      <c r="O21" t="s">
        <v>122</v>
      </c>
      <c r="P21">
        <v>1</v>
      </c>
      <c r="S21">
        <v>1960</v>
      </c>
      <c r="T21" s="54">
        <v>330654</v>
      </c>
      <c r="U21">
        <v>0.136386300515971</v>
      </c>
      <c r="V21" s="54">
        <v>0</v>
      </c>
      <c r="W21">
        <v>0.142128752590504</v>
      </c>
      <c r="X21" s="54">
        <v>43207</v>
      </c>
      <c r="Y21">
        <v>0.136386300515971</v>
      </c>
      <c r="Z21" t="s">
        <v>52</v>
      </c>
      <c r="AA21" s="54">
        <v>373861</v>
      </c>
      <c r="AC21" s="7">
        <v>0.93500000000000005</v>
      </c>
      <c r="AD21">
        <v>2</v>
      </c>
      <c r="AE21" s="7">
        <v>1</v>
      </c>
      <c r="AF21" s="54">
        <v>373861</v>
      </c>
      <c r="AG21" s="54">
        <v>0</v>
      </c>
      <c r="AH21" s="7" t="s">
        <v>55</v>
      </c>
      <c r="AI21">
        <v>476.75199981883338</v>
      </c>
      <c r="AJ21" s="7">
        <v>1</v>
      </c>
      <c r="AK21">
        <v>476.75199981883338</v>
      </c>
      <c r="AL21">
        <v>1.2752118999999999E-3</v>
      </c>
      <c r="AM21">
        <v>1.2752118999999999E-3</v>
      </c>
    </row>
    <row r="22" spans="1:39" x14ac:dyDescent="0.2">
      <c r="A22">
        <v>21</v>
      </c>
      <c r="D22" t="s">
        <v>142</v>
      </c>
      <c r="E22">
        <v>1960</v>
      </c>
      <c r="F22" t="s">
        <v>117</v>
      </c>
      <c r="G22" t="s">
        <v>118</v>
      </c>
      <c r="H22" t="s">
        <v>119</v>
      </c>
      <c r="I22" t="s">
        <v>49</v>
      </c>
      <c r="J22">
        <v>1</v>
      </c>
      <c r="K22" t="s">
        <v>120</v>
      </c>
      <c r="L22">
        <v>1</v>
      </c>
      <c r="M22" t="s">
        <v>121</v>
      </c>
      <c r="N22">
        <v>2</v>
      </c>
      <c r="O22" t="s">
        <v>122</v>
      </c>
      <c r="P22">
        <v>1</v>
      </c>
      <c r="S22">
        <v>1960</v>
      </c>
      <c r="T22" s="54">
        <v>1609558</v>
      </c>
      <c r="U22">
        <v>0.136386300515971</v>
      </c>
      <c r="V22" s="54">
        <v>0</v>
      </c>
      <c r="W22">
        <v>0.142128752590504</v>
      </c>
      <c r="X22" s="54">
        <v>124446</v>
      </c>
      <c r="Y22">
        <v>0.136386300515971</v>
      </c>
      <c r="Z22" t="s">
        <v>52</v>
      </c>
      <c r="AA22" s="54">
        <v>1734004</v>
      </c>
      <c r="AC22" s="7">
        <v>0.93500000000000005</v>
      </c>
      <c r="AD22">
        <v>2</v>
      </c>
      <c r="AE22" s="7">
        <v>1</v>
      </c>
      <c r="AF22" s="54">
        <v>1734004</v>
      </c>
      <c r="AG22" s="54">
        <v>0</v>
      </c>
      <c r="AH22" s="7" t="s">
        <v>55</v>
      </c>
      <c r="AI22">
        <v>2211.2225524830255</v>
      </c>
      <c r="AJ22" s="7">
        <v>1</v>
      </c>
      <c r="AK22">
        <v>2211.2225524830255</v>
      </c>
      <c r="AL22">
        <v>1.2752118999999999E-3</v>
      </c>
      <c r="AM22">
        <v>1.2752118999999999E-3</v>
      </c>
    </row>
    <row r="23" spans="1:39" x14ac:dyDescent="0.2">
      <c r="A23">
        <v>22</v>
      </c>
      <c r="D23" t="s">
        <v>143</v>
      </c>
      <c r="E23">
        <v>1960</v>
      </c>
      <c r="F23" t="s">
        <v>117</v>
      </c>
      <c r="G23" t="s">
        <v>118</v>
      </c>
      <c r="H23" t="s">
        <v>119</v>
      </c>
      <c r="I23" t="s">
        <v>49</v>
      </c>
      <c r="J23">
        <v>1</v>
      </c>
      <c r="K23" t="s">
        <v>120</v>
      </c>
      <c r="L23">
        <v>1</v>
      </c>
      <c r="M23" t="s">
        <v>121</v>
      </c>
      <c r="N23">
        <v>2</v>
      </c>
      <c r="O23" t="s">
        <v>122</v>
      </c>
      <c r="P23">
        <v>1</v>
      </c>
      <c r="S23">
        <v>1960</v>
      </c>
      <c r="T23" s="54">
        <v>2801003</v>
      </c>
      <c r="U23">
        <v>0.136386300515971</v>
      </c>
      <c r="V23" s="54">
        <v>0</v>
      </c>
      <c r="W23">
        <v>0.142128752590504</v>
      </c>
      <c r="X23" s="54">
        <v>151525</v>
      </c>
      <c r="Y23">
        <v>0.136386300515971</v>
      </c>
      <c r="Z23" t="s">
        <v>52</v>
      </c>
      <c r="AA23" s="54">
        <v>2952528</v>
      </c>
      <c r="AC23" s="7">
        <v>0.93500000000000005</v>
      </c>
      <c r="AD23">
        <v>2</v>
      </c>
      <c r="AE23" s="7">
        <v>1</v>
      </c>
      <c r="AF23" s="54">
        <v>2952528</v>
      </c>
      <c r="AG23" s="54">
        <v>0</v>
      </c>
      <c r="AH23" s="7" t="s">
        <v>55</v>
      </c>
      <c r="AI23">
        <v>3765.0988696898062</v>
      </c>
      <c r="AJ23" s="7">
        <v>1</v>
      </c>
      <c r="AK23">
        <v>3765.0988696898062</v>
      </c>
      <c r="AL23">
        <v>1.2752118999999999E-3</v>
      </c>
      <c r="AM23">
        <v>1.2752118999999999E-3</v>
      </c>
    </row>
    <row r="24" spans="1:39" x14ac:dyDescent="0.2">
      <c r="A24">
        <v>23</v>
      </c>
      <c r="D24" t="s">
        <v>144</v>
      </c>
      <c r="E24">
        <v>1960</v>
      </c>
      <c r="F24" t="s">
        <v>117</v>
      </c>
      <c r="G24" t="s">
        <v>118</v>
      </c>
      <c r="H24" t="s">
        <v>119</v>
      </c>
      <c r="I24" t="s">
        <v>49</v>
      </c>
      <c r="J24">
        <v>1</v>
      </c>
      <c r="K24" t="s">
        <v>120</v>
      </c>
      <c r="L24">
        <v>1</v>
      </c>
      <c r="M24" t="s">
        <v>121</v>
      </c>
      <c r="N24">
        <v>2</v>
      </c>
      <c r="O24" t="s">
        <v>122</v>
      </c>
      <c r="P24">
        <v>1</v>
      </c>
      <c r="S24">
        <v>1960</v>
      </c>
      <c r="T24" s="54">
        <v>441563</v>
      </c>
      <c r="U24">
        <v>0.136386300515971</v>
      </c>
      <c r="V24" s="54">
        <v>0</v>
      </c>
      <c r="W24">
        <v>0.142128752590504</v>
      </c>
      <c r="X24" s="54">
        <v>70286</v>
      </c>
      <c r="Y24">
        <v>0.136386300515971</v>
      </c>
      <c r="Z24" t="s">
        <v>52</v>
      </c>
      <c r="AA24" s="54">
        <v>511849</v>
      </c>
      <c r="AC24" s="7">
        <v>0.93500000000000005</v>
      </c>
      <c r="AD24">
        <v>2</v>
      </c>
      <c r="AE24" s="7">
        <v>1</v>
      </c>
      <c r="AF24" s="54">
        <v>511849</v>
      </c>
      <c r="AG24" s="54">
        <v>0</v>
      </c>
      <c r="AH24" s="7" t="s">
        <v>55</v>
      </c>
      <c r="AI24">
        <v>652.71594083167292</v>
      </c>
      <c r="AJ24" s="7">
        <v>1</v>
      </c>
      <c r="AK24">
        <v>652.71594083167292</v>
      </c>
      <c r="AL24">
        <v>1.2752118999999999E-3</v>
      </c>
      <c r="AM24">
        <v>1.2752118999999999E-3</v>
      </c>
    </row>
    <row r="25" spans="1:39" x14ac:dyDescent="0.2">
      <c r="A25">
        <v>24</v>
      </c>
      <c r="D25" t="s">
        <v>145</v>
      </c>
      <c r="E25">
        <v>1960</v>
      </c>
      <c r="F25" t="s">
        <v>117</v>
      </c>
      <c r="G25" t="s">
        <v>118</v>
      </c>
      <c r="H25" t="s">
        <v>119</v>
      </c>
      <c r="I25" t="s">
        <v>49</v>
      </c>
      <c r="J25">
        <v>1</v>
      </c>
      <c r="K25" t="s">
        <v>120</v>
      </c>
      <c r="L25">
        <v>1</v>
      </c>
      <c r="M25" t="s">
        <v>121</v>
      </c>
      <c r="N25">
        <v>2</v>
      </c>
      <c r="O25" t="s">
        <v>122</v>
      </c>
      <c r="P25">
        <v>1</v>
      </c>
      <c r="S25">
        <v>1960</v>
      </c>
      <c r="T25" s="54">
        <v>4528488</v>
      </c>
      <c r="U25">
        <v>0.136386300515971</v>
      </c>
      <c r="V25" s="54">
        <v>0</v>
      </c>
      <c r="W25">
        <v>0.142128752590504</v>
      </c>
      <c r="X25" s="54">
        <v>422328</v>
      </c>
      <c r="Y25">
        <v>0.136386300515971</v>
      </c>
      <c r="Z25" t="s">
        <v>52</v>
      </c>
      <c r="AA25" s="54">
        <v>4950816</v>
      </c>
      <c r="AC25" s="7">
        <v>0.93500000000000005</v>
      </c>
      <c r="AD25">
        <v>2</v>
      </c>
      <c r="AE25" s="7">
        <v>1</v>
      </c>
      <c r="AF25" s="54">
        <v>4950816</v>
      </c>
      <c r="AG25" s="54">
        <v>0</v>
      </c>
      <c r="AH25" s="7" t="s">
        <v>55</v>
      </c>
      <c r="AI25">
        <v>6313.3395265488443</v>
      </c>
      <c r="AJ25" s="7">
        <v>1</v>
      </c>
      <c r="AK25">
        <v>6313.3395265488443</v>
      </c>
      <c r="AL25">
        <v>1.2752118999999999E-3</v>
      </c>
      <c r="AM25">
        <v>1.2752118999999999E-3</v>
      </c>
    </row>
    <row r="26" spans="1:39" x14ac:dyDescent="0.2">
      <c r="A26">
        <v>25</v>
      </c>
      <c r="D26" t="s">
        <v>146</v>
      </c>
      <c r="E26">
        <v>1960</v>
      </c>
      <c r="F26" t="s">
        <v>117</v>
      </c>
      <c r="G26" t="s">
        <v>118</v>
      </c>
      <c r="H26" t="s">
        <v>119</v>
      </c>
      <c r="I26" t="s">
        <v>49</v>
      </c>
      <c r="J26">
        <v>1</v>
      </c>
      <c r="K26" t="s">
        <v>120</v>
      </c>
      <c r="L26">
        <v>1</v>
      </c>
      <c r="M26" t="s">
        <v>121</v>
      </c>
      <c r="N26">
        <v>2</v>
      </c>
      <c r="O26" t="s">
        <v>122</v>
      </c>
      <c r="P26">
        <v>1</v>
      </c>
      <c r="S26">
        <v>1960</v>
      </c>
      <c r="T26" s="54">
        <v>1159335</v>
      </c>
      <c r="U26">
        <v>0.136386300515971</v>
      </c>
      <c r="V26" s="54">
        <v>0</v>
      </c>
      <c r="W26">
        <v>0.142128752590504</v>
      </c>
      <c r="X26" s="54">
        <v>178605</v>
      </c>
      <c r="Y26">
        <v>0.136386300515971</v>
      </c>
      <c r="Z26" t="s">
        <v>52</v>
      </c>
      <c r="AA26" s="54">
        <v>1337940</v>
      </c>
      <c r="AC26" s="7">
        <v>0.93500000000000005</v>
      </c>
      <c r="AD26">
        <v>2</v>
      </c>
      <c r="AE26" s="7">
        <v>1</v>
      </c>
      <c r="AF26" s="54">
        <v>1337940</v>
      </c>
      <c r="AG26" s="54">
        <v>0</v>
      </c>
      <c r="AH26" s="7" t="s">
        <v>55</v>
      </c>
      <c r="AI26">
        <v>1706.1570226303625</v>
      </c>
      <c r="AJ26" s="7">
        <v>1</v>
      </c>
      <c r="AK26">
        <v>1706.1570226303625</v>
      </c>
      <c r="AL26">
        <v>1.2752118999999999E-3</v>
      </c>
      <c r="AM26">
        <v>1.2752118999999999E-3</v>
      </c>
    </row>
    <row r="27" spans="1:39" x14ac:dyDescent="0.2">
      <c r="A27">
        <v>26</v>
      </c>
      <c r="D27" t="s">
        <v>147</v>
      </c>
      <c r="E27">
        <v>1960</v>
      </c>
      <c r="F27" t="s">
        <v>117</v>
      </c>
      <c r="G27" t="s">
        <v>118</v>
      </c>
      <c r="H27" t="s">
        <v>119</v>
      </c>
      <c r="I27" t="s">
        <v>49</v>
      </c>
      <c r="J27">
        <v>1</v>
      </c>
      <c r="K27" t="s">
        <v>120</v>
      </c>
      <c r="L27">
        <v>1</v>
      </c>
      <c r="M27" t="s">
        <v>121</v>
      </c>
      <c r="N27">
        <v>2</v>
      </c>
      <c r="O27" t="s">
        <v>122</v>
      </c>
      <c r="P27">
        <v>1</v>
      </c>
      <c r="S27">
        <v>1960</v>
      </c>
      <c r="T27" s="54">
        <v>2801003</v>
      </c>
      <c r="U27">
        <v>0.136386300515971</v>
      </c>
      <c r="V27" s="54">
        <v>0</v>
      </c>
      <c r="W27">
        <v>0.142128752590504</v>
      </c>
      <c r="X27" s="54">
        <v>124446</v>
      </c>
      <c r="Y27">
        <v>0.136386300515971</v>
      </c>
      <c r="Z27" t="s">
        <v>52</v>
      </c>
      <c r="AA27" s="54">
        <v>2925449</v>
      </c>
      <c r="AC27" s="7">
        <v>0.93500000000000005</v>
      </c>
      <c r="AD27">
        <v>2</v>
      </c>
      <c r="AE27" s="7">
        <v>1</v>
      </c>
      <c r="AF27" s="54">
        <v>2925449</v>
      </c>
      <c r="AG27" s="54">
        <v>0</v>
      </c>
      <c r="AH27" s="7" t="s">
        <v>55</v>
      </c>
      <c r="AI27">
        <v>3730.5674063836732</v>
      </c>
      <c r="AJ27" s="7">
        <v>1</v>
      </c>
      <c r="AK27">
        <v>3730.5674063836732</v>
      </c>
      <c r="AL27">
        <v>1.2752118999999999E-3</v>
      </c>
      <c r="AM27">
        <v>1.2752118999999999E-3</v>
      </c>
    </row>
    <row r="28" spans="1:39" x14ac:dyDescent="0.2">
      <c r="A28">
        <v>27</v>
      </c>
      <c r="D28" t="s">
        <v>148</v>
      </c>
      <c r="E28">
        <v>1960</v>
      </c>
      <c r="F28" t="s">
        <v>117</v>
      </c>
      <c r="G28" t="s">
        <v>118</v>
      </c>
      <c r="H28" t="s">
        <v>119</v>
      </c>
      <c r="I28" t="s">
        <v>49</v>
      </c>
      <c r="J28">
        <v>1</v>
      </c>
      <c r="K28" t="s">
        <v>120</v>
      </c>
      <c r="L28">
        <v>1</v>
      </c>
      <c r="M28" t="s">
        <v>121</v>
      </c>
      <c r="N28">
        <v>2</v>
      </c>
      <c r="O28" t="s">
        <v>122</v>
      </c>
      <c r="P28">
        <v>1</v>
      </c>
      <c r="S28">
        <v>1960</v>
      </c>
      <c r="T28" s="54">
        <v>980536</v>
      </c>
      <c r="U28">
        <v>0.136386300515971</v>
      </c>
      <c r="V28" s="54">
        <v>0</v>
      </c>
      <c r="W28">
        <v>0.142128752590504</v>
      </c>
      <c r="X28" s="54">
        <v>110906</v>
      </c>
      <c r="Y28">
        <v>0.136386300515971</v>
      </c>
      <c r="Z28" t="s">
        <v>52</v>
      </c>
      <c r="AA28" s="54">
        <v>1091442</v>
      </c>
      <c r="AC28" s="7">
        <v>0.93500000000000005</v>
      </c>
      <c r="AD28">
        <v>2</v>
      </c>
      <c r="AE28" s="7">
        <v>1</v>
      </c>
      <c r="AF28" s="54">
        <v>1091442</v>
      </c>
      <c r="AG28" s="54">
        <v>0</v>
      </c>
      <c r="AH28" s="7" t="s">
        <v>55</v>
      </c>
      <c r="AI28">
        <v>1391.8198372824852</v>
      </c>
      <c r="AJ28" s="7">
        <v>1</v>
      </c>
      <c r="AK28">
        <v>1391.8198372824852</v>
      </c>
      <c r="AL28">
        <v>1.2752118999999999E-3</v>
      </c>
      <c r="AM28">
        <v>1.2752118999999999E-3</v>
      </c>
    </row>
    <row r="29" spans="1:39" x14ac:dyDescent="0.2">
      <c r="A29">
        <v>28</v>
      </c>
      <c r="D29" t="s">
        <v>149</v>
      </c>
      <c r="E29">
        <v>1960</v>
      </c>
      <c r="F29" t="s">
        <v>117</v>
      </c>
      <c r="G29" t="s">
        <v>118</v>
      </c>
      <c r="H29" t="s">
        <v>119</v>
      </c>
      <c r="I29" t="s">
        <v>49</v>
      </c>
      <c r="J29">
        <v>1</v>
      </c>
      <c r="K29" t="s">
        <v>120</v>
      </c>
      <c r="L29">
        <v>1</v>
      </c>
      <c r="M29" t="s">
        <v>121</v>
      </c>
      <c r="N29">
        <v>2</v>
      </c>
      <c r="O29" t="s">
        <v>122</v>
      </c>
      <c r="P29">
        <v>1</v>
      </c>
      <c r="S29">
        <v>1960</v>
      </c>
      <c r="T29" s="54">
        <v>3090090</v>
      </c>
      <c r="U29">
        <v>0.136386300515971</v>
      </c>
      <c r="V29" s="54">
        <v>0</v>
      </c>
      <c r="W29">
        <v>0.142128752590504</v>
      </c>
      <c r="X29" s="54">
        <v>232765</v>
      </c>
      <c r="Y29">
        <v>0.136386300515971</v>
      </c>
      <c r="Z29" t="s">
        <v>52</v>
      </c>
      <c r="AA29" s="54">
        <v>3322855</v>
      </c>
      <c r="AC29" s="7">
        <v>0.93500000000000005</v>
      </c>
      <c r="AD29">
        <v>2</v>
      </c>
      <c r="AE29" s="7">
        <v>1</v>
      </c>
      <c r="AF29" s="54">
        <v>3322855</v>
      </c>
      <c r="AG29" s="54">
        <v>0</v>
      </c>
      <c r="AH29" s="7" t="s">
        <v>55</v>
      </c>
      <c r="AI29">
        <v>4237.34427061932</v>
      </c>
      <c r="AJ29" s="7">
        <v>1</v>
      </c>
      <c r="AK29">
        <v>4237.34427061932</v>
      </c>
      <c r="AL29">
        <v>1.2752118999999999E-3</v>
      </c>
      <c r="AM29">
        <v>1.2752118999999999E-3</v>
      </c>
    </row>
    <row r="30" spans="1:39" x14ac:dyDescent="0.2">
      <c r="A30">
        <v>29</v>
      </c>
      <c r="D30" t="s">
        <v>150</v>
      </c>
      <c r="E30">
        <v>1960</v>
      </c>
      <c r="F30" t="s">
        <v>117</v>
      </c>
      <c r="G30" t="s">
        <v>118</v>
      </c>
      <c r="H30" t="s">
        <v>119</v>
      </c>
      <c r="I30" t="s">
        <v>49</v>
      </c>
      <c r="J30">
        <v>1</v>
      </c>
      <c r="K30" t="s">
        <v>120</v>
      </c>
      <c r="L30">
        <v>1</v>
      </c>
      <c r="M30" t="s">
        <v>121</v>
      </c>
      <c r="N30">
        <v>2</v>
      </c>
      <c r="O30" t="s">
        <v>122</v>
      </c>
      <c r="P30">
        <v>1</v>
      </c>
      <c r="S30">
        <v>1960</v>
      </c>
      <c r="T30" s="54">
        <v>4390427</v>
      </c>
      <c r="U30">
        <v>0.136386300515971</v>
      </c>
      <c r="V30" s="54">
        <v>0</v>
      </c>
      <c r="W30">
        <v>0.142128752590504</v>
      </c>
      <c r="X30" s="54">
        <v>395243</v>
      </c>
      <c r="Y30">
        <v>0.136386300515971</v>
      </c>
      <c r="Z30" t="s">
        <v>52</v>
      </c>
      <c r="AA30" s="54">
        <v>4785670</v>
      </c>
      <c r="AC30" s="7">
        <v>0.93500000000000005</v>
      </c>
      <c r="AD30">
        <v>2</v>
      </c>
      <c r="AE30" s="7">
        <v>1</v>
      </c>
      <c r="AF30" s="54">
        <v>4785670</v>
      </c>
      <c r="AG30" s="54">
        <v>0</v>
      </c>
      <c r="AH30" s="7" t="s">
        <v>55</v>
      </c>
      <c r="AI30">
        <v>6102.7433804889961</v>
      </c>
      <c r="AJ30" s="7">
        <v>1</v>
      </c>
      <c r="AK30">
        <v>6102.7433804889961</v>
      </c>
      <c r="AL30">
        <v>1.2752118999999999E-3</v>
      </c>
      <c r="AM30">
        <v>1.2752118999999999E-3</v>
      </c>
    </row>
    <row r="31" spans="1:39" x14ac:dyDescent="0.2">
      <c r="A31">
        <v>30</v>
      </c>
      <c r="D31" t="s">
        <v>151</v>
      </c>
      <c r="E31">
        <v>1960</v>
      </c>
      <c r="F31" t="s">
        <v>117</v>
      </c>
      <c r="G31" t="s">
        <v>118</v>
      </c>
      <c r="H31" t="s">
        <v>119</v>
      </c>
      <c r="I31" t="s">
        <v>49</v>
      </c>
      <c r="J31">
        <v>1</v>
      </c>
      <c r="K31" t="s">
        <v>120</v>
      </c>
      <c r="L31">
        <v>1</v>
      </c>
      <c r="M31" t="s">
        <v>121</v>
      </c>
      <c r="N31">
        <v>2</v>
      </c>
      <c r="O31" t="s">
        <v>122</v>
      </c>
      <c r="P31">
        <v>1</v>
      </c>
      <c r="S31">
        <v>1960</v>
      </c>
      <c r="T31" s="54">
        <v>803748</v>
      </c>
      <c r="U31">
        <v>0.136386300515971</v>
      </c>
      <c r="V31" s="54">
        <v>0</v>
      </c>
      <c r="W31">
        <v>0.142128752590504</v>
      </c>
      <c r="X31" s="54">
        <v>124446</v>
      </c>
      <c r="Y31">
        <v>0.136386300515971</v>
      </c>
      <c r="Z31" t="s">
        <v>52</v>
      </c>
      <c r="AA31" s="54">
        <v>928194</v>
      </c>
      <c r="AC31" s="7">
        <v>0.93500000000000005</v>
      </c>
      <c r="AD31">
        <v>2</v>
      </c>
      <c r="AE31" s="7">
        <v>1</v>
      </c>
      <c r="AF31" s="54">
        <v>928194</v>
      </c>
      <c r="AG31" s="54">
        <v>0</v>
      </c>
      <c r="AH31" s="7" t="s">
        <v>55</v>
      </c>
      <c r="AI31">
        <v>1183.644043427483</v>
      </c>
      <c r="AJ31" s="7">
        <v>1</v>
      </c>
      <c r="AK31">
        <v>1183.644043427483</v>
      </c>
      <c r="AL31">
        <v>1.2752118999999999E-3</v>
      </c>
      <c r="AM31">
        <v>1.2752118999999999E-3</v>
      </c>
    </row>
    <row r="32" spans="1:39" x14ac:dyDescent="0.2">
      <c r="A32">
        <v>31</v>
      </c>
      <c r="D32" t="s">
        <v>152</v>
      </c>
      <c r="E32">
        <v>1960</v>
      </c>
      <c r="F32" t="s">
        <v>117</v>
      </c>
      <c r="G32" t="s">
        <v>118</v>
      </c>
      <c r="H32" t="s">
        <v>119</v>
      </c>
      <c r="I32" t="s">
        <v>49</v>
      </c>
      <c r="J32">
        <v>1</v>
      </c>
      <c r="K32" t="s">
        <v>120</v>
      </c>
      <c r="L32">
        <v>1</v>
      </c>
      <c r="M32" t="s">
        <v>121</v>
      </c>
      <c r="N32">
        <v>2</v>
      </c>
      <c r="O32" t="s">
        <v>122</v>
      </c>
      <c r="P32">
        <v>1</v>
      </c>
      <c r="S32">
        <v>1960</v>
      </c>
      <c r="T32" s="54">
        <v>979105</v>
      </c>
      <c r="U32">
        <v>0.136386300515971</v>
      </c>
      <c r="V32" s="54">
        <v>0</v>
      </c>
      <c r="W32">
        <v>0.142128752590504</v>
      </c>
      <c r="X32" s="54">
        <v>110906</v>
      </c>
      <c r="Y32">
        <v>0.136386300515971</v>
      </c>
      <c r="Z32" t="s">
        <v>52</v>
      </c>
      <c r="AA32" s="54">
        <v>1090011</v>
      </c>
      <c r="AC32" s="7">
        <v>0.93500000000000005</v>
      </c>
      <c r="AD32">
        <v>2</v>
      </c>
      <c r="AE32" s="7">
        <v>1</v>
      </c>
      <c r="AF32" s="54">
        <v>1090011</v>
      </c>
      <c r="AG32" s="54">
        <v>0</v>
      </c>
      <c r="AH32" s="7" t="s">
        <v>55</v>
      </c>
      <c r="AI32">
        <v>1389.9950090395266</v>
      </c>
      <c r="AJ32" s="7">
        <v>1</v>
      </c>
      <c r="AK32">
        <v>1389.9950090395266</v>
      </c>
      <c r="AL32">
        <v>1.2752118999999999E-3</v>
      </c>
      <c r="AM32">
        <v>1.2752118999999999E-3</v>
      </c>
    </row>
    <row r="33" spans="1:39" x14ac:dyDescent="0.2">
      <c r="A33">
        <v>32</v>
      </c>
      <c r="D33" t="s">
        <v>153</v>
      </c>
      <c r="E33">
        <v>1960</v>
      </c>
      <c r="F33" t="s">
        <v>117</v>
      </c>
      <c r="G33" t="s">
        <v>118</v>
      </c>
      <c r="H33" t="s">
        <v>119</v>
      </c>
      <c r="I33" t="s">
        <v>49</v>
      </c>
      <c r="J33">
        <v>1</v>
      </c>
      <c r="K33" t="s">
        <v>120</v>
      </c>
      <c r="L33">
        <v>1</v>
      </c>
      <c r="M33" t="s">
        <v>121</v>
      </c>
      <c r="N33">
        <v>2</v>
      </c>
      <c r="O33" t="s">
        <v>122</v>
      </c>
      <c r="P33">
        <v>1</v>
      </c>
      <c r="S33">
        <v>1960</v>
      </c>
      <c r="T33" s="54">
        <v>851751</v>
      </c>
      <c r="U33">
        <v>0.136386300515971</v>
      </c>
      <c r="V33" s="54">
        <v>0</v>
      </c>
      <c r="W33">
        <v>0.142128752590504</v>
      </c>
      <c r="X33" s="54">
        <v>97336</v>
      </c>
      <c r="Y33">
        <v>0.136386300515971</v>
      </c>
      <c r="Z33" t="s">
        <v>52</v>
      </c>
      <c r="AA33" s="54">
        <v>949087</v>
      </c>
      <c r="AC33" s="7">
        <v>0.93500000000000005</v>
      </c>
      <c r="AD33">
        <v>2</v>
      </c>
      <c r="AE33" s="7">
        <v>1</v>
      </c>
      <c r="AF33" s="54">
        <v>949087</v>
      </c>
      <c r="AG33" s="54">
        <v>0</v>
      </c>
      <c r="AH33" s="7" t="s">
        <v>55</v>
      </c>
      <c r="AI33">
        <v>1210.2870458594427</v>
      </c>
      <c r="AJ33" s="7">
        <v>1</v>
      </c>
      <c r="AK33">
        <v>1210.2870458594427</v>
      </c>
      <c r="AL33">
        <v>1.2752118999999999E-3</v>
      </c>
      <c r="AM33">
        <v>1.2752118999999999E-3</v>
      </c>
    </row>
    <row r="34" spans="1:39" x14ac:dyDescent="0.2">
      <c r="A34">
        <v>33</v>
      </c>
      <c r="D34" t="s">
        <v>154</v>
      </c>
      <c r="E34">
        <v>1960</v>
      </c>
      <c r="F34" t="s">
        <v>117</v>
      </c>
      <c r="G34" t="s">
        <v>118</v>
      </c>
      <c r="H34" t="s">
        <v>119</v>
      </c>
      <c r="I34" t="s">
        <v>49</v>
      </c>
      <c r="J34">
        <v>1</v>
      </c>
      <c r="K34" t="s">
        <v>120</v>
      </c>
      <c r="L34">
        <v>1</v>
      </c>
      <c r="M34" t="s">
        <v>121</v>
      </c>
      <c r="N34">
        <v>2</v>
      </c>
      <c r="O34" t="s">
        <v>122</v>
      </c>
      <c r="P34">
        <v>1</v>
      </c>
      <c r="S34">
        <v>1960</v>
      </c>
      <c r="T34" s="54">
        <v>366695</v>
      </c>
      <c r="U34">
        <v>0.136386300515971</v>
      </c>
      <c r="V34" s="54">
        <v>0</v>
      </c>
      <c r="W34">
        <v>0.142128752590504</v>
      </c>
      <c r="X34" s="54">
        <v>70286</v>
      </c>
      <c r="Y34">
        <v>0.136386300515971</v>
      </c>
      <c r="Z34" t="s">
        <v>52</v>
      </c>
      <c r="AA34" s="54">
        <v>436981</v>
      </c>
      <c r="AC34" s="7">
        <v>0.93500000000000005</v>
      </c>
      <c r="AD34">
        <v>2</v>
      </c>
      <c r="AE34" s="7">
        <v>1</v>
      </c>
      <c r="AF34" s="54">
        <v>436981</v>
      </c>
      <c r="AG34" s="54">
        <v>0</v>
      </c>
      <c r="AH34" s="7" t="s">
        <v>55</v>
      </c>
      <c r="AI34">
        <v>557.24337556694502</v>
      </c>
      <c r="AJ34" s="7">
        <v>1</v>
      </c>
      <c r="AK34">
        <v>557.24337556694502</v>
      </c>
      <c r="AL34">
        <v>1.2752118999999999E-3</v>
      </c>
      <c r="AM34">
        <v>1.2752118999999999E-3</v>
      </c>
    </row>
    <row r="35" spans="1:39" x14ac:dyDescent="0.2">
      <c r="A35">
        <v>34</v>
      </c>
      <c r="D35" t="s">
        <v>155</v>
      </c>
      <c r="E35">
        <v>1960</v>
      </c>
      <c r="F35" t="s">
        <v>117</v>
      </c>
      <c r="G35" t="s">
        <v>118</v>
      </c>
      <c r="H35" t="s">
        <v>119</v>
      </c>
      <c r="I35" t="s">
        <v>49</v>
      </c>
      <c r="J35">
        <v>1</v>
      </c>
      <c r="K35" t="s">
        <v>120</v>
      </c>
      <c r="L35">
        <v>1</v>
      </c>
      <c r="M35" t="s">
        <v>121</v>
      </c>
      <c r="N35">
        <v>2</v>
      </c>
      <c r="O35" t="s">
        <v>122</v>
      </c>
      <c r="P35">
        <v>1</v>
      </c>
      <c r="S35">
        <v>1960</v>
      </c>
      <c r="T35" s="54">
        <v>1012463</v>
      </c>
      <c r="U35">
        <v>0.136386300515971</v>
      </c>
      <c r="V35" s="54">
        <v>0</v>
      </c>
      <c r="W35">
        <v>0.142128752590504</v>
      </c>
      <c r="X35" s="54">
        <v>124446</v>
      </c>
      <c r="Y35">
        <v>0.136386300515971</v>
      </c>
      <c r="Z35" t="s">
        <v>52</v>
      </c>
      <c r="AA35" s="54">
        <v>1136909</v>
      </c>
      <c r="AC35" s="7">
        <v>0.93500000000000005</v>
      </c>
      <c r="AD35">
        <v>2</v>
      </c>
      <c r="AE35" s="7">
        <v>1</v>
      </c>
      <c r="AF35" s="54">
        <v>1136909</v>
      </c>
      <c r="AG35" s="54">
        <v>0</v>
      </c>
      <c r="AH35" s="7" t="s">
        <v>55</v>
      </c>
      <c r="AI35">
        <v>1449.7998971864679</v>
      </c>
      <c r="AJ35" s="7">
        <v>1</v>
      </c>
      <c r="AK35">
        <v>1449.7998971864679</v>
      </c>
      <c r="AL35">
        <v>1.2752118999999999E-3</v>
      </c>
      <c r="AM35">
        <v>1.2752118999999999E-3</v>
      </c>
    </row>
    <row r="36" spans="1:39" x14ac:dyDescent="0.2">
      <c r="A36">
        <v>35</v>
      </c>
      <c r="D36" t="s">
        <v>156</v>
      </c>
      <c r="E36">
        <v>1960</v>
      </c>
      <c r="F36" t="s">
        <v>117</v>
      </c>
      <c r="G36" t="s">
        <v>118</v>
      </c>
      <c r="H36" t="s">
        <v>119</v>
      </c>
      <c r="I36" t="s">
        <v>49</v>
      </c>
      <c r="J36">
        <v>1</v>
      </c>
      <c r="K36" t="s">
        <v>120</v>
      </c>
      <c r="L36">
        <v>1</v>
      </c>
      <c r="M36" t="s">
        <v>121</v>
      </c>
      <c r="N36">
        <v>2</v>
      </c>
      <c r="O36" t="s">
        <v>122</v>
      </c>
      <c r="P36">
        <v>1</v>
      </c>
      <c r="S36">
        <v>1960</v>
      </c>
      <c r="T36" s="54">
        <v>851426</v>
      </c>
      <c r="U36">
        <v>0.136386300515971</v>
      </c>
      <c r="V36" s="54">
        <v>0</v>
      </c>
      <c r="W36">
        <v>0.142128752590504</v>
      </c>
      <c r="X36" s="54">
        <v>97366</v>
      </c>
      <c r="Y36">
        <v>0.136386300515971</v>
      </c>
      <c r="Z36" t="s">
        <v>52</v>
      </c>
      <c r="AA36" s="54">
        <v>948792</v>
      </c>
      <c r="AC36" s="7">
        <v>0.93500000000000005</v>
      </c>
      <c r="AD36">
        <v>2</v>
      </c>
      <c r="AE36" s="7">
        <v>1</v>
      </c>
      <c r="AF36" s="54">
        <v>948792</v>
      </c>
      <c r="AG36" s="54">
        <v>0</v>
      </c>
      <c r="AH36" s="7" t="s">
        <v>55</v>
      </c>
      <c r="AI36">
        <v>1209.9108583460445</v>
      </c>
      <c r="AJ36" s="7">
        <v>1</v>
      </c>
      <c r="AK36">
        <v>1209.9108583460445</v>
      </c>
      <c r="AL36">
        <v>1.2752118999999999E-3</v>
      </c>
      <c r="AM36">
        <v>1.2752118999999999E-3</v>
      </c>
    </row>
    <row r="37" spans="1:39" x14ac:dyDescent="0.2">
      <c r="A37">
        <v>36</v>
      </c>
      <c r="D37" t="s">
        <v>157</v>
      </c>
      <c r="E37">
        <v>1960</v>
      </c>
      <c r="F37" t="s">
        <v>117</v>
      </c>
      <c r="G37" t="s">
        <v>118</v>
      </c>
      <c r="H37" t="s">
        <v>119</v>
      </c>
      <c r="I37" t="s">
        <v>49</v>
      </c>
      <c r="J37">
        <v>1</v>
      </c>
      <c r="K37" t="s">
        <v>120</v>
      </c>
      <c r="L37">
        <v>1</v>
      </c>
      <c r="M37" t="s">
        <v>121</v>
      </c>
      <c r="N37">
        <v>2</v>
      </c>
      <c r="O37" t="s">
        <v>122</v>
      </c>
      <c r="P37">
        <v>1</v>
      </c>
      <c r="S37">
        <v>1960</v>
      </c>
      <c r="T37" s="54">
        <v>821113</v>
      </c>
      <c r="U37">
        <v>0.136386300515971</v>
      </c>
      <c r="V37" s="54">
        <v>0</v>
      </c>
      <c r="W37">
        <v>0.142128752590504</v>
      </c>
      <c r="X37" s="54">
        <v>97366</v>
      </c>
      <c r="Y37">
        <v>0.136386300515971</v>
      </c>
      <c r="Z37" t="s">
        <v>52</v>
      </c>
      <c r="AA37" s="54">
        <v>918479</v>
      </c>
      <c r="AC37" s="7">
        <v>0.93500000000000005</v>
      </c>
      <c r="AD37">
        <v>2</v>
      </c>
      <c r="AE37" s="7">
        <v>1</v>
      </c>
      <c r="AF37" s="54">
        <v>918479</v>
      </c>
      <c r="AG37" s="54">
        <v>0</v>
      </c>
      <c r="AH37" s="7" t="s">
        <v>55</v>
      </c>
      <c r="AI37">
        <v>1171.2553597235396</v>
      </c>
      <c r="AJ37" s="7">
        <v>1</v>
      </c>
      <c r="AK37">
        <v>1171.2553597235396</v>
      </c>
      <c r="AL37">
        <v>1.2752118999999999E-3</v>
      </c>
      <c r="AM37">
        <v>1.2752118999999999E-3</v>
      </c>
    </row>
    <row r="38" spans="1:39" x14ac:dyDescent="0.2">
      <c r="A38">
        <v>37</v>
      </c>
      <c r="D38" t="s">
        <v>158</v>
      </c>
      <c r="E38">
        <v>1960</v>
      </c>
      <c r="F38" t="s">
        <v>117</v>
      </c>
      <c r="G38" t="s">
        <v>118</v>
      </c>
      <c r="H38" t="s">
        <v>119</v>
      </c>
      <c r="I38" t="s">
        <v>49</v>
      </c>
      <c r="J38">
        <v>1</v>
      </c>
      <c r="K38" t="s">
        <v>120</v>
      </c>
      <c r="L38">
        <v>1</v>
      </c>
      <c r="M38" t="s">
        <v>121</v>
      </c>
      <c r="N38">
        <v>2</v>
      </c>
      <c r="O38" t="s">
        <v>122</v>
      </c>
      <c r="P38">
        <v>1</v>
      </c>
      <c r="S38">
        <v>1960</v>
      </c>
      <c r="T38" s="54">
        <v>596507</v>
      </c>
      <c r="U38">
        <v>0.136386300515971</v>
      </c>
      <c r="V38" s="54">
        <v>0</v>
      </c>
      <c r="W38">
        <v>0.142128752590504</v>
      </c>
      <c r="X38" s="54">
        <v>70286</v>
      </c>
      <c r="Y38">
        <v>0.136386300515971</v>
      </c>
      <c r="Z38" t="s">
        <v>52</v>
      </c>
      <c r="AA38" s="54">
        <v>666793</v>
      </c>
      <c r="AC38" s="7">
        <v>0.93500000000000005</v>
      </c>
      <c r="AD38">
        <v>2</v>
      </c>
      <c r="AE38" s="7">
        <v>1</v>
      </c>
      <c r="AF38" s="54">
        <v>666793</v>
      </c>
      <c r="AG38" s="54">
        <v>0</v>
      </c>
      <c r="AH38" s="7" t="s">
        <v>55</v>
      </c>
      <c r="AI38">
        <v>850.30237498749375</v>
      </c>
      <c r="AJ38" s="7">
        <v>1</v>
      </c>
      <c r="AK38">
        <v>850.30237498749375</v>
      </c>
      <c r="AL38">
        <v>1.2752118999999999E-3</v>
      </c>
      <c r="AM38">
        <v>1.2752118999999999E-3</v>
      </c>
    </row>
    <row r="39" spans="1:39" x14ac:dyDescent="0.2">
      <c r="A39">
        <v>38</v>
      </c>
      <c r="D39" t="s">
        <v>159</v>
      </c>
      <c r="E39">
        <v>1960</v>
      </c>
      <c r="F39" t="s">
        <v>117</v>
      </c>
      <c r="G39" t="s">
        <v>118</v>
      </c>
      <c r="H39" t="s">
        <v>119</v>
      </c>
      <c r="I39" t="s">
        <v>49</v>
      </c>
      <c r="J39">
        <v>1</v>
      </c>
      <c r="K39" t="s">
        <v>120</v>
      </c>
      <c r="L39">
        <v>1</v>
      </c>
      <c r="M39" t="s">
        <v>121</v>
      </c>
      <c r="N39">
        <v>2</v>
      </c>
      <c r="O39" t="s">
        <v>122</v>
      </c>
      <c r="P39">
        <v>1</v>
      </c>
      <c r="S39">
        <v>1960</v>
      </c>
      <c r="T39" s="54">
        <v>440537</v>
      </c>
      <c r="U39">
        <v>0.136386300515971</v>
      </c>
      <c r="V39" s="54">
        <v>0</v>
      </c>
      <c r="W39">
        <v>0.142128752590504</v>
      </c>
      <c r="X39" s="54">
        <v>70286</v>
      </c>
      <c r="Y39">
        <v>0.136386300515971</v>
      </c>
      <c r="Z39" t="s">
        <v>52</v>
      </c>
      <c r="AA39" s="54">
        <v>510823</v>
      </c>
      <c r="AC39" s="7">
        <v>0.93500000000000005</v>
      </c>
      <c r="AD39">
        <v>2</v>
      </c>
      <c r="AE39" s="7">
        <v>1</v>
      </c>
      <c r="AF39" s="54">
        <v>510823</v>
      </c>
      <c r="AG39" s="54">
        <v>0</v>
      </c>
      <c r="AH39" s="7" t="s">
        <v>55</v>
      </c>
      <c r="AI39">
        <v>651.40757341219307</v>
      </c>
      <c r="AJ39" s="7">
        <v>1</v>
      </c>
      <c r="AK39">
        <v>651.40757341219307</v>
      </c>
      <c r="AL39">
        <v>1.2752118999999999E-3</v>
      </c>
      <c r="AM39">
        <v>1.2752118999999999E-3</v>
      </c>
    </row>
    <row r="40" spans="1:39" x14ac:dyDescent="0.2">
      <c r="A40">
        <v>39</v>
      </c>
      <c r="D40" t="s">
        <v>160</v>
      </c>
      <c r="E40">
        <v>1960</v>
      </c>
      <c r="F40" t="s">
        <v>117</v>
      </c>
      <c r="G40" t="s">
        <v>118</v>
      </c>
      <c r="H40" t="s">
        <v>119</v>
      </c>
      <c r="I40" t="s">
        <v>49</v>
      </c>
      <c r="J40">
        <v>1</v>
      </c>
      <c r="K40" t="s">
        <v>120</v>
      </c>
      <c r="L40">
        <v>1</v>
      </c>
      <c r="M40" t="s">
        <v>121</v>
      </c>
      <c r="N40">
        <v>2</v>
      </c>
      <c r="O40" t="s">
        <v>122</v>
      </c>
      <c r="P40">
        <v>1</v>
      </c>
      <c r="S40">
        <v>1960</v>
      </c>
      <c r="T40" s="54">
        <v>438174</v>
      </c>
      <c r="U40">
        <v>0.136386300515971</v>
      </c>
      <c r="V40" s="54">
        <v>0</v>
      </c>
      <c r="W40">
        <v>0.142128752590504</v>
      </c>
      <c r="X40" s="54">
        <v>70286</v>
      </c>
      <c r="Y40">
        <v>0.136386300515971</v>
      </c>
      <c r="Z40" t="s">
        <v>52</v>
      </c>
      <c r="AA40" s="54">
        <v>508460</v>
      </c>
      <c r="AC40" s="7">
        <v>0.93500000000000005</v>
      </c>
      <c r="AD40">
        <v>2</v>
      </c>
      <c r="AE40" s="7">
        <v>1</v>
      </c>
      <c r="AF40" s="54">
        <v>508460</v>
      </c>
      <c r="AG40" s="54">
        <v>0</v>
      </c>
      <c r="AH40" s="7" t="s">
        <v>55</v>
      </c>
      <c r="AI40">
        <v>648.39424766927823</v>
      </c>
      <c r="AJ40" s="7">
        <v>1</v>
      </c>
      <c r="AK40">
        <v>648.39424766927823</v>
      </c>
      <c r="AL40">
        <v>1.2752118999999999E-3</v>
      </c>
      <c r="AM40">
        <v>1.2752118999999999E-3</v>
      </c>
    </row>
    <row r="41" spans="1:39" x14ac:dyDescent="0.2">
      <c r="A41">
        <v>40</v>
      </c>
      <c r="D41" t="s">
        <v>161</v>
      </c>
      <c r="E41">
        <v>1960</v>
      </c>
      <c r="F41" t="s">
        <v>117</v>
      </c>
      <c r="G41" t="s">
        <v>118</v>
      </c>
      <c r="H41" t="s">
        <v>119</v>
      </c>
      <c r="I41" t="s">
        <v>49</v>
      </c>
      <c r="J41">
        <v>1</v>
      </c>
      <c r="K41" t="s">
        <v>120</v>
      </c>
      <c r="L41">
        <v>1</v>
      </c>
      <c r="M41" t="s">
        <v>121</v>
      </c>
      <c r="N41">
        <v>2</v>
      </c>
      <c r="O41" t="s">
        <v>122</v>
      </c>
      <c r="P41">
        <v>1</v>
      </c>
      <c r="S41">
        <v>1960</v>
      </c>
      <c r="T41" s="54">
        <v>436647</v>
      </c>
      <c r="U41">
        <v>0.136386300515971</v>
      </c>
      <c r="V41" s="54">
        <v>0</v>
      </c>
      <c r="W41">
        <v>0.142128752590504</v>
      </c>
      <c r="X41" s="54">
        <v>70286</v>
      </c>
      <c r="Y41">
        <v>0.136386300515971</v>
      </c>
      <c r="Z41" t="s">
        <v>52</v>
      </c>
      <c r="AA41" s="54">
        <v>506933</v>
      </c>
      <c r="AC41" s="7">
        <v>0.93500000000000005</v>
      </c>
      <c r="AD41">
        <v>2</v>
      </c>
      <c r="AE41" s="7">
        <v>1</v>
      </c>
      <c r="AF41" s="54">
        <v>506933</v>
      </c>
      <c r="AG41" s="54">
        <v>0</v>
      </c>
      <c r="AH41" s="7" t="s">
        <v>55</v>
      </c>
      <c r="AI41">
        <v>646.4469990829765</v>
      </c>
      <c r="AJ41" s="7">
        <v>1</v>
      </c>
      <c r="AK41">
        <v>646.4469990829765</v>
      </c>
      <c r="AL41">
        <v>1.2752118999999999E-3</v>
      </c>
      <c r="AM41">
        <v>1.2752118999999999E-3</v>
      </c>
    </row>
    <row r="42" spans="1:39" x14ac:dyDescent="0.2">
      <c r="A42">
        <v>41</v>
      </c>
      <c r="D42" t="s">
        <v>162</v>
      </c>
      <c r="E42">
        <v>1960</v>
      </c>
      <c r="F42" t="s">
        <v>117</v>
      </c>
      <c r="G42" t="s">
        <v>118</v>
      </c>
      <c r="H42" t="s">
        <v>119</v>
      </c>
      <c r="I42" t="s">
        <v>49</v>
      </c>
      <c r="J42">
        <v>1</v>
      </c>
      <c r="K42" t="s">
        <v>120</v>
      </c>
      <c r="L42">
        <v>1</v>
      </c>
      <c r="M42" t="s">
        <v>121</v>
      </c>
      <c r="N42">
        <v>2</v>
      </c>
      <c r="O42" t="s">
        <v>122</v>
      </c>
      <c r="P42">
        <v>1</v>
      </c>
      <c r="S42">
        <v>1960</v>
      </c>
      <c r="T42" s="54">
        <v>368532</v>
      </c>
      <c r="U42">
        <v>0.136386300515971</v>
      </c>
      <c r="V42" s="54">
        <v>0</v>
      </c>
      <c r="W42">
        <v>0.142128752590504</v>
      </c>
      <c r="X42" s="54">
        <v>70286</v>
      </c>
      <c r="Y42">
        <v>0.136386300515971</v>
      </c>
      <c r="Z42" t="s">
        <v>52</v>
      </c>
      <c r="AA42" s="54">
        <v>438818</v>
      </c>
      <c r="AC42" s="7">
        <v>0.93500000000000005</v>
      </c>
      <c r="AD42">
        <v>2</v>
      </c>
      <c r="AE42" s="7">
        <v>1</v>
      </c>
      <c r="AF42" s="54">
        <v>438818</v>
      </c>
      <c r="AG42" s="54">
        <v>0</v>
      </c>
      <c r="AH42" s="7" t="s">
        <v>55</v>
      </c>
      <c r="AI42">
        <v>559.58593984529227</v>
      </c>
      <c r="AJ42" s="7">
        <v>1</v>
      </c>
      <c r="AK42">
        <v>559.58593984529227</v>
      </c>
      <c r="AL42">
        <v>1.2752118999999999E-3</v>
      </c>
      <c r="AM42">
        <v>1.2752118999999999E-3</v>
      </c>
    </row>
    <row r="43" spans="1:39" x14ac:dyDescent="0.2">
      <c r="A43">
        <v>42</v>
      </c>
      <c r="D43" t="s">
        <v>163</v>
      </c>
      <c r="E43">
        <v>1960</v>
      </c>
      <c r="F43" t="s">
        <v>117</v>
      </c>
      <c r="G43" t="s">
        <v>118</v>
      </c>
      <c r="H43" t="s">
        <v>119</v>
      </c>
      <c r="I43" t="s">
        <v>49</v>
      </c>
      <c r="J43">
        <v>1</v>
      </c>
      <c r="K43" t="s">
        <v>120</v>
      </c>
      <c r="L43">
        <v>1</v>
      </c>
      <c r="M43" t="s">
        <v>121</v>
      </c>
      <c r="N43">
        <v>2</v>
      </c>
      <c r="O43" t="s">
        <v>122</v>
      </c>
      <c r="P43">
        <v>1</v>
      </c>
      <c r="S43">
        <v>1960</v>
      </c>
      <c r="T43" s="54">
        <v>440537</v>
      </c>
      <c r="U43">
        <v>0.136386300515971</v>
      </c>
      <c r="V43" s="54">
        <v>0</v>
      </c>
      <c r="W43">
        <v>0.142128752590504</v>
      </c>
      <c r="X43" s="54">
        <v>70286</v>
      </c>
      <c r="Y43">
        <v>0.136386300515971</v>
      </c>
      <c r="Z43" t="s">
        <v>52</v>
      </c>
      <c r="AA43" s="54">
        <v>510823</v>
      </c>
      <c r="AC43" s="7">
        <v>0.93500000000000005</v>
      </c>
      <c r="AD43">
        <v>2</v>
      </c>
      <c r="AE43" s="7">
        <v>1</v>
      </c>
      <c r="AF43" s="54">
        <v>510823</v>
      </c>
      <c r="AG43" s="54">
        <v>0</v>
      </c>
      <c r="AH43" s="7" t="s">
        <v>55</v>
      </c>
      <c r="AI43">
        <v>651.40757341219307</v>
      </c>
      <c r="AJ43" s="7">
        <v>1</v>
      </c>
      <c r="AK43">
        <v>651.40757341219307</v>
      </c>
      <c r="AL43">
        <v>1.2752118999999999E-3</v>
      </c>
      <c r="AM43">
        <v>1.2752118999999999E-3</v>
      </c>
    </row>
    <row r="44" spans="1:39" x14ac:dyDescent="0.2">
      <c r="A44">
        <v>43</v>
      </c>
      <c r="D44" t="s">
        <v>164</v>
      </c>
      <c r="E44">
        <v>1960</v>
      </c>
      <c r="F44" t="s">
        <v>117</v>
      </c>
      <c r="G44" t="s">
        <v>118</v>
      </c>
      <c r="H44" t="s">
        <v>119</v>
      </c>
      <c r="I44" t="s">
        <v>49</v>
      </c>
      <c r="J44">
        <v>1</v>
      </c>
      <c r="K44" t="s">
        <v>120</v>
      </c>
      <c r="L44">
        <v>1</v>
      </c>
      <c r="M44" t="s">
        <v>121</v>
      </c>
      <c r="N44">
        <v>2</v>
      </c>
      <c r="O44" t="s">
        <v>122</v>
      </c>
      <c r="P44">
        <v>1</v>
      </c>
      <c r="S44">
        <v>1960</v>
      </c>
      <c r="T44" s="54">
        <v>550404</v>
      </c>
      <c r="U44">
        <v>0.136386300515971</v>
      </c>
      <c r="V44" s="54">
        <v>0</v>
      </c>
      <c r="W44">
        <v>0.142128752590504</v>
      </c>
      <c r="X44" s="54">
        <v>70286</v>
      </c>
      <c r="Y44">
        <v>0.136386300515971</v>
      </c>
      <c r="Z44" t="s">
        <v>52</v>
      </c>
      <c r="AA44" s="54">
        <v>620690</v>
      </c>
      <c r="AC44" s="7">
        <v>0.93500000000000005</v>
      </c>
      <c r="AD44">
        <v>2</v>
      </c>
      <c r="AE44" s="7">
        <v>1</v>
      </c>
      <c r="AF44" s="54">
        <v>620690</v>
      </c>
      <c r="AG44" s="54">
        <v>0</v>
      </c>
      <c r="AH44" s="7" t="s">
        <v>55</v>
      </c>
      <c r="AI44">
        <v>791.51128030886264</v>
      </c>
      <c r="AJ44" s="7">
        <v>1</v>
      </c>
      <c r="AK44">
        <v>791.51128030886264</v>
      </c>
      <c r="AL44">
        <v>1.2752118999999999E-3</v>
      </c>
      <c r="AM44">
        <v>1.2752118999999999E-3</v>
      </c>
    </row>
    <row r="45" spans="1:39" x14ac:dyDescent="0.2">
      <c r="A45">
        <v>44</v>
      </c>
      <c r="D45" t="s">
        <v>165</v>
      </c>
      <c r="E45">
        <v>1960</v>
      </c>
      <c r="F45" t="s">
        <v>117</v>
      </c>
      <c r="G45" t="s">
        <v>118</v>
      </c>
      <c r="H45" t="s">
        <v>119</v>
      </c>
      <c r="I45" t="s">
        <v>49</v>
      </c>
      <c r="J45">
        <v>1</v>
      </c>
      <c r="K45" t="s">
        <v>120</v>
      </c>
      <c r="L45">
        <v>1</v>
      </c>
      <c r="M45" t="s">
        <v>121</v>
      </c>
      <c r="N45">
        <v>2</v>
      </c>
      <c r="O45" t="s">
        <v>122</v>
      </c>
      <c r="P45">
        <v>1</v>
      </c>
      <c r="S45">
        <v>1960</v>
      </c>
      <c r="T45" s="54">
        <v>1914202</v>
      </c>
      <c r="U45">
        <v>0.136386300515971</v>
      </c>
      <c r="V45" s="54">
        <v>0</v>
      </c>
      <c r="W45">
        <v>0.142128752590504</v>
      </c>
      <c r="X45" s="54">
        <v>151525</v>
      </c>
      <c r="Y45">
        <v>0.136386300515971</v>
      </c>
      <c r="Z45" t="s">
        <v>52</v>
      </c>
      <c r="AA45" s="54">
        <v>2065727</v>
      </c>
      <c r="AC45" s="7">
        <v>0.93500000000000005</v>
      </c>
      <c r="AD45">
        <v>2</v>
      </c>
      <c r="AE45" s="7">
        <v>1</v>
      </c>
      <c r="AF45" s="54">
        <v>2065727</v>
      </c>
      <c r="AG45" s="54">
        <v>0</v>
      </c>
      <c r="AH45" s="7" t="s">
        <v>55</v>
      </c>
      <c r="AI45">
        <v>2634.2396728456815</v>
      </c>
      <c r="AJ45" s="7">
        <v>1</v>
      </c>
      <c r="AK45">
        <v>2634.2396728456815</v>
      </c>
      <c r="AL45">
        <v>1.2752118999999999E-3</v>
      </c>
      <c r="AM45">
        <v>1.2752118999999999E-3</v>
      </c>
    </row>
    <row r="46" spans="1:39" x14ac:dyDescent="0.2">
      <c r="A46">
        <v>45</v>
      </c>
      <c r="D46" t="s">
        <v>166</v>
      </c>
      <c r="E46">
        <v>1960</v>
      </c>
      <c r="F46" t="s">
        <v>117</v>
      </c>
      <c r="G46" t="s">
        <v>118</v>
      </c>
      <c r="H46" t="s">
        <v>119</v>
      </c>
      <c r="I46" t="s">
        <v>49</v>
      </c>
      <c r="J46">
        <v>1</v>
      </c>
      <c r="K46" t="s">
        <v>120</v>
      </c>
      <c r="L46">
        <v>1</v>
      </c>
      <c r="M46" t="s">
        <v>121</v>
      </c>
      <c r="N46">
        <v>2</v>
      </c>
      <c r="O46" t="s">
        <v>122</v>
      </c>
      <c r="P46">
        <v>1</v>
      </c>
      <c r="S46">
        <v>1960</v>
      </c>
      <c r="T46" s="54">
        <v>1914202</v>
      </c>
      <c r="U46">
        <v>0.136386300515971</v>
      </c>
      <c r="V46" s="54">
        <v>0</v>
      </c>
      <c r="W46">
        <v>0.142128752590504</v>
      </c>
      <c r="X46" s="54">
        <v>151525</v>
      </c>
      <c r="Y46">
        <v>0.136386300515971</v>
      </c>
      <c r="Z46" t="s">
        <v>52</v>
      </c>
      <c r="AA46" s="54">
        <v>2065727</v>
      </c>
      <c r="AC46" s="7">
        <v>0.93500000000000005</v>
      </c>
      <c r="AD46">
        <v>2</v>
      </c>
      <c r="AE46" s="7">
        <v>1</v>
      </c>
      <c r="AF46" s="54">
        <v>2065727</v>
      </c>
      <c r="AG46" s="54">
        <v>0</v>
      </c>
      <c r="AH46" s="7" t="s">
        <v>55</v>
      </c>
      <c r="AI46">
        <v>2634.2396728456815</v>
      </c>
      <c r="AJ46" s="7">
        <v>1</v>
      </c>
      <c r="AK46">
        <v>2634.2396728456815</v>
      </c>
      <c r="AL46">
        <v>1.2752118999999999E-3</v>
      </c>
      <c r="AM46">
        <v>1.2752118999999999E-3</v>
      </c>
    </row>
    <row r="47" spans="1:39" x14ac:dyDescent="0.2">
      <c r="A47">
        <v>46</v>
      </c>
      <c r="D47" t="s">
        <v>167</v>
      </c>
      <c r="E47">
        <v>1960</v>
      </c>
      <c r="F47" t="s">
        <v>117</v>
      </c>
      <c r="G47" t="s">
        <v>118</v>
      </c>
      <c r="H47" t="s">
        <v>119</v>
      </c>
      <c r="I47" t="s">
        <v>49</v>
      </c>
      <c r="J47">
        <v>1</v>
      </c>
      <c r="K47" t="s">
        <v>120</v>
      </c>
      <c r="L47">
        <v>1</v>
      </c>
      <c r="M47" t="s">
        <v>121</v>
      </c>
      <c r="N47">
        <v>2</v>
      </c>
      <c r="O47" t="s">
        <v>122</v>
      </c>
      <c r="P47">
        <v>1</v>
      </c>
      <c r="S47">
        <v>1960</v>
      </c>
      <c r="T47" s="54">
        <v>1914202</v>
      </c>
      <c r="U47">
        <v>0.136386300515971</v>
      </c>
      <c r="V47" s="54">
        <v>0</v>
      </c>
      <c r="W47">
        <v>0.142128752590504</v>
      </c>
      <c r="X47" s="54">
        <v>151525</v>
      </c>
      <c r="Y47">
        <v>0.136386300515971</v>
      </c>
      <c r="Z47" t="s">
        <v>52</v>
      </c>
      <c r="AA47" s="54">
        <v>2065727</v>
      </c>
      <c r="AC47" s="7">
        <v>0.93500000000000005</v>
      </c>
      <c r="AD47">
        <v>2</v>
      </c>
      <c r="AE47" s="7">
        <v>1</v>
      </c>
      <c r="AF47" s="54">
        <v>2065727</v>
      </c>
      <c r="AG47" s="54">
        <v>0</v>
      </c>
      <c r="AH47" s="7" t="s">
        <v>55</v>
      </c>
      <c r="AI47">
        <v>2634.2396728456815</v>
      </c>
      <c r="AJ47" s="7">
        <v>1</v>
      </c>
      <c r="AK47">
        <v>2634.2396728456815</v>
      </c>
      <c r="AL47">
        <v>1.2752118999999999E-3</v>
      </c>
      <c r="AM47">
        <v>1.2752118999999999E-3</v>
      </c>
    </row>
    <row r="48" spans="1:39" x14ac:dyDescent="0.2">
      <c r="A48">
        <v>47</v>
      </c>
      <c r="D48" t="s">
        <v>168</v>
      </c>
      <c r="E48">
        <v>1960</v>
      </c>
      <c r="F48" t="s">
        <v>117</v>
      </c>
      <c r="G48" t="s">
        <v>118</v>
      </c>
      <c r="H48" t="s">
        <v>119</v>
      </c>
      <c r="I48" t="s">
        <v>49</v>
      </c>
      <c r="J48">
        <v>1</v>
      </c>
      <c r="K48" t="s">
        <v>120</v>
      </c>
      <c r="L48">
        <v>1</v>
      </c>
      <c r="M48" t="s">
        <v>121</v>
      </c>
      <c r="N48">
        <v>2</v>
      </c>
      <c r="O48" t="s">
        <v>122</v>
      </c>
      <c r="P48">
        <v>1</v>
      </c>
      <c r="S48">
        <v>1960</v>
      </c>
      <c r="T48" s="54">
        <v>2938284</v>
      </c>
      <c r="U48">
        <v>0.136386300515971</v>
      </c>
      <c r="V48" s="54">
        <v>0</v>
      </c>
      <c r="W48">
        <v>0.142128752590504</v>
      </c>
      <c r="X48" s="54">
        <v>286924</v>
      </c>
      <c r="Y48">
        <v>0.136386300515971</v>
      </c>
      <c r="Z48" t="s">
        <v>52</v>
      </c>
      <c r="AA48" s="54">
        <v>3225208</v>
      </c>
      <c r="AC48" s="7">
        <v>0.93500000000000005</v>
      </c>
      <c r="AD48">
        <v>2</v>
      </c>
      <c r="AE48" s="7">
        <v>1</v>
      </c>
      <c r="AF48" s="54">
        <v>3225208</v>
      </c>
      <c r="AG48" s="54">
        <v>0</v>
      </c>
      <c r="AH48" s="7" t="s">
        <v>55</v>
      </c>
      <c r="AI48">
        <v>4112.8236532607043</v>
      </c>
      <c r="AJ48" s="7">
        <v>1</v>
      </c>
      <c r="AK48">
        <v>4112.8236532607043</v>
      </c>
      <c r="AL48">
        <v>1.2752118999999999E-3</v>
      </c>
      <c r="AM48">
        <v>1.2752118999999999E-3</v>
      </c>
    </row>
    <row r="49" spans="1:39" x14ac:dyDescent="0.2">
      <c r="A49">
        <v>48</v>
      </c>
      <c r="D49" t="s">
        <v>169</v>
      </c>
      <c r="E49">
        <v>1960</v>
      </c>
      <c r="F49" t="s">
        <v>117</v>
      </c>
      <c r="G49" t="s">
        <v>118</v>
      </c>
      <c r="H49" t="s">
        <v>119</v>
      </c>
      <c r="I49" t="s">
        <v>49</v>
      </c>
      <c r="J49">
        <v>1</v>
      </c>
      <c r="K49" t="s">
        <v>120</v>
      </c>
      <c r="L49">
        <v>1</v>
      </c>
      <c r="M49" t="s">
        <v>121</v>
      </c>
      <c r="N49">
        <v>2</v>
      </c>
      <c r="O49" t="s">
        <v>122</v>
      </c>
      <c r="P49">
        <v>1</v>
      </c>
      <c r="S49">
        <v>1960</v>
      </c>
      <c r="T49" s="54">
        <v>2938284</v>
      </c>
      <c r="U49">
        <v>0.136386300515971</v>
      </c>
      <c r="V49" s="54">
        <v>0</v>
      </c>
      <c r="W49">
        <v>0.142128752590504</v>
      </c>
      <c r="X49" s="54">
        <v>286924</v>
      </c>
      <c r="Y49">
        <v>0.136386300515971</v>
      </c>
      <c r="Z49" t="s">
        <v>52</v>
      </c>
      <c r="AA49" s="54">
        <v>3225208</v>
      </c>
      <c r="AC49" s="7">
        <v>0.93500000000000005</v>
      </c>
      <c r="AD49">
        <v>2</v>
      </c>
      <c r="AE49" s="7">
        <v>1</v>
      </c>
      <c r="AF49" s="54">
        <v>3225208</v>
      </c>
      <c r="AG49" s="54">
        <v>0</v>
      </c>
      <c r="AH49" s="7" t="s">
        <v>55</v>
      </c>
      <c r="AI49">
        <v>4112.8236532607043</v>
      </c>
      <c r="AJ49" s="7">
        <v>1</v>
      </c>
      <c r="AK49">
        <v>4112.8236532607043</v>
      </c>
      <c r="AL49">
        <v>1.2752118999999999E-3</v>
      </c>
      <c r="AM49">
        <v>1.2752118999999999E-3</v>
      </c>
    </row>
    <row r="50" spans="1:39" x14ac:dyDescent="0.2">
      <c r="A50">
        <v>49</v>
      </c>
      <c r="D50" t="s">
        <v>170</v>
      </c>
      <c r="E50">
        <v>1960</v>
      </c>
      <c r="F50" t="s">
        <v>117</v>
      </c>
      <c r="G50" t="s">
        <v>118</v>
      </c>
      <c r="H50" t="s">
        <v>119</v>
      </c>
      <c r="I50" t="s">
        <v>49</v>
      </c>
      <c r="J50">
        <v>1</v>
      </c>
      <c r="K50" t="s">
        <v>120</v>
      </c>
      <c r="L50">
        <v>1</v>
      </c>
      <c r="M50" t="s">
        <v>121</v>
      </c>
      <c r="N50">
        <v>2</v>
      </c>
      <c r="O50" t="s">
        <v>122</v>
      </c>
      <c r="P50">
        <v>1</v>
      </c>
      <c r="S50">
        <v>1960</v>
      </c>
      <c r="T50" s="54">
        <v>1609558</v>
      </c>
      <c r="U50">
        <v>0.136386300515971</v>
      </c>
      <c r="V50" s="54">
        <v>0</v>
      </c>
      <c r="W50">
        <v>0.142128752590504</v>
      </c>
      <c r="X50" s="54">
        <v>124446</v>
      </c>
      <c r="Y50">
        <v>0.136386300515971</v>
      </c>
      <c r="Z50" t="s">
        <v>52</v>
      </c>
      <c r="AA50" s="54">
        <v>1734004</v>
      </c>
      <c r="AC50" s="7">
        <v>0.93500000000000005</v>
      </c>
      <c r="AD50">
        <v>2</v>
      </c>
      <c r="AE50" s="7">
        <v>1</v>
      </c>
      <c r="AF50" s="54">
        <v>1734004</v>
      </c>
      <c r="AG50" s="54">
        <v>0</v>
      </c>
      <c r="AH50" s="7" t="s">
        <v>55</v>
      </c>
      <c r="AI50">
        <v>2211.2225524830255</v>
      </c>
      <c r="AJ50" s="7">
        <v>1</v>
      </c>
      <c r="AK50">
        <v>2211.2225524830255</v>
      </c>
      <c r="AL50">
        <v>1.2752118999999999E-3</v>
      </c>
      <c r="AM50">
        <v>1.2752118999999999E-3</v>
      </c>
    </row>
    <row r="51" spans="1:39" x14ac:dyDescent="0.2">
      <c r="A51">
        <v>50</v>
      </c>
      <c r="D51" t="s">
        <v>171</v>
      </c>
      <c r="E51">
        <v>1960</v>
      </c>
      <c r="F51" t="s">
        <v>117</v>
      </c>
      <c r="G51" t="s">
        <v>118</v>
      </c>
      <c r="H51" t="s">
        <v>119</v>
      </c>
      <c r="I51" t="s">
        <v>49</v>
      </c>
      <c r="J51">
        <v>1</v>
      </c>
      <c r="K51" t="s">
        <v>120</v>
      </c>
      <c r="L51">
        <v>1</v>
      </c>
      <c r="M51" t="s">
        <v>121</v>
      </c>
      <c r="N51">
        <v>2</v>
      </c>
      <c r="O51" t="s">
        <v>122</v>
      </c>
      <c r="P51">
        <v>1</v>
      </c>
      <c r="S51">
        <v>1960</v>
      </c>
      <c r="T51" s="54">
        <v>550898</v>
      </c>
      <c r="U51">
        <v>0.136386300515971</v>
      </c>
      <c r="V51" s="54">
        <v>0</v>
      </c>
      <c r="W51">
        <v>0.142128752590504</v>
      </c>
      <c r="X51" s="54">
        <v>70286</v>
      </c>
      <c r="Y51">
        <v>0.136386300515971</v>
      </c>
      <c r="Z51" t="s">
        <v>52</v>
      </c>
      <c r="AA51" s="54">
        <v>621184</v>
      </c>
      <c r="AC51" s="7">
        <v>0.93500000000000005</v>
      </c>
      <c r="AD51">
        <v>2</v>
      </c>
      <c r="AE51" s="7">
        <v>1</v>
      </c>
      <c r="AF51" s="54">
        <v>621184</v>
      </c>
      <c r="AG51" s="54">
        <v>0</v>
      </c>
      <c r="AH51" s="7" t="s">
        <v>55</v>
      </c>
      <c r="AI51">
        <v>792.14123499231584</v>
      </c>
      <c r="AJ51" s="7">
        <v>1</v>
      </c>
      <c r="AK51">
        <v>792.14123499231584</v>
      </c>
      <c r="AL51">
        <v>1.2752118999999999E-3</v>
      </c>
      <c r="AM51">
        <v>1.2752118999999999E-3</v>
      </c>
    </row>
    <row r="52" spans="1:39" x14ac:dyDescent="0.2">
      <c r="A52">
        <v>51</v>
      </c>
      <c r="D52" t="s">
        <v>172</v>
      </c>
      <c r="E52">
        <v>1960</v>
      </c>
      <c r="F52" t="s">
        <v>117</v>
      </c>
      <c r="G52" t="s">
        <v>118</v>
      </c>
      <c r="H52" t="s">
        <v>119</v>
      </c>
      <c r="I52" t="s">
        <v>49</v>
      </c>
      <c r="J52">
        <v>1</v>
      </c>
      <c r="K52" t="s">
        <v>120</v>
      </c>
      <c r="L52">
        <v>1</v>
      </c>
      <c r="M52" t="s">
        <v>121</v>
      </c>
      <c r="N52">
        <v>2</v>
      </c>
      <c r="O52" t="s">
        <v>122</v>
      </c>
      <c r="P52">
        <v>1</v>
      </c>
      <c r="S52">
        <v>1960</v>
      </c>
      <c r="T52" s="54">
        <v>804228</v>
      </c>
      <c r="U52">
        <v>0.136386300515971</v>
      </c>
      <c r="V52" s="54">
        <v>0</v>
      </c>
      <c r="W52">
        <v>0.142128752590504</v>
      </c>
      <c r="X52" s="54">
        <v>124446</v>
      </c>
      <c r="Y52">
        <v>0.136386300515971</v>
      </c>
      <c r="Z52" t="s">
        <v>52</v>
      </c>
      <c r="AA52" s="54">
        <v>928674</v>
      </c>
      <c r="AC52" s="7">
        <v>0.93500000000000005</v>
      </c>
      <c r="AD52">
        <v>2</v>
      </c>
      <c r="AE52" s="7">
        <v>1</v>
      </c>
      <c r="AF52" s="54">
        <v>928674</v>
      </c>
      <c r="AG52" s="54">
        <v>0</v>
      </c>
      <c r="AH52" s="7" t="s">
        <v>55</v>
      </c>
      <c r="AI52">
        <v>1184.2561451441989</v>
      </c>
      <c r="AJ52" s="7">
        <v>1</v>
      </c>
      <c r="AK52">
        <v>1184.2561451441989</v>
      </c>
      <c r="AL52">
        <v>1.2752118999999999E-3</v>
      </c>
      <c r="AM52">
        <v>1.2752118999999999E-3</v>
      </c>
    </row>
    <row r="53" spans="1:39" x14ac:dyDescent="0.2">
      <c r="A53">
        <v>52</v>
      </c>
      <c r="D53" t="s">
        <v>173</v>
      </c>
      <c r="E53">
        <v>1960</v>
      </c>
      <c r="F53" t="s">
        <v>117</v>
      </c>
      <c r="G53" t="s">
        <v>118</v>
      </c>
      <c r="H53" t="s">
        <v>119</v>
      </c>
      <c r="I53" t="s">
        <v>49</v>
      </c>
      <c r="J53">
        <v>1</v>
      </c>
      <c r="K53" t="s">
        <v>120</v>
      </c>
      <c r="L53">
        <v>1</v>
      </c>
      <c r="M53" t="s">
        <v>121</v>
      </c>
      <c r="N53">
        <v>2</v>
      </c>
      <c r="O53" t="s">
        <v>122</v>
      </c>
      <c r="P53">
        <v>1</v>
      </c>
      <c r="S53">
        <v>1960</v>
      </c>
      <c r="T53" s="54">
        <v>544925</v>
      </c>
      <c r="U53">
        <v>0.136386300515971</v>
      </c>
      <c r="V53" s="54">
        <v>0</v>
      </c>
      <c r="W53">
        <v>0.142128752590504</v>
      </c>
      <c r="X53" s="54">
        <v>70286</v>
      </c>
      <c r="Y53">
        <v>0.136386300515971</v>
      </c>
      <c r="Z53" t="s">
        <v>52</v>
      </c>
      <c r="AA53" s="54">
        <v>615211</v>
      </c>
      <c r="AC53" s="7">
        <v>0.93500000000000005</v>
      </c>
      <c r="AD53">
        <v>2</v>
      </c>
      <c r="AE53" s="7">
        <v>1</v>
      </c>
      <c r="AF53" s="54">
        <v>615211</v>
      </c>
      <c r="AG53" s="54">
        <v>0</v>
      </c>
      <c r="AH53" s="7" t="s">
        <v>55</v>
      </c>
      <c r="AI53">
        <v>784.52439425493515</v>
      </c>
      <c r="AJ53" s="7">
        <v>1</v>
      </c>
      <c r="AK53">
        <v>784.52439425493515</v>
      </c>
      <c r="AL53">
        <v>1.2752118999999999E-3</v>
      </c>
      <c r="AM53">
        <v>1.2752118999999999E-3</v>
      </c>
    </row>
    <row r="54" spans="1:39" x14ac:dyDescent="0.2">
      <c r="A54">
        <v>53</v>
      </c>
      <c r="D54" t="s">
        <v>174</v>
      </c>
      <c r="E54">
        <v>1960</v>
      </c>
      <c r="F54" t="s">
        <v>117</v>
      </c>
      <c r="G54" t="s">
        <v>118</v>
      </c>
      <c r="H54" t="s">
        <v>119</v>
      </c>
      <c r="I54" t="s">
        <v>49</v>
      </c>
      <c r="J54">
        <v>1</v>
      </c>
      <c r="K54" t="s">
        <v>120</v>
      </c>
      <c r="L54">
        <v>1</v>
      </c>
      <c r="M54" t="s">
        <v>121</v>
      </c>
      <c r="N54">
        <v>2</v>
      </c>
      <c r="O54" t="s">
        <v>122</v>
      </c>
      <c r="P54">
        <v>1</v>
      </c>
      <c r="S54">
        <v>1960</v>
      </c>
      <c r="T54" s="54">
        <v>551562</v>
      </c>
      <c r="U54">
        <v>0.136386300515971</v>
      </c>
      <c r="V54" s="54">
        <v>0</v>
      </c>
      <c r="W54">
        <v>0.142128752590504</v>
      </c>
      <c r="X54" s="54">
        <v>70286</v>
      </c>
      <c r="Y54">
        <v>0.136386300515971</v>
      </c>
      <c r="Z54" t="s">
        <v>52</v>
      </c>
      <c r="AA54" s="54">
        <v>621848</v>
      </c>
      <c r="AC54" s="7">
        <v>0.93500000000000005</v>
      </c>
      <c r="AD54">
        <v>2</v>
      </c>
      <c r="AE54" s="7">
        <v>1</v>
      </c>
      <c r="AF54" s="54">
        <v>621848</v>
      </c>
      <c r="AG54" s="54">
        <v>0</v>
      </c>
      <c r="AH54" s="7" t="s">
        <v>55</v>
      </c>
      <c r="AI54">
        <v>792.98797570043928</v>
      </c>
      <c r="AJ54" s="7">
        <v>1</v>
      </c>
      <c r="AK54">
        <v>792.98797570043928</v>
      </c>
      <c r="AL54">
        <v>1.2752118999999999E-3</v>
      </c>
      <c r="AM54">
        <v>1.2752118999999999E-3</v>
      </c>
    </row>
    <row r="55" spans="1:39" x14ac:dyDescent="0.2">
      <c r="A55">
        <v>54</v>
      </c>
      <c r="D55" t="s">
        <v>175</v>
      </c>
      <c r="E55">
        <v>1960</v>
      </c>
      <c r="F55" t="s">
        <v>117</v>
      </c>
      <c r="G55" t="s">
        <v>118</v>
      </c>
      <c r="H55" t="s">
        <v>119</v>
      </c>
      <c r="I55" t="s">
        <v>49</v>
      </c>
      <c r="J55">
        <v>1</v>
      </c>
      <c r="K55" t="s">
        <v>120</v>
      </c>
      <c r="L55">
        <v>1</v>
      </c>
      <c r="M55" t="s">
        <v>121</v>
      </c>
      <c r="N55">
        <v>2</v>
      </c>
      <c r="O55" t="s">
        <v>122</v>
      </c>
      <c r="P55">
        <v>1</v>
      </c>
      <c r="S55">
        <v>1960</v>
      </c>
      <c r="T55" s="54">
        <v>2938284</v>
      </c>
      <c r="U55">
        <v>0.136386300515971</v>
      </c>
      <c r="V55" s="54">
        <v>0</v>
      </c>
      <c r="W55">
        <v>0.142128752590504</v>
      </c>
      <c r="X55" s="54">
        <v>232765</v>
      </c>
      <c r="Y55">
        <v>0.136386300515971</v>
      </c>
      <c r="Z55" t="s">
        <v>52</v>
      </c>
      <c r="AA55" s="54">
        <v>3171049</v>
      </c>
      <c r="AC55" s="7">
        <v>0.93500000000000005</v>
      </c>
      <c r="AD55">
        <v>2</v>
      </c>
      <c r="AE55" s="7">
        <v>1</v>
      </c>
      <c r="AF55" s="54">
        <v>3171049</v>
      </c>
      <c r="AG55" s="54">
        <v>0</v>
      </c>
      <c r="AH55" s="7" t="s">
        <v>55</v>
      </c>
      <c r="AI55">
        <v>4043.7594514365283</v>
      </c>
      <c r="AJ55" s="7">
        <v>1</v>
      </c>
      <c r="AK55">
        <v>4043.7594514365283</v>
      </c>
      <c r="AL55">
        <v>1.2752118999999999E-3</v>
      </c>
      <c r="AM55">
        <v>1.2752118999999999E-3</v>
      </c>
    </row>
    <row r="56" spans="1:39" x14ac:dyDescent="0.2">
      <c r="A56">
        <v>55</v>
      </c>
      <c r="D56" t="s">
        <v>176</v>
      </c>
      <c r="E56">
        <v>1960</v>
      </c>
      <c r="F56" t="s">
        <v>117</v>
      </c>
      <c r="G56" t="s">
        <v>118</v>
      </c>
      <c r="H56" t="s">
        <v>119</v>
      </c>
      <c r="I56" t="s">
        <v>49</v>
      </c>
      <c r="J56">
        <v>1</v>
      </c>
      <c r="K56" t="s">
        <v>120</v>
      </c>
      <c r="L56">
        <v>1</v>
      </c>
      <c r="M56" t="s">
        <v>121</v>
      </c>
      <c r="N56">
        <v>2</v>
      </c>
      <c r="O56" t="s">
        <v>122</v>
      </c>
      <c r="P56">
        <v>1</v>
      </c>
      <c r="S56">
        <v>1960</v>
      </c>
      <c r="T56" s="54">
        <v>3331380</v>
      </c>
      <c r="U56">
        <v>0.136386300515971</v>
      </c>
      <c r="V56" s="54">
        <v>0</v>
      </c>
      <c r="W56">
        <v>0.142128752590504</v>
      </c>
      <c r="X56" s="54">
        <v>341083</v>
      </c>
      <c r="Y56">
        <v>0.136386300515971</v>
      </c>
      <c r="Z56" t="s">
        <v>52</v>
      </c>
      <c r="AA56" s="54">
        <v>3672463</v>
      </c>
      <c r="AC56" s="7">
        <v>0.93500000000000005</v>
      </c>
      <c r="AD56">
        <v>2</v>
      </c>
      <c r="AE56" s="7">
        <v>1</v>
      </c>
      <c r="AF56" s="54">
        <v>3672463</v>
      </c>
      <c r="AG56" s="54">
        <v>0</v>
      </c>
      <c r="AH56" s="7" t="s">
        <v>55</v>
      </c>
      <c r="AI56">
        <v>4683.1685559891839</v>
      </c>
      <c r="AJ56" s="7">
        <v>1</v>
      </c>
      <c r="AK56">
        <v>4683.1685559891839</v>
      </c>
      <c r="AL56">
        <v>1.2752118999999999E-3</v>
      </c>
      <c r="AM56">
        <v>1.2752118999999999E-3</v>
      </c>
    </row>
    <row r="57" spans="1:39" x14ac:dyDescent="0.2">
      <c r="A57">
        <v>56</v>
      </c>
      <c r="D57" t="s">
        <v>177</v>
      </c>
      <c r="E57">
        <v>1960</v>
      </c>
      <c r="F57" t="s">
        <v>117</v>
      </c>
      <c r="G57" t="s">
        <v>118</v>
      </c>
      <c r="H57" t="s">
        <v>119</v>
      </c>
      <c r="I57" t="s">
        <v>49</v>
      </c>
      <c r="J57">
        <v>1</v>
      </c>
      <c r="K57" t="s">
        <v>120</v>
      </c>
      <c r="L57">
        <v>1</v>
      </c>
      <c r="M57" t="s">
        <v>121</v>
      </c>
      <c r="N57">
        <v>2</v>
      </c>
      <c r="O57" t="s">
        <v>122</v>
      </c>
      <c r="P57">
        <v>1</v>
      </c>
      <c r="S57">
        <v>1960</v>
      </c>
      <c r="T57" s="54">
        <v>1466525</v>
      </c>
      <c r="U57">
        <v>0.136386300515971</v>
      </c>
      <c r="V57" s="54">
        <v>0</v>
      </c>
      <c r="W57">
        <v>0.142128752590504</v>
      </c>
      <c r="X57" s="54">
        <v>124446</v>
      </c>
      <c r="Y57">
        <v>0.136386300515971</v>
      </c>
      <c r="Z57" t="s">
        <v>52</v>
      </c>
      <c r="AA57" s="54">
        <v>1590971</v>
      </c>
      <c r="AC57" s="7">
        <v>0.93500000000000005</v>
      </c>
      <c r="AD57">
        <v>2</v>
      </c>
      <c r="AE57" s="7">
        <v>1</v>
      </c>
      <c r="AF57" s="54">
        <v>1590971</v>
      </c>
      <c r="AG57" s="54">
        <v>0</v>
      </c>
      <c r="AH57" s="7" t="s">
        <v>55</v>
      </c>
      <c r="AI57">
        <v>2028.8251673851223</v>
      </c>
      <c r="AJ57" s="7">
        <v>1</v>
      </c>
      <c r="AK57">
        <v>2028.8251673851223</v>
      </c>
      <c r="AL57">
        <v>1.2752118999999999E-3</v>
      </c>
      <c r="AM57">
        <v>1.2752118999999999E-3</v>
      </c>
    </row>
    <row r="58" spans="1:39" x14ac:dyDescent="0.2">
      <c r="A58">
        <v>57</v>
      </c>
      <c r="D58" t="s">
        <v>178</v>
      </c>
      <c r="E58">
        <v>1960</v>
      </c>
      <c r="F58" t="s">
        <v>117</v>
      </c>
      <c r="G58" t="s">
        <v>118</v>
      </c>
      <c r="H58" t="s">
        <v>119</v>
      </c>
      <c r="I58" t="s">
        <v>49</v>
      </c>
      <c r="J58">
        <v>1</v>
      </c>
      <c r="K58" t="s">
        <v>120</v>
      </c>
      <c r="L58">
        <v>1</v>
      </c>
      <c r="M58" t="s">
        <v>121</v>
      </c>
      <c r="N58">
        <v>2</v>
      </c>
      <c r="O58" t="s">
        <v>122</v>
      </c>
      <c r="P58">
        <v>1</v>
      </c>
      <c r="S58">
        <v>1960</v>
      </c>
      <c r="T58" s="54">
        <v>2790897</v>
      </c>
      <c r="U58">
        <v>0.136386300515971</v>
      </c>
      <c r="V58" s="54">
        <v>0</v>
      </c>
      <c r="W58">
        <v>0.142128752590504</v>
      </c>
      <c r="X58" s="54">
        <v>232765</v>
      </c>
      <c r="Y58">
        <v>0.136386300515971</v>
      </c>
      <c r="Z58" t="s">
        <v>52</v>
      </c>
      <c r="AA58" s="54">
        <v>3023662</v>
      </c>
      <c r="AC58" s="7">
        <v>0.93500000000000005</v>
      </c>
      <c r="AD58">
        <v>2</v>
      </c>
      <c r="AE58" s="7">
        <v>1</v>
      </c>
      <c r="AF58" s="54">
        <v>3023662</v>
      </c>
      <c r="AG58" s="54">
        <v>0</v>
      </c>
      <c r="AH58" s="7" t="s">
        <v>55</v>
      </c>
      <c r="AI58">
        <v>3855.8097936832496</v>
      </c>
      <c r="AJ58" s="7">
        <v>1</v>
      </c>
      <c r="AK58">
        <v>3855.8097936832496</v>
      </c>
      <c r="AL58">
        <v>1.2752118999999999E-3</v>
      </c>
      <c r="AM58">
        <v>1.2752118999999999E-3</v>
      </c>
    </row>
    <row r="59" spans="1:39" x14ac:dyDescent="0.2">
      <c r="A59">
        <v>58</v>
      </c>
      <c r="D59" t="s">
        <v>179</v>
      </c>
      <c r="E59">
        <v>1960</v>
      </c>
      <c r="F59" t="s">
        <v>117</v>
      </c>
      <c r="G59" t="s">
        <v>118</v>
      </c>
      <c r="H59" t="s">
        <v>119</v>
      </c>
      <c r="I59" t="s">
        <v>49</v>
      </c>
      <c r="J59">
        <v>1</v>
      </c>
      <c r="K59" t="s">
        <v>120</v>
      </c>
      <c r="L59">
        <v>1</v>
      </c>
      <c r="M59" t="s">
        <v>121</v>
      </c>
      <c r="N59">
        <v>2</v>
      </c>
      <c r="O59" t="s">
        <v>122</v>
      </c>
      <c r="P59">
        <v>1</v>
      </c>
      <c r="S59">
        <v>1960</v>
      </c>
      <c r="T59" s="54">
        <v>2938284</v>
      </c>
      <c r="U59">
        <v>0.136386300515971</v>
      </c>
      <c r="V59" s="54">
        <v>0</v>
      </c>
      <c r="W59">
        <v>0.142128752590504</v>
      </c>
      <c r="X59" s="54">
        <v>232765</v>
      </c>
      <c r="Y59">
        <v>0.136386300515971</v>
      </c>
      <c r="Z59" t="s">
        <v>52</v>
      </c>
      <c r="AA59" s="54">
        <v>3171049</v>
      </c>
      <c r="AC59" s="7">
        <v>0.93500000000000005</v>
      </c>
      <c r="AD59">
        <v>2</v>
      </c>
      <c r="AE59" s="7">
        <v>1</v>
      </c>
      <c r="AF59" s="54">
        <v>3171049</v>
      </c>
      <c r="AG59" s="54">
        <v>0</v>
      </c>
      <c r="AH59" s="7" t="s">
        <v>55</v>
      </c>
      <c r="AI59">
        <v>4043.7594514365283</v>
      </c>
      <c r="AJ59" s="7">
        <v>1</v>
      </c>
      <c r="AK59">
        <v>4043.7594514365283</v>
      </c>
      <c r="AL59">
        <v>1.2752118999999999E-3</v>
      </c>
      <c r="AM59">
        <v>1.2752118999999999E-3</v>
      </c>
    </row>
    <row r="60" spans="1:39" x14ac:dyDescent="0.2">
      <c r="A60">
        <v>59</v>
      </c>
      <c r="D60" t="s">
        <v>180</v>
      </c>
      <c r="E60">
        <v>1960</v>
      </c>
      <c r="F60" t="s">
        <v>117</v>
      </c>
      <c r="G60" t="s">
        <v>118</v>
      </c>
      <c r="H60" t="s">
        <v>119</v>
      </c>
      <c r="I60" t="s">
        <v>49</v>
      </c>
      <c r="J60">
        <v>1</v>
      </c>
      <c r="K60" t="s">
        <v>120</v>
      </c>
      <c r="L60">
        <v>1</v>
      </c>
      <c r="M60" t="s">
        <v>121</v>
      </c>
      <c r="N60">
        <v>2</v>
      </c>
      <c r="O60" t="s">
        <v>122</v>
      </c>
      <c r="P60">
        <v>1</v>
      </c>
      <c r="S60">
        <v>1960</v>
      </c>
      <c r="T60" s="54">
        <v>1063624</v>
      </c>
      <c r="U60">
        <v>0.136386300515971</v>
      </c>
      <c r="V60" s="54">
        <v>0</v>
      </c>
      <c r="W60">
        <v>0.142128752590504</v>
      </c>
      <c r="X60" s="54">
        <v>110906</v>
      </c>
      <c r="Y60">
        <v>0.136386300515971</v>
      </c>
      <c r="Z60" t="s">
        <v>52</v>
      </c>
      <c r="AA60" s="54">
        <v>1174530</v>
      </c>
      <c r="AC60" s="7">
        <v>0.93500000000000005</v>
      </c>
      <c r="AD60">
        <v>2</v>
      </c>
      <c r="AE60" s="7">
        <v>1</v>
      </c>
      <c r="AF60" s="54">
        <v>1174530</v>
      </c>
      <c r="AG60" s="54">
        <v>0</v>
      </c>
      <c r="AH60" s="7" t="s">
        <v>55</v>
      </c>
      <c r="AI60">
        <v>1497.774644445969</v>
      </c>
      <c r="AJ60" s="7">
        <v>1</v>
      </c>
      <c r="AK60">
        <v>1497.774644445969</v>
      </c>
      <c r="AL60">
        <v>1.2752118999999999E-3</v>
      </c>
      <c r="AM60">
        <v>1.2752118999999999E-3</v>
      </c>
    </row>
    <row r="61" spans="1:39" x14ac:dyDescent="0.2">
      <c r="A61">
        <v>60</v>
      </c>
      <c r="D61" t="s">
        <v>181</v>
      </c>
      <c r="E61">
        <v>1960</v>
      </c>
      <c r="F61" t="s">
        <v>117</v>
      </c>
      <c r="G61" t="s">
        <v>118</v>
      </c>
      <c r="H61" t="s">
        <v>119</v>
      </c>
      <c r="I61" t="s">
        <v>49</v>
      </c>
      <c r="J61">
        <v>1</v>
      </c>
      <c r="K61" t="s">
        <v>120</v>
      </c>
      <c r="L61">
        <v>1</v>
      </c>
      <c r="M61" t="s">
        <v>121</v>
      </c>
      <c r="N61">
        <v>2</v>
      </c>
      <c r="O61" t="s">
        <v>122</v>
      </c>
      <c r="P61">
        <v>1</v>
      </c>
      <c r="S61">
        <v>1960</v>
      </c>
      <c r="T61" s="54">
        <v>1063624</v>
      </c>
      <c r="U61">
        <v>0.136386300515971</v>
      </c>
      <c r="V61" s="54">
        <v>0</v>
      </c>
      <c r="W61">
        <v>0.142128752590504</v>
      </c>
      <c r="X61" s="54">
        <v>110906</v>
      </c>
      <c r="Y61">
        <v>0.136386300515971</v>
      </c>
      <c r="Z61" t="s">
        <v>52</v>
      </c>
      <c r="AA61" s="54">
        <v>1174530</v>
      </c>
      <c r="AC61" s="7">
        <v>0.93500000000000005</v>
      </c>
      <c r="AD61">
        <v>2</v>
      </c>
      <c r="AE61" s="7">
        <v>1</v>
      </c>
      <c r="AF61" s="54">
        <v>1174530</v>
      </c>
      <c r="AG61" s="54">
        <v>0</v>
      </c>
      <c r="AH61" s="7" t="s">
        <v>55</v>
      </c>
      <c r="AI61">
        <v>1497.774644445969</v>
      </c>
      <c r="AJ61" s="7">
        <v>1</v>
      </c>
      <c r="AK61">
        <v>1497.774644445969</v>
      </c>
      <c r="AL61">
        <v>1.2752118999999999E-3</v>
      </c>
      <c r="AM61">
        <v>1.2752118999999999E-3</v>
      </c>
    </row>
    <row r="62" spans="1:39" x14ac:dyDescent="0.2">
      <c r="A62">
        <v>61</v>
      </c>
      <c r="D62" t="s">
        <v>182</v>
      </c>
      <c r="E62">
        <v>1960</v>
      </c>
      <c r="F62" t="s">
        <v>117</v>
      </c>
      <c r="G62" t="s">
        <v>118</v>
      </c>
      <c r="H62" t="s">
        <v>119</v>
      </c>
      <c r="I62" t="s">
        <v>49</v>
      </c>
      <c r="J62">
        <v>1</v>
      </c>
      <c r="K62" t="s">
        <v>120</v>
      </c>
      <c r="L62">
        <v>1</v>
      </c>
      <c r="M62" t="s">
        <v>121</v>
      </c>
      <c r="N62">
        <v>2</v>
      </c>
      <c r="O62" t="s">
        <v>122</v>
      </c>
      <c r="P62">
        <v>1</v>
      </c>
      <c r="S62">
        <v>1960</v>
      </c>
      <c r="T62" s="54">
        <v>981171</v>
      </c>
      <c r="U62">
        <v>0.136386300515971</v>
      </c>
      <c r="V62" s="54">
        <v>0</v>
      </c>
      <c r="W62">
        <v>0.142128752590504</v>
      </c>
      <c r="X62" s="54">
        <v>110906</v>
      </c>
      <c r="Y62">
        <v>0.136386300515971</v>
      </c>
      <c r="Z62" t="s">
        <v>52</v>
      </c>
      <c r="AA62" s="54">
        <v>1092077</v>
      </c>
      <c r="AC62" s="7">
        <v>0.93500000000000005</v>
      </c>
      <c r="AD62">
        <v>2</v>
      </c>
      <c r="AE62" s="7">
        <v>1</v>
      </c>
      <c r="AF62" s="54">
        <v>1092077</v>
      </c>
      <c r="AG62" s="54">
        <v>0</v>
      </c>
      <c r="AH62" s="7" t="s">
        <v>55</v>
      </c>
      <c r="AI62">
        <v>1392.6295968452237</v>
      </c>
      <c r="AJ62" s="7">
        <v>1</v>
      </c>
      <c r="AK62">
        <v>1392.6295968452237</v>
      </c>
      <c r="AL62">
        <v>1.2752118999999999E-3</v>
      </c>
      <c r="AM62">
        <v>1.2752118999999999E-3</v>
      </c>
    </row>
    <row r="63" spans="1:39" x14ac:dyDescent="0.2">
      <c r="A63">
        <v>62</v>
      </c>
      <c r="D63" t="s">
        <v>179</v>
      </c>
      <c r="E63">
        <v>1960</v>
      </c>
      <c r="F63" t="s">
        <v>117</v>
      </c>
      <c r="G63" t="s">
        <v>118</v>
      </c>
      <c r="H63" t="s">
        <v>119</v>
      </c>
      <c r="I63" t="s">
        <v>49</v>
      </c>
      <c r="J63">
        <v>1</v>
      </c>
      <c r="K63" t="s">
        <v>120</v>
      </c>
      <c r="L63">
        <v>1</v>
      </c>
      <c r="M63" t="s">
        <v>121</v>
      </c>
      <c r="N63">
        <v>2</v>
      </c>
      <c r="O63" t="s">
        <v>122</v>
      </c>
      <c r="P63">
        <v>1</v>
      </c>
      <c r="S63">
        <v>1960</v>
      </c>
      <c r="T63" s="54">
        <v>48963</v>
      </c>
      <c r="U63">
        <v>0.136386300515971</v>
      </c>
      <c r="V63" s="54">
        <v>0</v>
      </c>
      <c r="W63">
        <v>0.142128752590504</v>
      </c>
      <c r="X63" s="54">
        <v>0</v>
      </c>
      <c r="Y63">
        <v>0.136386300515971</v>
      </c>
      <c r="Z63" t="s">
        <v>52</v>
      </c>
      <c r="AA63" s="54">
        <v>48963</v>
      </c>
      <c r="AC63" s="7">
        <v>0.93500000000000005</v>
      </c>
      <c r="AD63">
        <v>2</v>
      </c>
      <c r="AE63" s="7">
        <v>1</v>
      </c>
      <c r="AF63" s="54">
        <v>48963</v>
      </c>
      <c r="AG63" s="54">
        <v>0</v>
      </c>
      <c r="AH63" s="7" t="s">
        <v>55</v>
      </c>
      <c r="AI63">
        <v>62.438200740728611</v>
      </c>
      <c r="AJ63" s="7">
        <v>1</v>
      </c>
      <c r="AK63">
        <v>62.438200740728611</v>
      </c>
      <c r="AL63">
        <v>1.2752118999999999E-3</v>
      </c>
      <c r="AM63">
        <v>1.2752118999999999E-3</v>
      </c>
    </row>
    <row r="64" spans="1:39" x14ac:dyDescent="0.2">
      <c r="A64">
        <v>63</v>
      </c>
      <c r="D64" t="s">
        <v>183</v>
      </c>
      <c r="E64">
        <v>1960</v>
      </c>
      <c r="F64" t="s">
        <v>117</v>
      </c>
      <c r="G64" t="s">
        <v>118</v>
      </c>
      <c r="H64" t="s">
        <v>119</v>
      </c>
      <c r="I64" t="s">
        <v>49</v>
      </c>
      <c r="J64">
        <v>1</v>
      </c>
      <c r="K64" t="s">
        <v>120</v>
      </c>
      <c r="L64">
        <v>1</v>
      </c>
      <c r="M64" t="s">
        <v>121</v>
      </c>
      <c r="N64">
        <v>2</v>
      </c>
      <c r="O64" t="s">
        <v>122</v>
      </c>
      <c r="P64">
        <v>1</v>
      </c>
      <c r="S64">
        <v>1960</v>
      </c>
      <c r="T64" s="54">
        <v>423018</v>
      </c>
      <c r="U64">
        <v>0.136386300515971</v>
      </c>
      <c r="V64" s="54">
        <v>0</v>
      </c>
      <c r="W64">
        <v>0.142128752590504</v>
      </c>
      <c r="X64" s="54">
        <v>70286</v>
      </c>
      <c r="Y64">
        <v>0.136386300515971</v>
      </c>
      <c r="Z64" t="s">
        <v>52</v>
      </c>
      <c r="AA64" s="54">
        <v>493304</v>
      </c>
      <c r="AC64" s="7">
        <v>0.93500000000000005</v>
      </c>
      <c r="AD64">
        <v>2</v>
      </c>
      <c r="AE64" s="7">
        <v>1</v>
      </c>
      <c r="AF64" s="54">
        <v>493304</v>
      </c>
      <c r="AG64" s="54">
        <v>0</v>
      </c>
      <c r="AH64" s="7" t="s">
        <v>55</v>
      </c>
      <c r="AI64">
        <v>629.06713596398072</v>
      </c>
      <c r="AJ64" s="7">
        <v>1</v>
      </c>
      <c r="AK64">
        <v>629.06713596398072</v>
      </c>
      <c r="AL64">
        <v>1.2752118999999999E-3</v>
      </c>
      <c r="AM64">
        <v>1.2752118999999999E-3</v>
      </c>
    </row>
    <row r="65" spans="1:39" x14ac:dyDescent="0.2">
      <c r="A65">
        <v>64</v>
      </c>
      <c r="D65" t="s">
        <v>184</v>
      </c>
      <c r="E65">
        <v>2180</v>
      </c>
      <c r="F65" t="s">
        <v>117</v>
      </c>
      <c r="G65" t="s">
        <v>185</v>
      </c>
      <c r="H65" t="s">
        <v>186</v>
      </c>
      <c r="I65" t="s">
        <v>49</v>
      </c>
      <c r="J65">
        <v>2</v>
      </c>
      <c r="K65" t="s">
        <v>187</v>
      </c>
      <c r="L65">
        <v>2</v>
      </c>
      <c r="M65" t="s">
        <v>188</v>
      </c>
      <c r="N65">
        <v>2</v>
      </c>
      <c r="O65" t="s">
        <v>122</v>
      </c>
      <c r="P65">
        <v>1</v>
      </c>
      <c r="S65">
        <v>1954</v>
      </c>
      <c r="T65" s="54">
        <v>6997515</v>
      </c>
      <c r="U65">
        <v>0.101469305305583</v>
      </c>
      <c r="V65" s="54">
        <v>10000</v>
      </c>
      <c r="W65">
        <v>0.118447947666697</v>
      </c>
      <c r="X65" s="54">
        <v>497000</v>
      </c>
      <c r="Y65">
        <v>0.101469305305583</v>
      </c>
      <c r="Z65" t="s">
        <v>52</v>
      </c>
      <c r="AA65" s="54">
        <v>7504515</v>
      </c>
      <c r="AC65" s="7">
        <v>0.93500000000000005</v>
      </c>
      <c r="AD65">
        <v>0</v>
      </c>
      <c r="AE65" s="7">
        <v>1</v>
      </c>
      <c r="AF65" s="54">
        <v>7504515</v>
      </c>
      <c r="AG65" s="54">
        <v>0</v>
      </c>
      <c r="AH65" s="7" t="s">
        <v>55</v>
      </c>
      <c r="AI65">
        <v>7121.4060897055733</v>
      </c>
      <c r="AJ65" s="7">
        <v>1</v>
      </c>
      <c r="AK65">
        <v>7121.4060897055733</v>
      </c>
      <c r="AL65">
        <v>9.4894954000000005E-4</v>
      </c>
      <c r="AM65">
        <v>9.4894954000000005E-4</v>
      </c>
    </row>
    <row r="66" spans="1:39" x14ac:dyDescent="0.2">
      <c r="A66">
        <v>65</v>
      </c>
      <c r="D66" t="s">
        <v>189</v>
      </c>
      <c r="E66">
        <v>2180</v>
      </c>
      <c r="F66" t="s">
        <v>117</v>
      </c>
      <c r="G66" t="s">
        <v>185</v>
      </c>
      <c r="H66" t="s">
        <v>186</v>
      </c>
      <c r="I66" t="s">
        <v>49</v>
      </c>
      <c r="J66">
        <v>2</v>
      </c>
      <c r="K66" t="s">
        <v>187</v>
      </c>
      <c r="L66">
        <v>2</v>
      </c>
      <c r="M66" t="s">
        <v>188</v>
      </c>
      <c r="N66">
        <v>2</v>
      </c>
      <c r="O66" t="s">
        <v>122</v>
      </c>
      <c r="P66">
        <v>1</v>
      </c>
      <c r="S66">
        <v>1968</v>
      </c>
      <c r="T66" s="54">
        <v>16825022</v>
      </c>
      <c r="U66">
        <v>0.101469305305583</v>
      </c>
      <c r="V66" s="54">
        <v>40000</v>
      </c>
      <c r="W66">
        <v>0.118447947666697</v>
      </c>
      <c r="X66" s="54">
        <v>2775000</v>
      </c>
      <c r="Y66">
        <v>0.101469305305583</v>
      </c>
      <c r="Z66" t="s">
        <v>52</v>
      </c>
      <c r="AA66" s="54">
        <v>19640022</v>
      </c>
      <c r="AC66" s="7">
        <v>0.93500000000000005</v>
      </c>
      <c r="AD66">
        <v>0</v>
      </c>
      <c r="AE66" s="7">
        <v>1</v>
      </c>
      <c r="AF66" s="54">
        <v>19640022</v>
      </c>
      <c r="AG66" s="54">
        <v>0</v>
      </c>
      <c r="AH66" s="7" t="s">
        <v>55</v>
      </c>
      <c r="AI66">
        <v>18639.585294964585</v>
      </c>
      <c r="AJ66" s="7">
        <v>1</v>
      </c>
      <c r="AK66">
        <v>18639.585294964585</v>
      </c>
      <c r="AL66">
        <v>9.4906131999999998E-4</v>
      </c>
      <c r="AM66">
        <v>9.4906131999999998E-4</v>
      </c>
    </row>
    <row r="67" spans="1:39" x14ac:dyDescent="0.2">
      <c r="A67">
        <v>66</v>
      </c>
      <c r="D67" t="s">
        <v>190</v>
      </c>
      <c r="E67">
        <v>2180</v>
      </c>
      <c r="F67" t="s">
        <v>117</v>
      </c>
      <c r="G67" t="s">
        <v>185</v>
      </c>
      <c r="H67" t="s">
        <v>186</v>
      </c>
      <c r="I67" t="s">
        <v>49</v>
      </c>
      <c r="J67">
        <v>2</v>
      </c>
      <c r="K67" t="s">
        <v>187</v>
      </c>
      <c r="L67">
        <v>2</v>
      </c>
      <c r="M67" t="s">
        <v>188</v>
      </c>
      <c r="N67">
        <v>2</v>
      </c>
      <c r="O67" t="s">
        <v>122</v>
      </c>
      <c r="P67">
        <v>1</v>
      </c>
      <c r="T67" s="54">
        <v>16825022</v>
      </c>
      <c r="U67">
        <v>0.101469305305583</v>
      </c>
      <c r="V67" s="54">
        <v>0</v>
      </c>
      <c r="W67">
        <v>0.118447947666697</v>
      </c>
      <c r="X67" s="54">
        <v>0</v>
      </c>
      <c r="Y67">
        <v>0.101469305305583</v>
      </c>
      <c r="Z67" t="s">
        <v>52</v>
      </c>
      <c r="AA67" s="54">
        <v>16825022</v>
      </c>
      <c r="AC67" s="7">
        <v>0.93500000000000005</v>
      </c>
      <c r="AD67">
        <v>0</v>
      </c>
      <c r="AE67" s="7">
        <v>1</v>
      </c>
      <c r="AF67" s="54">
        <v>16825022</v>
      </c>
      <c r="AG67" s="54">
        <v>0</v>
      </c>
      <c r="AH67" s="7" t="s">
        <v>55</v>
      </c>
      <c r="AI67">
        <v>15962.537799752259</v>
      </c>
      <c r="AJ67" s="7">
        <v>1</v>
      </c>
      <c r="AK67">
        <v>15962.537799752259</v>
      </c>
      <c r="AL67">
        <v>9.4873799999999997E-4</v>
      </c>
      <c r="AM67">
        <v>9.4873799999999997E-4</v>
      </c>
    </row>
    <row r="68" spans="1:39" x14ac:dyDescent="0.2">
      <c r="A68">
        <v>67</v>
      </c>
      <c r="D68" t="s">
        <v>191</v>
      </c>
      <c r="E68">
        <v>2108</v>
      </c>
      <c r="F68" t="s">
        <v>117</v>
      </c>
      <c r="G68" t="s">
        <v>192</v>
      </c>
      <c r="H68" t="s">
        <v>193</v>
      </c>
      <c r="I68" t="s">
        <v>49</v>
      </c>
      <c r="J68">
        <v>3</v>
      </c>
      <c r="K68" t="s">
        <v>50</v>
      </c>
      <c r="L68">
        <v>5</v>
      </c>
      <c r="M68" t="s">
        <v>51</v>
      </c>
      <c r="N68">
        <v>8</v>
      </c>
      <c r="O68" t="s">
        <v>194</v>
      </c>
      <c r="P68">
        <v>1</v>
      </c>
      <c r="S68">
        <v>1930</v>
      </c>
      <c r="T68" s="54">
        <v>18720000</v>
      </c>
      <c r="U68">
        <v>2.9127216136487E-2</v>
      </c>
      <c r="V68" s="54">
        <v>0</v>
      </c>
      <c r="W68">
        <v>0.11436323157531</v>
      </c>
      <c r="X68" s="54">
        <v>1958000</v>
      </c>
      <c r="Y68">
        <v>2.9127216136487E-2</v>
      </c>
      <c r="Z68" t="s">
        <v>52</v>
      </c>
      <c r="AA68" s="54">
        <v>20678000</v>
      </c>
      <c r="AC68" s="7">
        <v>0.94750000000000001</v>
      </c>
      <c r="AD68">
        <v>0</v>
      </c>
      <c r="AE68" s="7">
        <v>1</v>
      </c>
      <c r="AF68" s="54">
        <v>20678000</v>
      </c>
      <c r="AG68" s="54">
        <v>0</v>
      </c>
      <c r="AH68" s="7" t="s">
        <v>55</v>
      </c>
      <c r="AI68">
        <v>5706.7221506858859</v>
      </c>
      <c r="AJ68" s="7">
        <v>1</v>
      </c>
      <c r="AK68">
        <v>5706.7221506858859</v>
      </c>
      <c r="AL68">
        <v>2.7598036999999998E-4</v>
      </c>
      <c r="AM68">
        <v>2.7598036999999998E-4</v>
      </c>
    </row>
    <row r="69" spans="1:39" x14ac:dyDescent="0.2">
      <c r="A69">
        <v>68</v>
      </c>
      <c r="D69" t="s">
        <v>195</v>
      </c>
      <c r="E69">
        <v>2180</v>
      </c>
      <c r="F69" t="s">
        <v>117</v>
      </c>
      <c r="G69" t="s">
        <v>185</v>
      </c>
      <c r="H69" t="s">
        <v>186</v>
      </c>
      <c r="I69" t="s">
        <v>49</v>
      </c>
      <c r="J69">
        <v>2</v>
      </c>
      <c r="K69" t="s">
        <v>187</v>
      </c>
      <c r="L69">
        <v>2</v>
      </c>
      <c r="M69" t="s">
        <v>188</v>
      </c>
      <c r="N69">
        <v>8</v>
      </c>
      <c r="O69" t="s">
        <v>194</v>
      </c>
      <c r="P69">
        <v>1</v>
      </c>
      <c r="T69" s="54">
        <v>8658208</v>
      </c>
      <c r="U69">
        <v>5.7881300398647001E-2</v>
      </c>
      <c r="V69" s="54">
        <v>0</v>
      </c>
      <c r="W69">
        <v>0.217993937565958</v>
      </c>
      <c r="X69" s="54">
        <v>1411365</v>
      </c>
      <c r="Y69">
        <v>5.7881300398647001E-2</v>
      </c>
      <c r="Z69" t="s">
        <v>52</v>
      </c>
      <c r="AA69" s="54">
        <v>10069573</v>
      </c>
      <c r="AC69" s="7">
        <v>0.93500000000000005</v>
      </c>
      <c r="AD69">
        <v>0</v>
      </c>
      <c r="AE69" s="7">
        <v>1</v>
      </c>
      <c r="AF69" s="54">
        <v>10069573</v>
      </c>
      <c r="AG69" s="54">
        <v>0</v>
      </c>
      <c r="AH69" s="7" t="s">
        <v>55</v>
      </c>
      <c r="AI69">
        <v>5449.5538101866323</v>
      </c>
      <c r="AJ69" s="7">
        <v>1</v>
      </c>
      <c r="AK69">
        <v>5449.5538101866323</v>
      </c>
      <c r="AL69">
        <v>5.4119015000000004E-4</v>
      </c>
      <c r="AM69">
        <v>5.4119015000000004E-4</v>
      </c>
    </row>
    <row r="70" spans="1:39" x14ac:dyDescent="0.2">
      <c r="A70">
        <v>69</v>
      </c>
      <c r="D70" t="s">
        <v>196</v>
      </c>
      <c r="E70">
        <v>2180</v>
      </c>
      <c r="F70" t="s">
        <v>117</v>
      </c>
      <c r="G70" t="s">
        <v>185</v>
      </c>
      <c r="H70" t="s">
        <v>186</v>
      </c>
      <c r="I70" t="s">
        <v>49</v>
      </c>
      <c r="J70">
        <v>0</v>
      </c>
      <c r="K70" t="s">
        <v>197</v>
      </c>
      <c r="L70">
        <v>0</v>
      </c>
      <c r="M70" t="s">
        <v>197</v>
      </c>
      <c r="N70">
        <v>47</v>
      </c>
      <c r="O70" t="s">
        <v>198</v>
      </c>
      <c r="P70">
        <v>1</v>
      </c>
      <c r="T70" s="54">
        <v>0</v>
      </c>
      <c r="U70">
        <v>0.18080862496783001</v>
      </c>
      <c r="V70" s="54">
        <v>0</v>
      </c>
      <c r="W70">
        <v>0.18017581205824101</v>
      </c>
      <c r="X70" s="54">
        <v>261365</v>
      </c>
      <c r="Y70">
        <v>0.18080862496783001</v>
      </c>
      <c r="Z70" t="s">
        <v>52</v>
      </c>
      <c r="AA70" s="54">
        <v>261365</v>
      </c>
      <c r="AC70" s="7">
        <v>0.94099999999999995</v>
      </c>
      <c r="AD70">
        <v>0</v>
      </c>
      <c r="AE70" s="7">
        <v>1</v>
      </c>
      <c r="AF70" s="54">
        <v>261365</v>
      </c>
      <c r="AG70" s="54">
        <v>0</v>
      </c>
      <c r="AH70" s="7" t="s">
        <v>57</v>
      </c>
      <c r="AI70">
        <v>444.68880535098589</v>
      </c>
      <c r="AJ70" s="7">
        <v>1</v>
      </c>
      <c r="AK70">
        <v>444.68880535098589</v>
      </c>
      <c r="AL70">
        <v>1.7014091600000001E-3</v>
      </c>
      <c r="AM70">
        <v>1.7014091600000001E-3</v>
      </c>
    </row>
    <row r="71" spans="1:39" x14ac:dyDescent="0.2">
      <c r="A71">
        <v>70</v>
      </c>
      <c r="D71" t="s">
        <v>199</v>
      </c>
      <c r="E71">
        <v>2180</v>
      </c>
      <c r="F71" t="s">
        <v>117</v>
      </c>
      <c r="G71" t="s">
        <v>185</v>
      </c>
      <c r="H71" t="s">
        <v>186</v>
      </c>
      <c r="I71" t="s">
        <v>49</v>
      </c>
      <c r="J71">
        <v>2</v>
      </c>
      <c r="K71" t="s">
        <v>187</v>
      </c>
      <c r="L71">
        <v>2</v>
      </c>
      <c r="M71" t="s">
        <v>188</v>
      </c>
      <c r="N71">
        <v>9</v>
      </c>
      <c r="O71" t="s">
        <v>200</v>
      </c>
      <c r="P71">
        <v>1</v>
      </c>
      <c r="S71">
        <v>2016</v>
      </c>
      <c r="T71" s="54">
        <v>900000</v>
      </c>
      <c r="U71">
        <v>2.3618327892069E-2</v>
      </c>
      <c r="V71" s="54">
        <v>0</v>
      </c>
      <c r="W71">
        <v>2.8497221952555E-2</v>
      </c>
      <c r="X71" s="54">
        <v>121000</v>
      </c>
      <c r="Y71">
        <v>2.3618327892069E-2</v>
      </c>
      <c r="Z71" t="s">
        <v>52</v>
      </c>
      <c r="AA71" s="54">
        <v>1021000</v>
      </c>
      <c r="AC71" s="7">
        <v>0.93500000000000005</v>
      </c>
      <c r="AD71">
        <v>2</v>
      </c>
      <c r="AE71" s="7">
        <v>1</v>
      </c>
      <c r="AF71" s="54">
        <v>1021000</v>
      </c>
      <c r="AG71" s="54">
        <v>0</v>
      </c>
      <c r="AH71" s="7" t="s">
        <v>57</v>
      </c>
      <c r="AI71">
        <v>225.46882447245289</v>
      </c>
      <c r="AJ71" s="7">
        <v>1</v>
      </c>
      <c r="AK71">
        <v>225.46882447245289</v>
      </c>
      <c r="AL71">
        <v>2.2083136E-4</v>
      </c>
      <c r="AM71">
        <v>2.2083136E-4</v>
      </c>
    </row>
    <row r="72" spans="1:39" x14ac:dyDescent="0.2">
      <c r="A72">
        <v>71</v>
      </c>
      <c r="D72" t="s">
        <v>201</v>
      </c>
      <c r="E72">
        <v>2072</v>
      </c>
      <c r="F72" t="s">
        <v>117</v>
      </c>
      <c r="G72" t="s">
        <v>202</v>
      </c>
      <c r="H72" t="s">
        <v>203</v>
      </c>
      <c r="I72" t="s">
        <v>49</v>
      </c>
      <c r="J72">
        <v>2</v>
      </c>
      <c r="K72" t="s">
        <v>187</v>
      </c>
      <c r="L72">
        <v>2</v>
      </c>
      <c r="M72" t="s">
        <v>188</v>
      </c>
      <c r="N72">
        <v>5</v>
      </c>
      <c r="O72" t="s">
        <v>204</v>
      </c>
      <c r="P72">
        <v>1</v>
      </c>
      <c r="S72">
        <v>2005</v>
      </c>
      <c r="T72" s="54">
        <v>3647748</v>
      </c>
      <c r="U72">
        <v>9.9586386307111002E-2</v>
      </c>
      <c r="V72" s="54">
        <v>0</v>
      </c>
      <c r="W72">
        <v>0.12581115328797901</v>
      </c>
      <c r="X72" s="54">
        <v>712000</v>
      </c>
      <c r="Y72">
        <v>9.9586386307111002E-2</v>
      </c>
      <c r="Z72" t="s">
        <v>52</v>
      </c>
      <c r="AA72" s="54">
        <v>4359748</v>
      </c>
      <c r="AC72" s="7">
        <v>0.93500000000000005</v>
      </c>
      <c r="AD72">
        <v>1</v>
      </c>
      <c r="AE72" s="7">
        <v>0.75</v>
      </c>
      <c r="AF72" s="54">
        <v>4359748</v>
      </c>
      <c r="AG72" s="54">
        <v>0</v>
      </c>
      <c r="AH72" s="7" t="s">
        <v>57</v>
      </c>
      <c r="AI72">
        <v>3044.6279840642028</v>
      </c>
      <c r="AJ72" s="7">
        <v>1</v>
      </c>
      <c r="AK72">
        <v>3044.6279840642028</v>
      </c>
      <c r="AL72">
        <v>6.9834952999999996E-4</v>
      </c>
      <c r="AM72">
        <v>6.9834952999999996E-4</v>
      </c>
    </row>
    <row r="73" spans="1:39" x14ac:dyDescent="0.2">
      <c r="A73">
        <v>72</v>
      </c>
      <c r="D73" t="s">
        <v>205</v>
      </c>
      <c r="E73">
        <v>2072</v>
      </c>
      <c r="F73" t="s">
        <v>117</v>
      </c>
      <c r="G73" t="s">
        <v>202</v>
      </c>
      <c r="H73" t="s">
        <v>203</v>
      </c>
      <c r="I73" t="s">
        <v>49</v>
      </c>
      <c r="J73">
        <v>2</v>
      </c>
      <c r="K73" t="s">
        <v>187</v>
      </c>
      <c r="L73">
        <v>2</v>
      </c>
      <c r="M73" t="s">
        <v>188</v>
      </c>
      <c r="N73">
        <v>5</v>
      </c>
      <c r="O73" t="s">
        <v>204</v>
      </c>
      <c r="P73">
        <v>1</v>
      </c>
      <c r="S73">
        <v>2005</v>
      </c>
      <c r="T73" s="54">
        <v>4256564</v>
      </c>
      <c r="U73">
        <v>9.9586386307111002E-2</v>
      </c>
      <c r="V73" s="54">
        <v>0</v>
      </c>
      <c r="W73">
        <v>0.12581115328797901</v>
      </c>
      <c r="X73" s="54">
        <v>804000</v>
      </c>
      <c r="Y73">
        <v>9.9586386307111002E-2</v>
      </c>
      <c r="Z73" t="s">
        <v>52</v>
      </c>
      <c r="AA73" s="54">
        <v>5060564</v>
      </c>
      <c r="AC73" s="7">
        <v>0.93500000000000005</v>
      </c>
      <c r="AD73">
        <v>0</v>
      </c>
      <c r="AE73" s="7">
        <v>1</v>
      </c>
      <c r="AF73" s="54">
        <v>5060564</v>
      </c>
      <c r="AG73" s="54">
        <v>0</v>
      </c>
      <c r="AH73" s="7" t="s">
        <v>57</v>
      </c>
      <c r="AI73">
        <v>4712.0566814252807</v>
      </c>
      <c r="AJ73" s="7">
        <v>1</v>
      </c>
      <c r="AK73">
        <v>4712.0566814252807</v>
      </c>
      <c r="AL73">
        <v>9.3113270999999997E-4</v>
      </c>
      <c r="AM73">
        <v>9.3113270999999997E-4</v>
      </c>
    </row>
    <row r="74" spans="1:39" x14ac:dyDescent="0.2">
      <c r="A74">
        <v>73</v>
      </c>
      <c r="D74" t="s">
        <v>206</v>
      </c>
      <c r="E74">
        <v>2072</v>
      </c>
      <c r="F74" t="s">
        <v>117</v>
      </c>
      <c r="G74" t="s">
        <v>202</v>
      </c>
      <c r="H74" t="s">
        <v>203</v>
      </c>
      <c r="I74" t="s">
        <v>49</v>
      </c>
      <c r="J74">
        <v>2</v>
      </c>
      <c r="K74" t="s">
        <v>187</v>
      </c>
      <c r="L74">
        <v>2</v>
      </c>
      <c r="M74" t="s">
        <v>188</v>
      </c>
      <c r="N74">
        <v>5</v>
      </c>
      <c r="O74" t="s">
        <v>204</v>
      </c>
      <c r="P74">
        <v>1</v>
      </c>
      <c r="S74">
        <v>2005</v>
      </c>
      <c r="T74" s="54">
        <v>3036488</v>
      </c>
      <c r="U74">
        <v>9.9586386307111002E-2</v>
      </c>
      <c r="V74" s="54">
        <v>0</v>
      </c>
      <c r="W74">
        <v>0.12581115328797901</v>
      </c>
      <c r="X74" s="54">
        <v>608000</v>
      </c>
      <c r="Y74">
        <v>9.9586386307111002E-2</v>
      </c>
      <c r="Z74" t="s">
        <v>52</v>
      </c>
      <c r="AA74" s="54">
        <v>3644488</v>
      </c>
      <c r="AC74" s="7">
        <v>0.93500000000000005</v>
      </c>
      <c r="AD74">
        <v>0</v>
      </c>
      <c r="AE74" s="7">
        <v>1</v>
      </c>
      <c r="AF74" s="54">
        <v>3644488</v>
      </c>
      <c r="AG74" s="54">
        <v>0</v>
      </c>
      <c r="AH74" s="7" t="s">
        <v>57</v>
      </c>
      <c r="AI74">
        <v>3393.5019951875438</v>
      </c>
      <c r="AJ74" s="7">
        <v>1</v>
      </c>
      <c r="AK74">
        <v>3393.5019951875438</v>
      </c>
      <c r="AL74">
        <v>9.3113270999999997E-4</v>
      </c>
      <c r="AM74">
        <v>9.3113270999999997E-4</v>
      </c>
    </row>
    <row r="75" spans="1:39" x14ac:dyDescent="0.2">
      <c r="A75">
        <v>74</v>
      </c>
      <c r="D75" t="s">
        <v>207</v>
      </c>
      <c r="E75">
        <v>1730</v>
      </c>
      <c r="F75" t="s">
        <v>117</v>
      </c>
      <c r="G75" t="s">
        <v>208</v>
      </c>
      <c r="H75" t="s">
        <v>186</v>
      </c>
      <c r="I75" t="s">
        <v>49</v>
      </c>
      <c r="J75">
        <v>0</v>
      </c>
      <c r="K75" t="s">
        <v>197</v>
      </c>
      <c r="L75">
        <v>0</v>
      </c>
      <c r="M75" t="s">
        <v>197</v>
      </c>
      <c r="N75">
        <v>2</v>
      </c>
      <c r="O75" t="s">
        <v>122</v>
      </c>
      <c r="P75">
        <v>1</v>
      </c>
      <c r="T75" s="54">
        <v>0</v>
      </c>
      <c r="U75">
        <v>8.7202233276287996E-2</v>
      </c>
      <c r="V75" s="54">
        <v>0</v>
      </c>
      <c r="W75">
        <v>9.5814402982119004E-2</v>
      </c>
      <c r="X75" s="54">
        <v>538000</v>
      </c>
      <c r="Y75">
        <v>8.7202233276287996E-2</v>
      </c>
      <c r="Z75" t="s">
        <v>52</v>
      </c>
      <c r="AA75" s="54">
        <v>538000</v>
      </c>
      <c r="AC75" s="7">
        <v>0.94099999999999995</v>
      </c>
      <c r="AD75">
        <v>0</v>
      </c>
      <c r="AE75" s="7">
        <v>1</v>
      </c>
      <c r="AF75" s="54">
        <v>538000</v>
      </c>
      <c r="AG75" s="54">
        <v>0</v>
      </c>
      <c r="AH75" s="7" t="s">
        <v>55</v>
      </c>
      <c r="AI75">
        <v>441.4682821398701</v>
      </c>
      <c r="AJ75" s="7">
        <v>1</v>
      </c>
      <c r="AK75">
        <v>441.4682821398701</v>
      </c>
      <c r="AL75">
        <v>8.2057300999999997E-4</v>
      </c>
      <c r="AM75">
        <v>8.2057300999999997E-4</v>
      </c>
    </row>
    <row r="76" spans="1:39" x14ac:dyDescent="0.2">
      <c r="A76">
        <v>75</v>
      </c>
      <c r="D76" t="s">
        <v>209</v>
      </c>
      <c r="E76">
        <v>1803</v>
      </c>
      <c r="F76" t="s">
        <v>117</v>
      </c>
      <c r="G76" t="s">
        <v>210</v>
      </c>
      <c r="H76" t="s">
        <v>186</v>
      </c>
      <c r="I76" t="s">
        <v>49</v>
      </c>
      <c r="J76">
        <v>1</v>
      </c>
      <c r="K76" t="s">
        <v>120</v>
      </c>
      <c r="L76">
        <v>1</v>
      </c>
      <c r="M76" t="s">
        <v>121</v>
      </c>
      <c r="N76">
        <v>1</v>
      </c>
      <c r="O76" t="s">
        <v>211</v>
      </c>
      <c r="P76">
        <v>1</v>
      </c>
      <c r="T76" s="54">
        <v>391040</v>
      </c>
      <c r="U76">
        <v>5.5581978886288998E-2</v>
      </c>
      <c r="V76" s="54">
        <v>0</v>
      </c>
      <c r="W76">
        <v>5.6541520595747997E-2</v>
      </c>
      <c r="X76" s="54">
        <v>21520</v>
      </c>
      <c r="Y76">
        <v>5.5581978886288998E-2</v>
      </c>
      <c r="Z76" t="s">
        <v>52</v>
      </c>
      <c r="AA76" s="54">
        <v>412560</v>
      </c>
      <c r="AC76" s="7">
        <v>0.93500000000000005</v>
      </c>
      <c r="AD76">
        <v>0</v>
      </c>
      <c r="AE76" s="7">
        <v>1</v>
      </c>
      <c r="AF76" s="54">
        <v>412560</v>
      </c>
      <c r="AG76" s="54">
        <v>0</v>
      </c>
      <c r="AH76" s="7" t="s">
        <v>55</v>
      </c>
      <c r="AI76">
        <v>214.40392630721109</v>
      </c>
      <c r="AJ76" s="7">
        <v>1</v>
      </c>
      <c r="AK76">
        <v>214.40392630721109</v>
      </c>
      <c r="AL76">
        <v>5.1969150000000003E-4</v>
      </c>
      <c r="AM76">
        <v>5.1969150000000003E-4</v>
      </c>
    </row>
    <row r="77" spans="1:39" x14ac:dyDescent="0.2">
      <c r="A77">
        <v>76</v>
      </c>
      <c r="D77" t="s">
        <v>212</v>
      </c>
      <c r="E77">
        <v>3860</v>
      </c>
      <c r="F77" t="s">
        <v>213</v>
      </c>
      <c r="G77" t="s">
        <v>214</v>
      </c>
      <c r="H77" t="s">
        <v>215</v>
      </c>
      <c r="I77" t="s">
        <v>49</v>
      </c>
      <c r="J77">
        <v>0</v>
      </c>
      <c r="K77" t="s">
        <v>197</v>
      </c>
      <c r="L77">
        <v>0</v>
      </c>
      <c r="M77" t="s">
        <v>197</v>
      </c>
      <c r="N77">
        <v>47</v>
      </c>
      <c r="O77" t="s">
        <v>198</v>
      </c>
      <c r="P77">
        <v>1</v>
      </c>
      <c r="T77" s="54">
        <v>0</v>
      </c>
      <c r="U77">
        <v>0.17990774563916601</v>
      </c>
      <c r="V77" s="54">
        <v>0</v>
      </c>
      <c r="W77">
        <v>0.18749142825266099</v>
      </c>
      <c r="X77" s="54">
        <v>262841</v>
      </c>
      <c r="Y77">
        <v>0.17990774563916601</v>
      </c>
      <c r="Z77" t="s">
        <v>52</v>
      </c>
      <c r="AA77" s="54">
        <v>262841</v>
      </c>
      <c r="AC77" s="7">
        <v>0.94099999999999995</v>
      </c>
      <c r="AD77">
        <v>0</v>
      </c>
      <c r="AE77" s="7">
        <v>1</v>
      </c>
      <c r="AF77" s="54">
        <v>262841</v>
      </c>
      <c r="AG77" s="54">
        <v>0</v>
      </c>
      <c r="AH77" s="7" t="s">
        <v>57</v>
      </c>
      <c r="AI77">
        <v>444.97190997022932</v>
      </c>
      <c r="AJ77" s="7">
        <v>1</v>
      </c>
      <c r="AK77">
        <v>444.97190997022932</v>
      </c>
      <c r="AL77">
        <v>1.6929318799999999E-3</v>
      </c>
      <c r="AM77">
        <v>1.6929318799999999E-3</v>
      </c>
    </row>
    <row r="78" spans="1:39" x14ac:dyDescent="0.2">
      <c r="A78">
        <v>77</v>
      </c>
      <c r="D78" t="s">
        <v>216</v>
      </c>
      <c r="E78">
        <v>3060</v>
      </c>
      <c r="F78" t="s">
        <v>213</v>
      </c>
      <c r="G78" t="s">
        <v>217</v>
      </c>
      <c r="H78" t="s">
        <v>218</v>
      </c>
      <c r="I78" t="s">
        <v>49</v>
      </c>
      <c r="J78">
        <v>0</v>
      </c>
      <c r="K78" t="s">
        <v>197</v>
      </c>
      <c r="L78">
        <v>0</v>
      </c>
      <c r="M78" t="s">
        <v>197</v>
      </c>
      <c r="N78">
        <v>5</v>
      </c>
      <c r="O78" t="s">
        <v>204</v>
      </c>
      <c r="P78">
        <v>1</v>
      </c>
      <c r="T78" s="54">
        <v>0</v>
      </c>
      <c r="U78">
        <v>8.5157638983547002E-2</v>
      </c>
      <c r="V78" s="54">
        <v>0</v>
      </c>
      <c r="W78">
        <v>0.105902772627936</v>
      </c>
      <c r="X78" s="54">
        <v>396300</v>
      </c>
      <c r="Y78">
        <v>8.5157638983547002E-2</v>
      </c>
      <c r="Z78" t="s">
        <v>52</v>
      </c>
      <c r="AA78" s="54">
        <v>396300</v>
      </c>
      <c r="AC78" s="7">
        <v>0.94099999999999995</v>
      </c>
      <c r="AD78">
        <v>0</v>
      </c>
      <c r="AE78" s="7">
        <v>1</v>
      </c>
      <c r="AF78" s="54">
        <v>396300</v>
      </c>
      <c r="AG78" s="54">
        <v>0</v>
      </c>
      <c r="AH78" s="7" t="s">
        <v>57</v>
      </c>
      <c r="AI78">
        <v>317.56841961758073</v>
      </c>
      <c r="AJ78" s="7">
        <v>1</v>
      </c>
      <c r="AK78">
        <v>317.56841961758073</v>
      </c>
      <c r="AL78">
        <v>8.0133337999999999E-4</v>
      </c>
      <c r="AM78">
        <v>8.0133337999999999E-4</v>
      </c>
    </row>
    <row r="79" spans="1:39" x14ac:dyDescent="0.2">
      <c r="A79">
        <v>78</v>
      </c>
      <c r="D79" t="s">
        <v>219</v>
      </c>
      <c r="E79">
        <v>3275</v>
      </c>
      <c r="F79" t="s">
        <v>213</v>
      </c>
      <c r="G79" t="s">
        <v>220</v>
      </c>
      <c r="H79" t="s">
        <v>221</v>
      </c>
      <c r="I79" t="s">
        <v>49</v>
      </c>
      <c r="J79" t="s">
        <v>222</v>
      </c>
      <c r="K79" t="s">
        <v>223</v>
      </c>
      <c r="L79">
        <v>5</v>
      </c>
      <c r="M79" t="s">
        <v>51</v>
      </c>
      <c r="N79">
        <v>2</v>
      </c>
      <c r="O79" t="s">
        <v>122</v>
      </c>
      <c r="P79">
        <v>1</v>
      </c>
      <c r="T79" s="54">
        <v>3766415</v>
      </c>
      <c r="U79">
        <v>5.0807298565154001E-2</v>
      </c>
      <c r="V79" s="54">
        <v>0</v>
      </c>
      <c r="W79">
        <v>6.4662794924499001E-2</v>
      </c>
      <c r="X79" s="54">
        <v>347000</v>
      </c>
      <c r="Y79">
        <v>5.0807298565154001E-2</v>
      </c>
      <c r="Z79" t="s">
        <v>52</v>
      </c>
      <c r="AA79" s="54">
        <v>4113415</v>
      </c>
      <c r="AC79" s="7">
        <v>0.94750000000000001</v>
      </c>
      <c r="AD79">
        <v>2</v>
      </c>
      <c r="AE79" s="7">
        <v>1</v>
      </c>
      <c r="AF79" s="54">
        <v>4113415</v>
      </c>
      <c r="AG79" s="54">
        <v>0</v>
      </c>
      <c r="AH79" s="7" t="s">
        <v>55</v>
      </c>
      <c r="AI79">
        <v>1980.1945006594533</v>
      </c>
      <c r="AJ79" s="7">
        <v>1</v>
      </c>
      <c r="AK79">
        <v>1980.1945006594533</v>
      </c>
      <c r="AL79">
        <v>4.8139914999999997E-4</v>
      </c>
      <c r="AM79">
        <v>4.8139914999999997E-4</v>
      </c>
    </row>
    <row r="80" spans="1:39" x14ac:dyDescent="0.2">
      <c r="A80">
        <v>79</v>
      </c>
      <c r="D80" t="s">
        <v>224</v>
      </c>
      <c r="E80">
        <v>3275</v>
      </c>
      <c r="F80" t="s">
        <v>213</v>
      </c>
      <c r="G80" t="s">
        <v>220</v>
      </c>
      <c r="H80" t="s">
        <v>221</v>
      </c>
      <c r="I80" t="s">
        <v>49</v>
      </c>
      <c r="J80" t="s">
        <v>222</v>
      </c>
      <c r="K80" t="s">
        <v>223</v>
      </c>
      <c r="L80">
        <v>5</v>
      </c>
      <c r="M80" t="s">
        <v>51</v>
      </c>
      <c r="N80">
        <v>2</v>
      </c>
      <c r="O80" t="s">
        <v>122</v>
      </c>
      <c r="P80">
        <v>1</v>
      </c>
      <c r="T80" s="54">
        <v>104000</v>
      </c>
      <c r="U80">
        <v>5.0807298565154001E-2</v>
      </c>
      <c r="V80" s="54">
        <v>0</v>
      </c>
      <c r="W80">
        <v>6.4662794924499001E-2</v>
      </c>
      <c r="X80" s="54">
        <v>0</v>
      </c>
      <c r="Y80">
        <v>5.0807298565154001E-2</v>
      </c>
      <c r="Z80" t="s">
        <v>52</v>
      </c>
      <c r="AA80" s="54">
        <v>104000</v>
      </c>
      <c r="AC80" s="7">
        <v>0.94750000000000001</v>
      </c>
      <c r="AD80">
        <v>0</v>
      </c>
      <c r="AE80" s="7">
        <v>1</v>
      </c>
      <c r="AF80" s="54">
        <v>104000</v>
      </c>
      <c r="AG80" s="54">
        <v>0</v>
      </c>
      <c r="AH80" s="7" t="s">
        <v>55</v>
      </c>
      <c r="AI80">
        <v>50.06551200610275</v>
      </c>
      <c r="AJ80" s="7">
        <v>1</v>
      </c>
      <c r="AK80">
        <v>50.06551200610275</v>
      </c>
      <c r="AL80">
        <v>4.8139914999999997E-4</v>
      </c>
      <c r="AM80">
        <v>4.8139914999999997E-4</v>
      </c>
    </row>
    <row r="81" spans="1:39" x14ac:dyDescent="0.2">
      <c r="A81">
        <v>80</v>
      </c>
      <c r="D81" t="s">
        <v>225</v>
      </c>
      <c r="E81">
        <v>3845</v>
      </c>
      <c r="F81" t="s">
        <v>213</v>
      </c>
      <c r="G81" t="s">
        <v>226</v>
      </c>
      <c r="H81" t="s">
        <v>215</v>
      </c>
      <c r="I81" t="s">
        <v>49</v>
      </c>
      <c r="J81">
        <v>1</v>
      </c>
      <c r="K81" t="s">
        <v>120</v>
      </c>
      <c r="L81">
        <v>1</v>
      </c>
      <c r="M81" t="s">
        <v>121</v>
      </c>
      <c r="N81">
        <v>2</v>
      </c>
      <c r="O81" t="s">
        <v>122</v>
      </c>
      <c r="P81">
        <v>1</v>
      </c>
      <c r="T81" s="54">
        <v>312000</v>
      </c>
      <c r="U81">
        <v>0.13570675550604899</v>
      </c>
      <c r="V81" s="54">
        <v>0</v>
      </c>
      <c r="W81">
        <v>0.147899557185561</v>
      </c>
      <c r="X81" s="54">
        <v>0</v>
      </c>
      <c r="Y81">
        <v>0.13570675550604899</v>
      </c>
      <c r="Z81" t="s">
        <v>52</v>
      </c>
      <c r="AA81" s="54">
        <v>312000</v>
      </c>
      <c r="AC81" s="7">
        <v>0.93500000000000005</v>
      </c>
      <c r="AD81">
        <v>0</v>
      </c>
      <c r="AE81" s="7">
        <v>1</v>
      </c>
      <c r="AF81" s="54">
        <v>312000</v>
      </c>
      <c r="AG81" s="54">
        <v>0</v>
      </c>
      <c r="AH81" s="7" t="s">
        <v>55</v>
      </c>
      <c r="AI81">
        <v>395.88374716224615</v>
      </c>
      <c r="AJ81" s="7">
        <v>1</v>
      </c>
      <c r="AK81">
        <v>395.88374716224615</v>
      </c>
      <c r="AL81">
        <v>1.2688581600000001E-3</v>
      </c>
      <c r="AM81">
        <v>1.2688581600000001E-3</v>
      </c>
    </row>
    <row r="82" spans="1:39" x14ac:dyDescent="0.2">
      <c r="A82">
        <v>81</v>
      </c>
      <c r="D82" t="s">
        <v>227</v>
      </c>
      <c r="E82">
        <v>1960</v>
      </c>
      <c r="F82" t="s">
        <v>117</v>
      </c>
      <c r="G82" t="s">
        <v>118</v>
      </c>
      <c r="H82" t="s">
        <v>119</v>
      </c>
      <c r="I82" t="s">
        <v>49</v>
      </c>
      <c r="J82">
        <v>1</v>
      </c>
      <c r="K82" t="s">
        <v>120</v>
      </c>
      <c r="L82">
        <v>1</v>
      </c>
      <c r="M82" t="s">
        <v>121</v>
      </c>
      <c r="N82">
        <v>2</v>
      </c>
      <c r="O82" t="s">
        <v>122</v>
      </c>
      <c r="P82">
        <v>1</v>
      </c>
      <c r="S82">
        <v>1968</v>
      </c>
      <c r="T82" s="54">
        <v>1608108.1070000001</v>
      </c>
      <c r="U82">
        <v>0.136386300515971</v>
      </c>
      <c r="V82" s="54">
        <v>0</v>
      </c>
      <c r="W82">
        <v>0.142128752590504</v>
      </c>
      <c r="X82" s="54">
        <v>0</v>
      </c>
      <c r="Y82">
        <v>0.136386300515971</v>
      </c>
      <c r="Z82" t="s">
        <v>52</v>
      </c>
      <c r="AA82" s="54">
        <v>1608108.1070000001</v>
      </c>
      <c r="AC82" s="7">
        <v>0.93500000000000005</v>
      </c>
      <c r="AD82">
        <v>0</v>
      </c>
      <c r="AE82" s="7">
        <v>1</v>
      </c>
      <c r="AF82" s="54">
        <v>1608108.1070000001</v>
      </c>
      <c r="AG82" s="54">
        <v>0</v>
      </c>
      <c r="AH82" s="7" t="s">
        <v>55</v>
      </c>
      <c r="AI82">
        <v>2050.6786103314562</v>
      </c>
      <c r="AJ82" s="7">
        <v>1</v>
      </c>
      <c r="AK82">
        <v>2050.6786103314562</v>
      </c>
      <c r="AL82">
        <v>1.2752118999999999E-3</v>
      </c>
      <c r="AM82">
        <v>1.2752118999999999E-3</v>
      </c>
    </row>
    <row r="83" spans="1:39" x14ac:dyDescent="0.2">
      <c r="A83">
        <v>82</v>
      </c>
      <c r="D83" t="s">
        <v>227</v>
      </c>
      <c r="E83">
        <v>1960</v>
      </c>
      <c r="F83" t="s">
        <v>117</v>
      </c>
      <c r="G83" t="s">
        <v>118</v>
      </c>
      <c r="H83" t="s">
        <v>119</v>
      </c>
      <c r="I83" t="s">
        <v>49</v>
      </c>
      <c r="J83">
        <v>1</v>
      </c>
      <c r="K83" t="s">
        <v>120</v>
      </c>
      <c r="L83">
        <v>1</v>
      </c>
      <c r="M83" t="s">
        <v>121</v>
      </c>
      <c r="N83">
        <v>2</v>
      </c>
      <c r="O83" t="s">
        <v>122</v>
      </c>
      <c r="P83">
        <v>1</v>
      </c>
      <c r="S83">
        <v>1968</v>
      </c>
      <c r="T83" s="54">
        <v>770270.26989999996</v>
      </c>
      <c r="U83">
        <v>0.136386300515971</v>
      </c>
      <c r="V83" s="54">
        <v>0</v>
      </c>
      <c r="W83">
        <v>0.142128752590504</v>
      </c>
      <c r="X83" s="54">
        <v>0</v>
      </c>
      <c r="Y83">
        <v>0.136386300515971</v>
      </c>
      <c r="Z83" t="s">
        <v>52</v>
      </c>
      <c r="AA83" s="54">
        <v>770270.26989999996</v>
      </c>
      <c r="AC83" s="7">
        <v>0.93500000000000005</v>
      </c>
      <c r="AD83">
        <v>0</v>
      </c>
      <c r="AE83" s="7">
        <v>1</v>
      </c>
      <c r="AF83" s="54">
        <v>770270.26989999996</v>
      </c>
      <c r="AG83" s="54">
        <v>0</v>
      </c>
      <c r="AH83" s="7" t="s">
        <v>55</v>
      </c>
      <c r="AI83">
        <v>982.25782196008026</v>
      </c>
      <c r="AJ83" s="7">
        <v>1</v>
      </c>
      <c r="AK83">
        <v>982.25782196008026</v>
      </c>
      <c r="AL83">
        <v>1.2752118999999999E-3</v>
      </c>
      <c r="AM83">
        <v>1.2752118999999999E-3</v>
      </c>
    </row>
    <row r="84" spans="1:39" x14ac:dyDescent="0.2">
      <c r="A84">
        <v>83</v>
      </c>
      <c r="D84" t="s">
        <v>227</v>
      </c>
      <c r="E84">
        <v>1960</v>
      </c>
      <c r="F84" t="s">
        <v>117</v>
      </c>
      <c r="G84" t="s">
        <v>118</v>
      </c>
      <c r="H84" t="s">
        <v>119</v>
      </c>
      <c r="I84" t="s">
        <v>49</v>
      </c>
      <c r="J84">
        <v>1</v>
      </c>
      <c r="K84" t="s">
        <v>120</v>
      </c>
      <c r="L84">
        <v>1</v>
      </c>
      <c r="M84" t="s">
        <v>121</v>
      </c>
      <c r="N84">
        <v>2</v>
      </c>
      <c r="O84" t="s">
        <v>122</v>
      </c>
      <c r="P84">
        <v>1</v>
      </c>
      <c r="S84">
        <v>1968</v>
      </c>
      <c r="T84" s="54">
        <v>1608108.1070000001</v>
      </c>
      <c r="U84">
        <v>0.136386300515971</v>
      </c>
      <c r="V84" s="54">
        <v>0</v>
      </c>
      <c r="W84">
        <v>0.142128752590504</v>
      </c>
      <c r="X84" s="54">
        <v>0</v>
      </c>
      <c r="Y84">
        <v>0.136386300515971</v>
      </c>
      <c r="Z84" t="s">
        <v>52</v>
      </c>
      <c r="AA84" s="54">
        <v>1608108.1070000001</v>
      </c>
      <c r="AC84" s="7">
        <v>0.93500000000000005</v>
      </c>
      <c r="AD84">
        <v>0</v>
      </c>
      <c r="AE84" s="7">
        <v>1</v>
      </c>
      <c r="AF84" s="54">
        <v>1608108.1070000001</v>
      </c>
      <c r="AG84" s="54">
        <v>0</v>
      </c>
      <c r="AH84" s="7" t="s">
        <v>55</v>
      </c>
      <c r="AI84">
        <v>2050.6786103314562</v>
      </c>
      <c r="AJ84" s="7">
        <v>1</v>
      </c>
      <c r="AK84">
        <v>2050.6786103314562</v>
      </c>
      <c r="AL84">
        <v>1.2752118999999999E-3</v>
      </c>
      <c r="AM84">
        <v>1.2752118999999999E-3</v>
      </c>
    </row>
    <row r="85" spans="1:39" x14ac:dyDescent="0.2">
      <c r="A85">
        <v>84</v>
      </c>
      <c r="D85" t="s">
        <v>227</v>
      </c>
      <c r="E85">
        <v>1960</v>
      </c>
      <c r="F85" t="s">
        <v>117</v>
      </c>
      <c r="G85" t="s">
        <v>118</v>
      </c>
      <c r="H85" t="s">
        <v>119</v>
      </c>
      <c r="I85" t="s">
        <v>49</v>
      </c>
      <c r="J85">
        <v>1</v>
      </c>
      <c r="K85" t="s">
        <v>120</v>
      </c>
      <c r="L85">
        <v>1</v>
      </c>
      <c r="M85" t="s">
        <v>121</v>
      </c>
      <c r="N85">
        <v>2</v>
      </c>
      <c r="O85" t="s">
        <v>122</v>
      </c>
      <c r="P85">
        <v>1</v>
      </c>
      <c r="S85">
        <v>1968</v>
      </c>
      <c r="T85" s="54">
        <v>770270.26989999996</v>
      </c>
      <c r="U85">
        <v>0.136386300515971</v>
      </c>
      <c r="V85" s="54">
        <v>0</v>
      </c>
      <c r="W85">
        <v>0.142128752590504</v>
      </c>
      <c r="X85" s="54">
        <v>0</v>
      </c>
      <c r="Y85">
        <v>0.136386300515971</v>
      </c>
      <c r="Z85" t="s">
        <v>52</v>
      </c>
      <c r="AA85" s="54">
        <v>770270.26989999996</v>
      </c>
      <c r="AC85" s="7">
        <v>0.93500000000000005</v>
      </c>
      <c r="AD85">
        <v>0</v>
      </c>
      <c r="AE85" s="7">
        <v>1</v>
      </c>
      <c r="AF85" s="54">
        <v>770270.26989999996</v>
      </c>
      <c r="AG85" s="54">
        <v>0</v>
      </c>
      <c r="AH85" s="7" t="s">
        <v>55</v>
      </c>
      <c r="AI85">
        <v>982.25782196008026</v>
      </c>
      <c r="AJ85" s="7">
        <v>1</v>
      </c>
      <c r="AK85">
        <v>982.25782196008026</v>
      </c>
      <c r="AL85">
        <v>1.2752118999999999E-3</v>
      </c>
      <c r="AM85">
        <v>1.2752118999999999E-3</v>
      </c>
    </row>
    <row r="86" spans="1:39" x14ac:dyDescent="0.2">
      <c r="A86">
        <v>85</v>
      </c>
      <c r="D86" t="s">
        <v>227</v>
      </c>
      <c r="E86">
        <v>1960</v>
      </c>
      <c r="F86" t="s">
        <v>117</v>
      </c>
      <c r="G86" t="s">
        <v>118</v>
      </c>
      <c r="H86" t="s">
        <v>119</v>
      </c>
      <c r="I86" t="s">
        <v>49</v>
      </c>
      <c r="J86">
        <v>1</v>
      </c>
      <c r="K86" t="s">
        <v>120</v>
      </c>
      <c r="L86">
        <v>1</v>
      </c>
      <c r="M86" t="s">
        <v>121</v>
      </c>
      <c r="N86">
        <v>2</v>
      </c>
      <c r="O86" t="s">
        <v>122</v>
      </c>
      <c r="P86">
        <v>1</v>
      </c>
      <c r="S86">
        <v>1968</v>
      </c>
      <c r="T86" s="54">
        <v>770270.26989999996</v>
      </c>
      <c r="U86">
        <v>0.136386300515971</v>
      </c>
      <c r="V86" s="54">
        <v>0</v>
      </c>
      <c r="W86">
        <v>0.142128752590504</v>
      </c>
      <c r="X86" s="54">
        <v>0</v>
      </c>
      <c r="Y86">
        <v>0.136386300515971</v>
      </c>
      <c r="Z86" t="s">
        <v>52</v>
      </c>
      <c r="AA86" s="54">
        <v>770270.26989999996</v>
      </c>
      <c r="AC86" s="7">
        <v>0.93500000000000005</v>
      </c>
      <c r="AD86">
        <v>0</v>
      </c>
      <c r="AE86" s="7">
        <v>1</v>
      </c>
      <c r="AF86" s="54">
        <v>770270.26989999996</v>
      </c>
      <c r="AG86" s="54">
        <v>0</v>
      </c>
      <c r="AH86" s="7" t="s">
        <v>55</v>
      </c>
      <c r="AI86">
        <v>982.25782196008026</v>
      </c>
      <c r="AJ86" s="7">
        <v>1</v>
      </c>
      <c r="AK86">
        <v>982.25782196008026</v>
      </c>
      <c r="AL86">
        <v>1.2752118999999999E-3</v>
      </c>
      <c r="AM86">
        <v>1.2752118999999999E-3</v>
      </c>
    </row>
    <row r="87" spans="1:39" x14ac:dyDescent="0.2">
      <c r="A87">
        <v>86</v>
      </c>
      <c r="D87" t="s">
        <v>227</v>
      </c>
      <c r="E87">
        <v>1960</v>
      </c>
      <c r="F87" t="s">
        <v>117</v>
      </c>
      <c r="G87" t="s">
        <v>118</v>
      </c>
      <c r="H87" t="s">
        <v>119</v>
      </c>
      <c r="I87" t="s">
        <v>49</v>
      </c>
      <c r="J87">
        <v>1</v>
      </c>
      <c r="K87" t="s">
        <v>120</v>
      </c>
      <c r="L87">
        <v>1</v>
      </c>
      <c r="M87" t="s">
        <v>121</v>
      </c>
      <c r="N87">
        <v>2</v>
      </c>
      <c r="O87" t="s">
        <v>122</v>
      </c>
      <c r="P87">
        <v>1</v>
      </c>
      <c r="S87">
        <v>1968</v>
      </c>
      <c r="T87" s="54">
        <v>1608108.1070000001</v>
      </c>
      <c r="U87">
        <v>0.136386300515971</v>
      </c>
      <c r="V87" s="54">
        <v>0</v>
      </c>
      <c r="W87">
        <v>0.142128752590504</v>
      </c>
      <c r="X87" s="54">
        <v>0</v>
      </c>
      <c r="Y87">
        <v>0.136386300515971</v>
      </c>
      <c r="Z87" t="s">
        <v>52</v>
      </c>
      <c r="AA87" s="54">
        <v>1608108.1070000001</v>
      </c>
      <c r="AC87" s="7">
        <v>0.93500000000000005</v>
      </c>
      <c r="AD87">
        <v>0</v>
      </c>
      <c r="AE87" s="7">
        <v>1</v>
      </c>
      <c r="AF87" s="54">
        <v>1608108.1070000001</v>
      </c>
      <c r="AG87" s="54">
        <v>0</v>
      </c>
      <c r="AH87" s="7" t="s">
        <v>55</v>
      </c>
      <c r="AI87">
        <v>2050.6786103314562</v>
      </c>
      <c r="AJ87" s="7">
        <v>1</v>
      </c>
      <c r="AK87">
        <v>2050.6786103314562</v>
      </c>
      <c r="AL87">
        <v>1.2752118999999999E-3</v>
      </c>
      <c r="AM87">
        <v>1.2752118999999999E-3</v>
      </c>
    </row>
    <row r="88" spans="1:39" x14ac:dyDescent="0.2">
      <c r="A88">
        <v>87</v>
      </c>
      <c r="D88" t="s">
        <v>227</v>
      </c>
      <c r="E88">
        <v>1960</v>
      </c>
      <c r="F88" t="s">
        <v>117</v>
      </c>
      <c r="G88" t="s">
        <v>118</v>
      </c>
      <c r="H88" t="s">
        <v>119</v>
      </c>
      <c r="I88" t="s">
        <v>49</v>
      </c>
      <c r="J88">
        <v>1</v>
      </c>
      <c r="K88" t="s">
        <v>120</v>
      </c>
      <c r="L88">
        <v>1</v>
      </c>
      <c r="M88" t="s">
        <v>121</v>
      </c>
      <c r="N88">
        <v>2</v>
      </c>
      <c r="O88" t="s">
        <v>122</v>
      </c>
      <c r="P88">
        <v>1</v>
      </c>
      <c r="S88">
        <v>1968</v>
      </c>
      <c r="T88" s="54">
        <v>770270.26989999996</v>
      </c>
      <c r="U88">
        <v>0.136386300515971</v>
      </c>
      <c r="V88" s="54">
        <v>0</v>
      </c>
      <c r="W88">
        <v>0.142128752590504</v>
      </c>
      <c r="X88" s="54">
        <v>0</v>
      </c>
      <c r="Y88">
        <v>0.136386300515971</v>
      </c>
      <c r="Z88" t="s">
        <v>52</v>
      </c>
      <c r="AA88" s="54">
        <v>770270.26989999996</v>
      </c>
      <c r="AC88" s="7">
        <v>0.93500000000000005</v>
      </c>
      <c r="AD88">
        <v>0</v>
      </c>
      <c r="AE88" s="7">
        <v>1</v>
      </c>
      <c r="AF88" s="54">
        <v>770270.26989999996</v>
      </c>
      <c r="AG88" s="54">
        <v>0</v>
      </c>
      <c r="AH88" s="7" t="s">
        <v>55</v>
      </c>
      <c r="AI88">
        <v>982.25782196008026</v>
      </c>
      <c r="AJ88" s="7">
        <v>1</v>
      </c>
      <c r="AK88">
        <v>982.25782196008026</v>
      </c>
      <c r="AL88">
        <v>1.2752118999999999E-3</v>
      </c>
      <c r="AM88">
        <v>1.2752118999999999E-3</v>
      </c>
    </row>
    <row r="89" spans="1:39" x14ac:dyDescent="0.2">
      <c r="A89">
        <v>88</v>
      </c>
      <c r="D89" t="s">
        <v>227</v>
      </c>
      <c r="E89">
        <v>1960</v>
      </c>
      <c r="F89" t="s">
        <v>117</v>
      </c>
      <c r="G89" t="s">
        <v>118</v>
      </c>
      <c r="H89" t="s">
        <v>119</v>
      </c>
      <c r="I89" t="s">
        <v>49</v>
      </c>
      <c r="J89">
        <v>1</v>
      </c>
      <c r="K89" t="s">
        <v>120</v>
      </c>
      <c r="L89">
        <v>1</v>
      </c>
      <c r="M89" t="s">
        <v>121</v>
      </c>
      <c r="N89">
        <v>2</v>
      </c>
      <c r="O89" t="s">
        <v>122</v>
      </c>
      <c r="P89">
        <v>1</v>
      </c>
      <c r="S89">
        <v>1968</v>
      </c>
      <c r="T89" s="54">
        <v>1608108.1070000001</v>
      </c>
      <c r="U89">
        <v>0.136386300515971</v>
      </c>
      <c r="V89" s="54">
        <v>0</v>
      </c>
      <c r="W89">
        <v>0.142128752590504</v>
      </c>
      <c r="X89" s="54">
        <v>0</v>
      </c>
      <c r="Y89">
        <v>0.136386300515971</v>
      </c>
      <c r="Z89" t="s">
        <v>52</v>
      </c>
      <c r="AA89" s="54">
        <v>1608108.1070000001</v>
      </c>
      <c r="AC89" s="7">
        <v>0.93500000000000005</v>
      </c>
      <c r="AD89">
        <v>0</v>
      </c>
      <c r="AE89" s="7">
        <v>1</v>
      </c>
      <c r="AF89" s="54">
        <v>1608108.1070000001</v>
      </c>
      <c r="AG89" s="54">
        <v>0</v>
      </c>
      <c r="AH89" s="7" t="s">
        <v>55</v>
      </c>
      <c r="AI89">
        <v>2050.6786103314562</v>
      </c>
      <c r="AJ89" s="7">
        <v>1</v>
      </c>
      <c r="AK89">
        <v>2050.6786103314562</v>
      </c>
      <c r="AL89">
        <v>1.2752118999999999E-3</v>
      </c>
      <c r="AM89">
        <v>1.2752118999999999E-3</v>
      </c>
    </row>
    <row r="90" spans="1:39" x14ac:dyDescent="0.2">
      <c r="A90">
        <v>89</v>
      </c>
      <c r="D90" t="s">
        <v>227</v>
      </c>
      <c r="E90">
        <v>1960</v>
      </c>
      <c r="F90" t="s">
        <v>117</v>
      </c>
      <c r="G90" t="s">
        <v>118</v>
      </c>
      <c r="H90" t="s">
        <v>119</v>
      </c>
      <c r="I90" t="s">
        <v>49</v>
      </c>
      <c r="J90">
        <v>1</v>
      </c>
      <c r="K90" t="s">
        <v>120</v>
      </c>
      <c r="L90">
        <v>1</v>
      </c>
      <c r="M90" t="s">
        <v>121</v>
      </c>
      <c r="N90">
        <v>2</v>
      </c>
      <c r="O90" t="s">
        <v>122</v>
      </c>
      <c r="P90">
        <v>1</v>
      </c>
      <c r="S90">
        <v>1968</v>
      </c>
      <c r="T90" s="54">
        <v>1608108.1070000001</v>
      </c>
      <c r="U90">
        <v>0.136386300515971</v>
      </c>
      <c r="V90" s="54">
        <v>0</v>
      </c>
      <c r="W90">
        <v>0.142128752590504</v>
      </c>
      <c r="X90" s="54">
        <v>0</v>
      </c>
      <c r="Y90">
        <v>0.136386300515971</v>
      </c>
      <c r="Z90" t="s">
        <v>52</v>
      </c>
      <c r="AA90" s="54">
        <v>1608108.1070000001</v>
      </c>
      <c r="AC90" s="7">
        <v>0.93500000000000005</v>
      </c>
      <c r="AD90">
        <v>0</v>
      </c>
      <c r="AE90" s="7">
        <v>1</v>
      </c>
      <c r="AF90" s="54">
        <v>1608108.1070000001</v>
      </c>
      <c r="AG90" s="54">
        <v>0</v>
      </c>
      <c r="AH90" s="7" t="s">
        <v>55</v>
      </c>
      <c r="AI90">
        <v>2050.6786103314562</v>
      </c>
      <c r="AJ90" s="7">
        <v>1</v>
      </c>
      <c r="AK90">
        <v>2050.6786103314562</v>
      </c>
      <c r="AL90">
        <v>1.2752118999999999E-3</v>
      </c>
      <c r="AM90">
        <v>1.2752118999999999E-3</v>
      </c>
    </row>
    <row r="91" spans="1:39" x14ac:dyDescent="0.2">
      <c r="A91">
        <v>90</v>
      </c>
      <c r="D91" t="s">
        <v>227</v>
      </c>
      <c r="E91">
        <v>1960</v>
      </c>
      <c r="F91" t="s">
        <v>117</v>
      </c>
      <c r="G91" t="s">
        <v>118</v>
      </c>
      <c r="H91" t="s">
        <v>119</v>
      </c>
      <c r="I91" t="s">
        <v>49</v>
      </c>
      <c r="J91">
        <v>1</v>
      </c>
      <c r="K91" t="s">
        <v>120</v>
      </c>
      <c r="L91">
        <v>1</v>
      </c>
      <c r="M91" t="s">
        <v>121</v>
      </c>
      <c r="N91">
        <v>2</v>
      </c>
      <c r="O91" t="s">
        <v>122</v>
      </c>
      <c r="P91">
        <v>1</v>
      </c>
      <c r="S91">
        <v>1968</v>
      </c>
      <c r="T91" s="54">
        <v>1608108.1070000001</v>
      </c>
      <c r="U91">
        <v>0.136386300515971</v>
      </c>
      <c r="V91" s="54">
        <v>0</v>
      </c>
      <c r="W91">
        <v>0.142128752590504</v>
      </c>
      <c r="X91" s="54">
        <v>0</v>
      </c>
      <c r="Y91">
        <v>0.136386300515971</v>
      </c>
      <c r="Z91" t="s">
        <v>52</v>
      </c>
      <c r="AA91" s="54">
        <v>1608108.1070000001</v>
      </c>
      <c r="AC91" s="7">
        <v>0.93500000000000005</v>
      </c>
      <c r="AD91">
        <v>0</v>
      </c>
      <c r="AE91" s="7">
        <v>1</v>
      </c>
      <c r="AF91" s="54">
        <v>1608108.1070000001</v>
      </c>
      <c r="AG91" s="54">
        <v>0</v>
      </c>
      <c r="AH91" s="7" t="s">
        <v>55</v>
      </c>
      <c r="AI91">
        <v>2050.6786103314562</v>
      </c>
      <c r="AJ91" s="7">
        <v>1</v>
      </c>
      <c r="AK91">
        <v>2050.6786103314562</v>
      </c>
      <c r="AL91">
        <v>1.2752118999999999E-3</v>
      </c>
      <c r="AM91">
        <v>1.2752118999999999E-3</v>
      </c>
    </row>
    <row r="92" spans="1:39" x14ac:dyDescent="0.2">
      <c r="A92">
        <v>91</v>
      </c>
      <c r="D92" t="s">
        <v>227</v>
      </c>
      <c r="E92">
        <v>1960</v>
      </c>
      <c r="F92" t="s">
        <v>117</v>
      </c>
      <c r="G92" t="s">
        <v>118</v>
      </c>
      <c r="H92" t="s">
        <v>119</v>
      </c>
      <c r="I92" t="s">
        <v>49</v>
      </c>
      <c r="J92">
        <v>1</v>
      </c>
      <c r="K92" t="s">
        <v>120</v>
      </c>
      <c r="L92">
        <v>1</v>
      </c>
      <c r="M92" t="s">
        <v>121</v>
      </c>
      <c r="N92">
        <v>2</v>
      </c>
      <c r="O92" t="s">
        <v>122</v>
      </c>
      <c r="P92">
        <v>1</v>
      </c>
      <c r="S92">
        <v>1968</v>
      </c>
      <c r="T92" s="54">
        <v>770270.26989999996</v>
      </c>
      <c r="U92">
        <v>0.136386300515971</v>
      </c>
      <c r="V92" s="54">
        <v>0</v>
      </c>
      <c r="W92">
        <v>0.142128752590504</v>
      </c>
      <c r="X92" s="54">
        <v>0</v>
      </c>
      <c r="Y92">
        <v>0.136386300515971</v>
      </c>
      <c r="Z92" t="s">
        <v>52</v>
      </c>
      <c r="AA92" s="54">
        <v>770270.26989999996</v>
      </c>
      <c r="AC92" s="7">
        <v>0.93500000000000005</v>
      </c>
      <c r="AD92">
        <v>0</v>
      </c>
      <c r="AE92" s="7">
        <v>1</v>
      </c>
      <c r="AF92" s="54">
        <v>770270.26989999996</v>
      </c>
      <c r="AG92" s="54">
        <v>0</v>
      </c>
      <c r="AH92" s="7" t="s">
        <v>55</v>
      </c>
      <c r="AI92">
        <v>982.25782196008026</v>
      </c>
      <c r="AJ92" s="7">
        <v>1</v>
      </c>
      <c r="AK92">
        <v>982.25782196008026</v>
      </c>
      <c r="AL92">
        <v>1.2752118999999999E-3</v>
      </c>
      <c r="AM92">
        <v>1.2752118999999999E-3</v>
      </c>
    </row>
    <row r="93" spans="1:39" x14ac:dyDescent="0.2">
      <c r="A93">
        <v>92</v>
      </c>
      <c r="D93" t="s">
        <v>227</v>
      </c>
      <c r="E93">
        <v>1960</v>
      </c>
      <c r="F93" t="s">
        <v>117</v>
      </c>
      <c r="G93" t="s">
        <v>118</v>
      </c>
      <c r="H93" t="s">
        <v>119</v>
      </c>
      <c r="I93" t="s">
        <v>49</v>
      </c>
      <c r="J93">
        <v>1</v>
      </c>
      <c r="K93" t="s">
        <v>120</v>
      </c>
      <c r="L93">
        <v>1</v>
      </c>
      <c r="M93" t="s">
        <v>121</v>
      </c>
      <c r="N93">
        <v>2</v>
      </c>
      <c r="O93" t="s">
        <v>122</v>
      </c>
      <c r="P93">
        <v>1</v>
      </c>
      <c r="S93">
        <v>1968</v>
      </c>
      <c r="T93" s="54">
        <v>19200</v>
      </c>
      <c r="U93">
        <v>0.136386300515971</v>
      </c>
      <c r="V93" s="54">
        <v>0</v>
      </c>
      <c r="W93">
        <v>0.142128752590504</v>
      </c>
      <c r="X93" s="54">
        <v>0</v>
      </c>
      <c r="Y93">
        <v>0.136386300515971</v>
      </c>
      <c r="Z93" t="s">
        <v>52</v>
      </c>
      <c r="AA93" s="54">
        <v>19200</v>
      </c>
      <c r="AC93" s="7">
        <v>0.93500000000000005</v>
      </c>
      <c r="AD93">
        <v>0</v>
      </c>
      <c r="AE93" s="7">
        <v>1</v>
      </c>
      <c r="AF93" s="54">
        <v>19200</v>
      </c>
      <c r="AG93" s="54">
        <v>0</v>
      </c>
      <c r="AH93" s="7" t="s">
        <v>55</v>
      </c>
      <c r="AI93">
        <v>24.48406866862711</v>
      </c>
      <c r="AJ93" s="7">
        <v>1</v>
      </c>
      <c r="AK93">
        <v>24.48406866862711</v>
      </c>
      <c r="AL93">
        <v>1.2752118999999999E-3</v>
      </c>
      <c r="AM93">
        <v>1.2752118999999999E-3</v>
      </c>
    </row>
    <row r="94" spans="1:39" x14ac:dyDescent="0.2">
      <c r="A94">
        <v>93</v>
      </c>
      <c r="D94" t="s">
        <v>227</v>
      </c>
      <c r="E94">
        <v>1960</v>
      </c>
      <c r="F94" t="s">
        <v>117</v>
      </c>
      <c r="G94" t="s">
        <v>118</v>
      </c>
      <c r="H94" t="s">
        <v>119</v>
      </c>
      <c r="I94" t="s">
        <v>49</v>
      </c>
      <c r="J94">
        <v>1</v>
      </c>
      <c r="K94" t="s">
        <v>120</v>
      </c>
      <c r="L94">
        <v>1</v>
      </c>
      <c r="M94" t="s">
        <v>121</v>
      </c>
      <c r="N94">
        <v>7</v>
      </c>
      <c r="O94" t="s">
        <v>228</v>
      </c>
      <c r="P94">
        <v>1</v>
      </c>
      <c r="S94">
        <v>1968</v>
      </c>
      <c r="T94" s="54">
        <v>18000</v>
      </c>
      <c r="U94">
        <v>0.10543108194515199</v>
      </c>
      <c r="V94" s="54">
        <v>0</v>
      </c>
      <c r="W94">
        <v>0.12251140621299</v>
      </c>
      <c r="X94" s="54">
        <v>0</v>
      </c>
      <c r="Y94">
        <v>0.10543108194515199</v>
      </c>
      <c r="Z94" t="s">
        <v>52</v>
      </c>
      <c r="AA94" s="54">
        <v>18000</v>
      </c>
      <c r="AC94" s="7">
        <v>0.93500000000000005</v>
      </c>
      <c r="AD94">
        <v>0</v>
      </c>
      <c r="AE94" s="7">
        <v>1</v>
      </c>
      <c r="AF94" s="54">
        <v>18000</v>
      </c>
      <c r="AG94" s="54">
        <v>0</v>
      </c>
      <c r="AH94" s="7" t="s">
        <v>57</v>
      </c>
      <c r="AI94">
        <v>17.74405109136908</v>
      </c>
      <c r="AJ94" s="7">
        <v>1</v>
      </c>
      <c r="AK94">
        <v>17.74405109136908</v>
      </c>
      <c r="AL94">
        <v>9.8578061000000007E-4</v>
      </c>
      <c r="AM94">
        <v>9.8578061000000007E-4</v>
      </c>
    </row>
    <row r="95" spans="1:39" x14ac:dyDescent="0.2">
      <c r="A95">
        <v>94</v>
      </c>
      <c r="D95" t="s">
        <v>229</v>
      </c>
      <c r="E95">
        <v>1880</v>
      </c>
      <c r="F95" t="s">
        <v>117</v>
      </c>
      <c r="G95" t="s">
        <v>230</v>
      </c>
      <c r="H95" t="s">
        <v>186</v>
      </c>
      <c r="I95" t="s">
        <v>49</v>
      </c>
      <c r="J95">
        <v>1</v>
      </c>
      <c r="K95" t="s">
        <v>120</v>
      </c>
      <c r="L95">
        <v>1</v>
      </c>
      <c r="M95" t="s">
        <v>121</v>
      </c>
      <c r="N95">
        <v>2</v>
      </c>
      <c r="O95" t="s">
        <v>122</v>
      </c>
      <c r="P95">
        <v>1</v>
      </c>
      <c r="S95">
        <v>2013</v>
      </c>
      <c r="T95" s="54">
        <v>7111180</v>
      </c>
      <c r="U95">
        <v>0.136386300515971</v>
      </c>
      <c r="V95" s="54">
        <v>0</v>
      </c>
      <c r="W95">
        <v>0.142128752590504</v>
      </c>
      <c r="X95" s="54">
        <v>0</v>
      </c>
      <c r="Y95">
        <v>0.136386300515971</v>
      </c>
      <c r="Z95" t="s">
        <v>52</v>
      </c>
      <c r="AA95" s="54">
        <v>7111180</v>
      </c>
      <c r="AC95" s="7">
        <v>0.93500000000000005</v>
      </c>
      <c r="AD95">
        <v>1</v>
      </c>
      <c r="AE95" s="7">
        <v>0.85</v>
      </c>
      <c r="AF95" s="54">
        <v>7111180</v>
      </c>
      <c r="AG95" s="54">
        <v>0</v>
      </c>
      <c r="AH95" s="7" t="s">
        <v>55</v>
      </c>
      <c r="AI95">
        <v>7708.0222145688849</v>
      </c>
      <c r="AJ95" s="7">
        <v>1</v>
      </c>
      <c r="AK95">
        <v>7708.0222145688849</v>
      </c>
      <c r="AL95">
        <v>1.08393012E-3</v>
      </c>
      <c r="AM95">
        <v>1.08393012E-3</v>
      </c>
    </row>
    <row r="96" spans="1:39" x14ac:dyDescent="0.2">
      <c r="A96">
        <v>95</v>
      </c>
      <c r="D96" t="s">
        <v>231</v>
      </c>
      <c r="E96">
        <v>1880</v>
      </c>
      <c r="F96" t="s">
        <v>117</v>
      </c>
      <c r="G96" t="s">
        <v>230</v>
      </c>
      <c r="H96" t="s">
        <v>186</v>
      </c>
      <c r="I96" t="s">
        <v>49</v>
      </c>
      <c r="J96">
        <v>1</v>
      </c>
      <c r="K96" t="s">
        <v>120</v>
      </c>
      <c r="L96">
        <v>1</v>
      </c>
      <c r="M96" t="s">
        <v>121</v>
      </c>
      <c r="N96">
        <v>2</v>
      </c>
      <c r="O96" t="s">
        <v>122</v>
      </c>
      <c r="P96">
        <v>1</v>
      </c>
      <c r="S96">
        <v>2013</v>
      </c>
      <c r="T96" s="54">
        <v>7111180</v>
      </c>
      <c r="U96">
        <v>0.136386300515971</v>
      </c>
      <c r="V96" s="54">
        <v>0</v>
      </c>
      <c r="W96">
        <v>0.142128752590504</v>
      </c>
      <c r="X96" s="54">
        <v>0</v>
      </c>
      <c r="Y96">
        <v>0.136386300515971</v>
      </c>
      <c r="Z96" t="s">
        <v>52</v>
      </c>
      <c r="AA96" s="54">
        <v>7111180</v>
      </c>
      <c r="AC96" s="7">
        <v>0.93500000000000005</v>
      </c>
      <c r="AD96">
        <v>1</v>
      </c>
      <c r="AE96" s="7">
        <v>0.85</v>
      </c>
      <c r="AF96" s="54">
        <v>7111180</v>
      </c>
      <c r="AG96" s="54">
        <v>0</v>
      </c>
      <c r="AH96" s="7" t="s">
        <v>55</v>
      </c>
      <c r="AI96">
        <v>7708.0222145688849</v>
      </c>
      <c r="AJ96" s="7">
        <v>1</v>
      </c>
      <c r="AK96">
        <v>7708.0222145688849</v>
      </c>
      <c r="AL96">
        <v>1.08393012E-3</v>
      </c>
      <c r="AM96">
        <v>1.08393012E-3</v>
      </c>
    </row>
    <row r="97" spans="1:39" x14ac:dyDescent="0.2">
      <c r="A97">
        <v>96</v>
      </c>
      <c r="D97" t="s">
        <v>232</v>
      </c>
      <c r="E97">
        <v>1803</v>
      </c>
      <c r="F97" t="s">
        <v>117</v>
      </c>
      <c r="G97" t="s">
        <v>210</v>
      </c>
      <c r="H97" t="s">
        <v>186</v>
      </c>
      <c r="I97" t="s">
        <v>49</v>
      </c>
      <c r="J97">
        <v>1</v>
      </c>
      <c r="K97" t="s">
        <v>120</v>
      </c>
      <c r="L97">
        <v>1</v>
      </c>
      <c r="M97" t="s">
        <v>121</v>
      </c>
      <c r="N97">
        <v>2</v>
      </c>
      <c r="O97" t="s">
        <v>122</v>
      </c>
      <c r="P97">
        <v>1</v>
      </c>
      <c r="T97" s="54">
        <v>1794562</v>
      </c>
      <c r="U97">
        <v>0.136386300515971</v>
      </c>
      <c r="V97" s="54">
        <v>0</v>
      </c>
      <c r="W97">
        <v>0.142128752590504</v>
      </c>
      <c r="X97" s="54">
        <v>0</v>
      </c>
      <c r="Y97">
        <v>0.136386300515971</v>
      </c>
      <c r="Z97" t="s">
        <v>52</v>
      </c>
      <c r="AA97" s="54">
        <v>1794562</v>
      </c>
      <c r="AC97" s="7">
        <v>0.93500000000000005</v>
      </c>
      <c r="AD97">
        <v>0</v>
      </c>
      <c r="AE97" s="7">
        <v>1</v>
      </c>
      <c r="AF97" s="54">
        <v>1794562</v>
      </c>
      <c r="AG97" s="54">
        <v>0</v>
      </c>
      <c r="AH97" s="7" t="s">
        <v>55</v>
      </c>
      <c r="AI97">
        <v>2288.4468353181674</v>
      </c>
      <c r="AJ97" s="7">
        <v>1</v>
      </c>
      <c r="AK97">
        <v>2288.4468353181674</v>
      </c>
      <c r="AL97">
        <v>1.2752118999999999E-3</v>
      </c>
      <c r="AM97">
        <v>1.2752118999999999E-3</v>
      </c>
    </row>
    <row r="98" spans="1:39" x14ac:dyDescent="0.2">
      <c r="A98">
        <v>97</v>
      </c>
      <c r="D98" t="s">
        <v>232</v>
      </c>
      <c r="E98">
        <v>1803</v>
      </c>
      <c r="F98" t="s">
        <v>117</v>
      </c>
      <c r="G98" t="s">
        <v>210</v>
      </c>
      <c r="H98" t="s">
        <v>186</v>
      </c>
      <c r="I98" t="s">
        <v>49</v>
      </c>
      <c r="J98">
        <v>1</v>
      </c>
      <c r="K98" t="s">
        <v>120</v>
      </c>
      <c r="L98">
        <v>1</v>
      </c>
      <c r="M98" t="s">
        <v>121</v>
      </c>
      <c r="N98">
        <v>2</v>
      </c>
      <c r="O98" t="s">
        <v>122</v>
      </c>
      <c r="P98">
        <v>1</v>
      </c>
      <c r="T98" s="54">
        <v>1794562</v>
      </c>
      <c r="U98">
        <v>0.136386300515971</v>
      </c>
      <c r="V98" s="54">
        <v>0</v>
      </c>
      <c r="W98">
        <v>0.142128752590504</v>
      </c>
      <c r="X98" s="54">
        <v>0</v>
      </c>
      <c r="Y98">
        <v>0.136386300515971</v>
      </c>
      <c r="Z98" t="s">
        <v>52</v>
      </c>
      <c r="AA98" s="54">
        <v>1794562</v>
      </c>
      <c r="AC98" s="7">
        <v>0.93500000000000005</v>
      </c>
      <c r="AD98">
        <v>0</v>
      </c>
      <c r="AE98" s="7">
        <v>1</v>
      </c>
      <c r="AF98" s="54">
        <v>1794562</v>
      </c>
      <c r="AG98" s="54">
        <v>0</v>
      </c>
      <c r="AH98" s="7" t="s">
        <v>55</v>
      </c>
      <c r="AI98">
        <v>2288.4468353181674</v>
      </c>
      <c r="AJ98" s="7">
        <v>1</v>
      </c>
      <c r="AK98">
        <v>2288.4468353181674</v>
      </c>
      <c r="AL98">
        <v>1.2752118999999999E-3</v>
      </c>
      <c r="AM98">
        <v>1.2752118999999999E-3</v>
      </c>
    </row>
    <row r="99" spans="1:39" x14ac:dyDescent="0.2">
      <c r="A99">
        <v>98</v>
      </c>
      <c r="D99" t="s">
        <v>232</v>
      </c>
      <c r="E99">
        <v>1803</v>
      </c>
      <c r="F99" t="s">
        <v>117</v>
      </c>
      <c r="G99" t="s">
        <v>210</v>
      </c>
      <c r="H99" t="s">
        <v>186</v>
      </c>
      <c r="I99" t="s">
        <v>49</v>
      </c>
      <c r="J99">
        <v>1</v>
      </c>
      <c r="K99" t="s">
        <v>120</v>
      </c>
      <c r="L99">
        <v>1</v>
      </c>
      <c r="M99" t="s">
        <v>121</v>
      </c>
      <c r="N99">
        <v>2</v>
      </c>
      <c r="O99" t="s">
        <v>122</v>
      </c>
      <c r="P99">
        <v>1</v>
      </c>
      <c r="T99" s="54">
        <v>1679869</v>
      </c>
      <c r="U99">
        <v>0.136386300515971</v>
      </c>
      <c r="V99" s="54">
        <v>0</v>
      </c>
      <c r="W99">
        <v>0.142128752590504</v>
      </c>
      <c r="X99" s="54">
        <v>0</v>
      </c>
      <c r="Y99">
        <v>0.136386300515971</v>
      </c>
      <c r="Z99" t="s">
        <v>52</v>
      </c>
      <c r="AA99" s="54">
        <v>1679869</v>
      </c>
      <c r="AC99" s="7">
        <v>0.93500000000000005</v>
      </c>
      <c r="AD99">
        <v>0</v>
      </c>
      <c r="AE99" s="7">
        <v>1</v>
      </c>
      <c r="AF99" s="54">
        <v>1679869</v>
      </c>
      <c r="AG99" s="54">
        <v>0</v>
      </c>
      <c r="AH99" s="7" t="s">
        <v>55</v>
      </c>
      <c r="AI99">
        <v>2142.1889557446857</v>
      </c>
      <c r="AJ99" s="7">
        <v>1</v>
      </c>
      <c r="AK99">
        <v>2142.1889557446857</v>
      </c>
      <c r="AL99">
        <v>1.2752118999999999E-3</v>
      </c>
      <c r="AM99">
        <v>1.2752118999999999E-3</v>
      </c>
    </row>
    <row r="100" spans="1:39" x14ac:dyDescent="0.2">
      <c r="A100">
        <v>99</v>
      </c>
      <c r="D100" t="s">
        <v>232</v>
      </c>
      <c r="E100">
        <v>1803</v>
      </c>
      <c r="F100" t="s">
        <v>117</v>
      </c>
      <c r="G100" t="s">
        <v>210</v>
      </c>
      <c r="H100" t="s">
        <v>186</v>
      </c>
      <c r="I100" t="s">
        <v>49</v>
      </c>
      <c r="J100">
        <v>1</v>
      </c>
      <c r="K100" t="s">
        <v>120</v>
      </c>
      <c r="L100">
        <v>1</v>
      </c>
      <c r="M100" t="s">
        <v>121</v>
      </c>
      <c r="N100">
        <v>2</v>
      </c>
      <c r="O100" t="s">
        <v>122</v>
      </c>
      <c r="P100">
        <v>1</v>
      </c>
      <c r="T100" s="54">
        <v>1679869</v>
      </c>
      <c r="U100">
        <v>0.136386300515971</v>
      </c>
      <c r="V100" s="54">
        <v>0</v>
      </c>
      <c r="W100">
        <v>0.142128752590504</v>
      </c>
      <c r="X100" s="54">
        <v>0</v>
      </c>
      <c r="Y100">
        <v>0.136386300515971</v>
      </c>
      <c r="Z100" t="s">
        <v>52</v>
      </c>
      <c r="AA100" s="54">
        <v>1679869</v>
      </c>
      <c r="AC100" s="7">
        <v>0.93500000000000005</v>
      </c>
      <c r="AD100">
        <v>0</v>
      </c>
      <c r="AE100" s="7">
        <v>1</v>
      </c>
      <c r="AF100" s="54">
        <v>1679869</v>
      </c>
      <c r="AG100" s="54">
        <v>0</v>
      </c>
      <c r="AH100" s="7" t="s">
        <v>55</v>
      </c>
      <c r="AI100">
        <v>2142.1889557446857</v>
      </c>
      <c r="AJ100" s="7">
        <v>1</v>
      </c>
      <c r="AK100">
        <v>2142.1889557446857</v>
      </c>
      <c r="AL100">
        <v>1.2752118999999999E-3</v>
      </c>
      <c r="AM100">
        <v>1.2752118999999999E-3</v>
      </c>
    </row>
    <row r="101" spans="1:39" x14ac:dyDescent="0.2">
      <c r="A101">
        <v>100</v>
      </c>
      <c r="D101" t="s">
        <v>232</v>
      </c>
      <c r="E101">
        <v>1803</v>
      </c>
      <c r="F101" t="s">
        <v>117</v>
      </c>
      <c r="G101" t="s">
        <v>210</v>
      </c>
      <c r="H101" t="s">
        <v>186</v>
      </c>
      <c r="I101" t="s">
        <v>49</v>
      </c>
      <c r="J101">
        <v>1</v>
      </c>
      <c r="K101" t="s">
        <v>120</v>
      </c>
      <c r="L101">
        <v>1</v>
      </c>
      <c r="M101" t="s">
        <v>121</v>
      </c>
      <c r="N101">
        <v>2</v>
      </c>
      <c r="O101" t="s">
        <v>122</v>
      </c>
      <c r="P101">
        <v>1</v>
      </c>
      <c r="T101" s="54">
        <v>1679869</v>
      </c>
      <c r="U101">
        <v>0.136386300515971</v>
      </c>
      <c r="V101" s="54">
        <v>0</v>
      </c>
      <c r="W101">
        <v>0.142128752590504</v>
      </c>
      <c r="X101" s="54">
        <v>0</v>
      </c>
      <c r="Y101">
        <v>0.136386300515971</v>
      </c>
      <c r="Z101" t="s">
        <v>52</v>
      </c>
      <c r="AA101" s="54">
        <v>1679869</v>
      </c>
      <c r="AC101" s="7">
        <v>0.93500000000000005</v>
      </c>
      <c r="AD101">
        <v>0</v>
      </c>
      <c r="AE101" s="7">
        <v>1</v>
      </c>
      <c r="AF101" s="54">
        <v>1679869</v>
      </c>
      <c r="AG101" s="54">
        <v>0</v>
      </c>
      <c r="AH101" s="7" t="s">
        <v>55</v>
      </c>
      <c r="AI101">
        <v>2142.1889557446857</v>
      </c>
      <c r="AJ101" s="7">
        <v>1</v>
      </c>
      <c r="AK101">
        <v>2142.1889557446857</v>
      </c>
      <c r="AL101">
        <v>1.2752118999999999E-3</v>
      </c>
      <c r="AM101">
        <v>1.2752118999999999E-3</v>
      </c>
    </row>
    <row r="102" spans="1:39" x14ac:dyDescent="0.2">
      <c r="A102">
        <v>101</v>
      </c>
      <c r="D102" t="s">
        <v>232</v>
      </c>
      <c r="E102">
        <v>1803</v>
      </c>
      <c r="F102" t="s">
        <v>117</v>
      </c>
      <c r="G102" t="s">
        <v>210</v>
      </c>
      <c r="H102" t="s">
        <v>186</v>
      </c>
      <c r="I102" t="s">
        <v>49</v>
      </c>
      <c r="J102">
        <v>1</v>
      </c>
      <c r="K102" t="s">
        <v>120</v>
      </c>
      <c r="L102">
        <v>1</v>
      </c>
      <c r="M102" t="s">
        <v>121</v>
      </c>
      <c r="N102">
        <v>2</v>
      </c>
      <c r="O102" t="s">
        <v>122</v>
      </c>
      <c r="P102">
        <v>1</v>
      </c>
      <c r="T102" s="54">
        <v>1794562</v>
      </c>
      <c r="U102">
        <v>0.136386300515971</v>
      </c>
      <c r="V102" s="54">
        <v>0</v>
      </c>
      <c r="W102">
        <v>0.142128752590504</v>
      </c>
      <c r="X102" s="54">
        <v>0</v>
      </c>
      <c r="Y102">
        <v>0.136386300515971</v>
      </c>
      <c r="Z102" t="s">
        <v>52</v>
      </c>
      <c r="AA102" s="54">
        <v>1794562</v>
      </c>
      <c r="AC102" s="7">
        <v>0.93500000000000005</v>
      </c>
      <c r="AD102">
        <v>0</v>
      </c>
      <c r="AE102" s="7">
        <v>1</v>
      </c>
      <c r="AF102" s="54">
        <v>1794562</v>
      </c>
      <c r="AG102" s="54">
        <v>0</v>
      </c>
      <c r="AH102" s="7" t="s">
        <v>55</v>
      </c>
      <c r="AI102">
        <v>2288.4468353181674</v>
      </c>
      <c r="AJ102" s="7">
        <v>1</v>
      </c>
      <c r="AK102">
        <v>2288.4468353181674</v>
      </c>
      <c r="AL102">
        <v>1.2752118999999999E-3</v>
      </c>
      <c r="AM102">
        <v>1.2752118999999999E-3</v>
      </c>
    </row>
    <row r="103" spans="1:39" x14ac:dyDescent="0.2">
      <c r="A103">
        <v>102</v>
      </c>
      <c r="D103" t="s">
        <v>232</v>
      </c>
      <c r="E103">
        <v>1803</v>
      </c>
      <c r="F103" t="s">
        <v>117</v>
      </c>
      <c r="G103" t="s">
        <v>210</v>
      </c>
      <c r="H103" t="s">
        <v>186</v>
      </c>
      <c r="I103" t="s">
        <v>49</v>
      </c>
      <c r="J103">
        <v>1</v>
      </c>
      <c r="K103" t="s">
        <v>120</v>
      </c>
      <c r="L103">
        <v>1</v>
      </c>
      <c r="M103" t="s">
        <v>121</v>
      </c>
      <c r="N103">
        <v>2</v>
      </c>
      <c r="O103" t="s">
        <v>122</v>
      </c>
      <c r="P103">
        <v>1</v>
      </c>
      <c r="T103" s="54">
        <v>1794562</v>
      </c>
      <c r="U103">
        <v>0.136386300515971</v>
      </c>
      <c r="V103" s="54">
        <v>0</v>
      </c>
      <c r="W103">
        <v>0.142128752590504</v>
      </c>
      <c r="X103" s="54">
        <v>0</v>
      </c>
      <c r="Y103">
        <v>0.136386300515971</v>
      </c>
      <c r="Z103" t="s">
        <v>52</v>
      </c>
      <c r="AA103" s="54">
        <v>1794562</v>
      </c>
      <c r="AC103" s="7">
        <v>0.93500000000000005</v>
      </c>
      <c r="AD103">
        <v>0</v>
      </c>
      <c r="AE103" s="7">
        <v>1</v>
      </c>
      <c r="AF103" s="54">
        <v>1794562</v>
      </c>
      <c r="AG103" s="54">
        <v>0</v>
      </c>
      <c r="AH103" s="7" t="s">
        <v>55</v>
      </c>
      <c r="AI103">
        <v>2288.4468353181674</v>
      </c>
      <c r="AJ103" s="7">
        <v>1</v>
      </c>
      <c r="AK103">
        <v>2288.4468353181674</v>
      </c>
      <c r="AL103">
        <v>1.2752118999999999E-3</v>
      </c>
      <c r="AM103">
        <v>1.2752118999999999E-3</v>
      </c>
    </row>
    <row r="104" spans="1:39" x14ac:dyDescent="0.2">
      <c r="A104">
        <v>103</v>
      </c>
      <c r="D104" t="s">
        <v>232</v>
      </c>
      <c r="E104">
        <v>1803</v>
      </c>
      <c r="F104" t="s">
        <v>117</v>
      </c>
      <c r="G104" t="s">
        <v>210</v>
      </c>
      <c r="H104" t="s">
        <v>186</v>
      </c>
      <c r="I104" t="s">
        <v>49</v>
      </c>
      <c r="J104">
        <v>1</v>
      </c>
      <c r="K104" t="s">
        <v>120</v>
      </c>
      <c r="L104">
        <v>1</v>
      </c>
      <c r="M104" t="s">
        <v>121</v>
      </c>
      <c r="N104">
        <v>2</v>
      </c>
      <c r="O104" t="s">
        <v>122</v>
      </c>
      <c r="P104">
        <v>1</v>
      </c>
      <c r="T104" s="54">
        <v>158977</v>
      </c>
      <c r="U104">
        <v>0.136386300515971</v>
      </c>
      <c r="V104" s="54">
        <v>0</v>
      </c>
      <c r="W104">
        <v>0.142128752590504</v>
      </c>
      <c r="X104" s="54">
        <v>0</v>
      </c>
      <c r="Y104">
        <v>0.136386300515971</v>
      </c>
      <c r="Z104" t="s">
        <v>52</v>
      </c>
      <c r="AA104" s="54">
        <v>158977</v>
      </c>
      <c r="AC104" s="7">
        <v>0.93500000000000005</v>
      </c>
      <c r="AD104">
        <v>0</v>
      </c>
      <c r="AE104" s="7">
        <v>1</v>
      </c>
      <c r="AF104" s="54">
        <v>158977</v>
      </c>
      <c r="AG104" s="54">
        <v>0</v>
      </c>
      <c r="AH104" s="7" t="s">
        <v>55</v>
      </c>
      <c r="AI104">
        <v>202.72936378814231</v>
      </c>
      <c r="AJ104" s="7">
        <v>1</v>
      </c>
      <c r="AK104">
        <v>202.72936378814231</v>
      </c>
      <c r="AL104">
        <v>1.2752118999999999E-3</v>
      </c>
      <c r="AM104">
        <v>1.2752118999999999E-3</v>
      </c>
    </row>
    <row r="105" spans="1:39" x14ac:dyDescent="0.2">
      <c r="A105">
        <v>104</v>
      </c>
      <c r="D105" t="s">
        <v>232</v>
      </c>
      <c r="E105">
        <v>1803</v>
      </c>
      <c r="F105" t="s">
        <v>117</v>
      </c>
      <c r="G105" t="s">
        <v>210</v>
      </c>
      <c r="H105" t="s">
        <v>186</v>
      </c>
      <c r="I105" t="s">
        <v>49</v>
      </c>
      <c r="J105">
        <v>1</v>
      </c>
      <c r="K105" t="s">
        <v>120</v>
      </c>
      <c r="L105">
        <v>1</v>
      </c>
      <c r="M105" t="s">
        <v>121</v>
      </c>
      <c r="N105">
        <v>2</v>
      </c>
      <c r="O105" t="s">
        <v>122</v>
      </c>
      <c r="P105">
        <v>1</v>
      </c>
      <c r="T105" s="54">
        <v>1679869</v>
      </c>
      <c r="U105">
        <v>0.136386300515971</v>
      </c>
      <c r="V105" s="54">
        <v>0</v>
      </c>
      <c r="W105">
        <v>0.142128752590504</v>
      </c>
      <c r="X105" s="54">
        <v>0</v>
      </c>
      <c r="Y105">
        <v>0.136386300515971</v>
      </c>
      <c r="Z105" t="s">
        <v>52</v>
      </c>
      <c r="AA105" s="54">
        <v>1679869</v>
      </c>
      <c r="AC105" s="7">
        <v>0.93500000000000005</v>
      </c>
      <c r="AD105">
        <v>0</v>
      </c>
      <c r="AE105" s="7">
        <v>1</v>
      </c>
      <c r="AF105" s="54">
        <v>1679869</v>
      </c>
      <c r="AG105" s="54">
        <v>0</v>
      </c>
      <c r="AH105" s="7" t="s">
        <v>55</v>
      </c>
      <c r="AI105">
        <v>2142.1889557446857</v>
      </c>
      <c r="AJ105" s="7">
        <v>1</v>
      </c>
      <c r="AK105">
        <v>2142.1889557446857</v>
      </c>
      <c r="AL105">
        <v>1.2752118999999999E-3</v>
      </c>
      <c r="AM105">
        <v>1.2752118999999999E-3</v>
      </c>
    </row>
    <row r="106" spans="1:39" x14ac:dyDescent="0.2">
      <c r="A106">
        <v>105</v>
      </c>
      <c r="D106" t="s">
        <v>232</v>
      </c>
      <c r="E106">
        <v>1803</v>
      </c>
      <c r="F106" t="s">
        <v>117</v>
      </c>
      <c r="G106" t="s">
        <v>210</v>
      </c>
      <c r="H106" t="s">
        <v>186</v>
      </c>
      <c r="I106" t="s">
        <v>49</v>
      </c>
      <c r="J106">
        <v>1</v>
      </c>
      <c r="K106" t="s">
        <v>120</v>
      </c>
      <c r="L106">
        <v>1</v>
      </c>
      <c r="M106" t="s">
        <v>121</v>
      </c>
      <c r="N106">
        <v>2</v>
      </c>
      <c r="O106" t="s">
        <v>122</v>
      </c>
      <c r="P106">
        <v>1</v>
      </c>
      <c r="T106" s="54">
        <v>1679869</v>
      </c>
      <c r="U106">
        <v>0.136386300515971</v>
      </c>
      <c r="V106" s="54">
        <v>0</v>
      </c>
      <c r="W106">
        <v>0.142128752590504</v>
      </c>
      <c r="X106" s="54">
        <v>0</v>
      </c>
      <c r="Y106">
        <v>0.136386300515971</v>
      </c>
      <c r="Z106" t="s">
        <v>52</v>
      </c>
      <c r="AA106" s="54">
        <v>1679869</v>
      </c>
      <c r="AC106" s="7">
        <v>0.93500000000000005</v>
      </c>
      <c r="AD106">
        <v>0</v>
      </c>
      <c r="AE106" s="7">
        <v>1</v>
      </c>
      <c r="AF106" s="54">
        <v>1679869</v>
      </c>
      <c r="AG106" s="54">
        <v>0</v>
      </c>
      <c r="AH106" s="7" t="s">
        <v>55</v>
      </c>
      <c r="AI106">
        <v>2142.1889557446857</v>
      </c>
      <c r="AJ106" s="7">
        <v>1</v>
      </c>
      <c r="AK106">
        <v>2142.1889557446857</v>
      </c>
      <c r="AL106">
        <v>1.2752118999999999E-3</v>
      </c>
      <c r="AM106">
        <v>1.2752118999999999E-3</v>
      </c>
    </row>
    <row r="107" spans="1:39" x14ac:dyDescent="0.2">
      <c r="A107">
        <v>106</v>
      </c>
      <c r="D107" t="s">
        <v>232</v>
      </c>
      <c r="E107">
        <v>1803</v>
      </c>
      <c r="F107" t="s">
        <v>117</v>
      </c>
      <c r="G107" t="s">
        <v>210</v>
      </c>
      <c r="H107" t="s">
        <v>186</v>
      </c>
      <c r="I107" t="s">
        <v>49</v>
      </c>
      <c r="J107">
        <v>1</v>
      </c>
      <c r="K107" t="s">
        <v>120</v>
      </c>
      <c r="L107">
        <v>1</v>
      </c>
      <c r="M107" t="s">
        <v>121</v>
      </c>
      <c r="N107">
        <v>2</v>
      </c>
      <c r="O107" t="s">
        <v>122</v>
      </c>
      <c r="P107">
        <v>1</v>
      </c>
      <c r="T107" s="54">
        <v>1679869</v>
      </c>
      <c r="U107">
        <v>0.136386300515971</v>
      </c>
      <c r="V107" s="54">
        <v>0</v>
      </c>
      <c r="W107">
        <v>0.142128752590504</v>
      </c>
      <c r="X107" s="54">
        <v>0</v>
      </c>
      <c r="Y107">
        <v>0.136386300515971</v>
      </c>
      <c r="Z107" t="s">
        <v>52</v>
      </c>
      <c r="AA107" s="54">
        <v>1679869</v>
      </c>
      <c r="AC107" s="7">
        <v>0.93500000000000005</v>
      </c>
      <c r="AD107">
        <v>0</v>
      </c>
      <c r="AE107" s="7">
        <v>1</v>
      </c>
      <c r="AF107" s="54">
        <v>1679869</v>
      </c>
      <c r="AG107" s="54">
        <v>0</v>
      </c>
      <c r="AH107" s="7" t="s">
        <v>55</v>
      </c>
      <c r="AI107">
        <v>2142.1889557446857</v>
      </c>
      <c r="AJ107" s="7">
        <v>1</v>
      </c>
      <c r="AK107">
        <v>2142.1889557446857</v>
      </c>
      <c r="AL107">
        <v>1.2752118999999999E-3</v>
      </c>
      <c r="AM107">
        <v>1.2752118999999999E-3</v>
      </c>
    </row>
    <row r="108" spans="1:39" x14ac:dyDescent="0.2">
      <c r="A108">
        <v>107</v>
      </c>
      <c r="D108" t="s">
        <v>232</v>
      </c>
      <c r="E108">
        <v>1803</v>
      </c>
      <c r="F108" t="s">
        <v>117</v>
      </c>
      <c r="G108" t="s">
        <v>210</v>
      </c>
      <c r="H108" t="s">
        <v>186</v>
      </c>
      <c r="I108" t="s">
        <v>49</v>
      </c>
      <c r="J108">
        <v>1</v>
      </c>
      <c r="K108" t="s">
        <v>120</v>
      </c>
      <c r="L108">
        <v>1</v>
      </c>
      <c r="M108" t="s">
        <v>121</v>
      </c>
      <c r="N108">
        <v>2</v>
      </c>
      <c r="O108" t="s">
        <v>122</v>
      </c>
      <c r="P108">
        <v>1</v>
      </c>
      <c r="T108" s="54">
        <v>1679869</v>
      </c>
      <c r="U108">
        <v>0.136386300515971</v>
      </c>
      <c r="V108" s="54">
        <v>0</v>
      </c>
      <c r="W108">
        <v>0.142128752590504</v>
      </c>
      <c r="X108" s="54">
        <v>0</v>
      </c>
      <c r="Y108">
        <v>0.136386300515971</v>
      </c>
      <c r="Z108" t="s">
        <v>52</v>
      </c>
      <c r="AA108" s="54">
        <v>1679869</v>
      </c>
      <c r="AC108" s="7">
        <v>0.93500000000000005</v>
      </c>
      <c r="AD108">
        <v>0</v>
      </c>
      <c r="AE108" s="7">
        <v>1</v>
      </c>
      <c r="AF108" s="54">
        <v>1679869</v>
      </c>
      <c r="AG108" s="54">
        <v>0</v>
      </c>
      <c r="AH108" s="7" t="s">
        <v>55</v>
      </c>
      <c r="AI108">
        <v>2142.1889557446857</v>
      </c>
      <c r="AJ108" s="7">
        <v>1</v>
      </c>
      <c r="AK108">
        <v>2142.1889557446857</v>
      </c>
      <c r="AL108">
        <v>1.2752118999999999E-3</v>
      </c>
      <c r="AM108">
        <v>1.2752118999999999E-3</v>
      </c>
    </row>
    <row r="109" spans="1:39" x14ac:dyDescent="0.2">
      <c r="A109">
        <v>108</v>
      </c>
      <c r="D109" t="s">
        <v>232</v>
      </c>
      <c r="E109">
        <v>1803</v>
      </c>
      <c r="F109" t="s">
        <v>117</v>
      </c>
      <c r="G109" t="s">
        <v>210</v>
      </c>
      <c r="H109" t="s">
        <v>186</v>
      </c>
      <c r="I109" t="s">
        <v>49</v>
      </c>
      <c r="J109">
        <v>1</v>
      </c>
      <c r="K109" t="s">
        <v>120</v>
      </c>
      <c r="L109">
        <v>1</v>
      </c>
      <c r="M109" t="s">
        <v>121</v>
      </c>
      <c r="N109">
        <v>2</v>
      </c>
      <c r="O109" t="s">
        <v>122</v>
      </c>
      <c r="P109">
        <v>1</v>
      </c>
      <c r="T109" s="54">
        <v>1679869</v>
      </c>
      <c r="U109">
        <v>0.136386300515971</v>
      </c>
      <c r="V109" s="54">
        <v>0</v>
      </c>
      <c r="W109">
        <v>0.142128752590504</v>
      </c>
      <c r="X109" s="54">
        <v>0</v>
      </c>
      <c r="Y109">
        <v>0.136386300515971</v>
      </c>
      <c r="Z109" t="s">
        <v>52</v>
      </c>
      <c r="AA109" s="54">
        <v>1679869</v>
      </c>
      <c r="AC109" s="7">
        <v>0.93500000000000005</v>
      </c>
      <c r="AD109">
        <v>0</v>
      </c>
      <c r="AE109" s="7">
        <v>1</v>
      </c>
      <c r="AF109" s="54">
        <v>1679869</v>
      </c>
      <c r="AG109" s="54">
        <v>0</v>
      </c>
      <c r="AH109" s="7" t="s">
        <v>55</v>
      </c>
      <c r="AI109">
        <v>2142.1889557446857</v>
      </c>
      <c r="AJ109" s="7">
        <v>1</v>
      </c>
      <c r="AK109">
        <v>2142.1889557446857</v>
      </c>
      <c r="AL109">
        <v>1.2752118999999999E-3</v>
      </c>
      <c r="AM109">
        <v>1.2752118999999999E-3</v>
      </c>
    </row>
    <row r="110" spans="1:39" x14ac:dyDescent="0.2">
      <c r="A110">
        <v>109</v>
      </c>
      <c r="D110" t="s">
        <v>232</v>
      </c>
      <c r="E110">
        <v>1803</v>
      </c>
      <c r="F110" t="s">
        <v>117</v>
      </c>
      <c r="G110" t="s">
        <v>210</v>
      </c>
      <c r="H110" t="s">
        <v>186</v>
      </c>
      <c r="I110" t="s">
        <v>49</v>
      </c>
      <c r="J110">
        <v>1</v>
      </c>
      <c r="K110" t="s">
        <v>120</v>
      </c>
      <c r="L110">
        <v>1</v>
      </c>
      <c r="M110" t="s">
        <v>121</v>
      </c>
      <c r="N110">
        <v>2</v>
      </c>
      <c r="O110" t="s">
        <v>122</v>
      </c>
      <c r="P110">
        <v>1</v>
      </c>
      <c r="T110" s="54">
        <v>1679869</v>
      </c>
      <c r="U110">
        <v>0.136386300515971</v>
      </c>
      <c r="V110" s="54">
        <v>0</v>
      </c>
      <c r="W110">
        <v>0.142128752590504</v>
      </c>
      <c r="X110" s="54">
        <v>0</v>
      </c>
      <c r="Y110">
        <v>0.136386300515971</v>
      </c>
      <c r="Z110" t="s">
        <v>52</v>
      </c>
      <c r="AA110" s="54">
        <v>1679869</v>
      </c>
      <c r="AC110" s="7">
        <v>0.93500000000000005</v>
      </c>
      <c r="AD110">
        <v>0</v>
      </c>
      <c r="AE110" s="7">
        <v>1</v>
      </c>
      <c r="AF110" s="54">
        <v>1679869</v>
      </c>
      <c r="AG110" s="54">
        <v>0</v>
      </c>
      <c r="AH110" s="7" t="s">
        <v>55</v>
      </c>
      <c r="AI110">
        <v>2142.1889557446857</v>
      </c>
      <c r="AJ110" s="7">
        <v>1</v>
      </c>
      <c r="AK110">
        <v>2142.1889557446857</v>
      </c>
      <c r="AL110">
        <v>1.2752118999999999E-3</v>
      </c>
      <c r="AM110">
        <v>1.2752118999999999E-3</v>
      </c>
    </row>
    <row r="111" spans="1:39" x14ac:dyDescent="0.2">
      <c r="A111">
        <v>110</v>
      </c>
      <c r="D111" t="s">
        <v>232</v>
      </c>
      <c r="E111">
        <v>1803</v>
      </c>
      <c r="F111" t="s">
        <v>117</v>
      </c>
      <c r="G111" t="s">
        <v>210</v>
      </c>
      <c r="H111" t="s">
        <v>186</v>
      </c>
      <c r="I111" t="s">
        <v>49</v>
      </c>
      <c r="J111">
        <v>1</v>
      </c>
      <c r="K111" t="s">
        <v>120</v>
      </c>
      <c r="L111">
        <v>1</v>
      </c>
      <c r="M111" t="s">
        <v>121</v>
      </c>
      <c r="N111">
        <v>2</v>
      </c>
      <c r="O111" t="s">
        <v>122</v>
      </c>
      <c r="P111">
        <v>1</v>
      </c>
      <c r="T111" s="54">
        <v>1679869</v>
      </c>
      <c r="U111">
        <v>0.136386300515971</v>
      </c>
      <c r="V111" s="54">
        <v>0</v>
      </c>
      <c r="W111">
        <v>0.142128752590504</v>
      </c>
      <c r="X111" s="54">
        <v>0</v>
      </c>
      <c r="Y111">
        <v>0.136386300515971</v>
      </c>
      <c r="Z111" t="s">
        <v>52</v>
      </c>
      <c r="AA111" s="54">
        <v>1679869</v>
      </c>
      <c r="AC111" s="7">
        <v>0.93500000000000005</v>
      </c>
      <c r="AD111">
        <v>0</v>
      </c>
      <c r="AE111" s="7">
        <v>1</v>
      </c>
      <c r="AF111" s="54">
        <v>1679869</v>
      </c>
      <c r="AG111" s="54">
        <v>0</v>
      </c>
      <c r="AH111" s="7" t="s">
        <v>55</v>
      </c>
      <c r="AI111">
        <v>2142.1889557446857</v>
      </c>
      <c r="AJ111" s="7">
        <v>1</v>
      </c>
      <c r="AK111">
        <v>2142.1889557446857</v>
      </c>
      <c r="AL111">
        <v>1.2752118999999999E-3</v>
      </c>
      <c r="AM111">
        <v>1.2752118999999999E-3</v>
      </c>
    </row>
    <row r="112" spans="1:39" x14ac:dyDescent="0.2">
      <c r="A112">
        <v>111</v>
      </c>
      <c r="D112" t="s">
        <v>232</v>
      </c>
      <c r="E112">
        <v>1803</v>
      </c>
      <c r="F112" t="s">
        <v>117</v>
      </c>
      <c r="G112" t="s">
        <v>210</v>
      </c>
      <c r="H112" t="s">
        <v>186</v>
      </c>
      <c r="I112" t="s">
        <v>49</v>
      </c>
      <c r="J112">
        <v>1</v>
      </c>
      <c r="K112" t="s">
        <v>120</v>
      </c>
      <c r="L112">
        <v>1</v>
      </c>
      <c r="M112" t="s">
        <v>121</v>
      </c>
      <c r="N112">
        <v>2</v>
      </c>
      <c r="O112" t="s">
        <v>122</v>
      </c>
      <c r="P112">
        <v>1</v>
      </c>
      <c r="T112" s="54">
        <v>1679869</v>
      </c>
      <c r="U112">
        <v>0.136386300515971</v>
      </c>
      <c r="V112" s="54">
        <v>0</v>
      </c>
      <c r="W112">
        <v>0.142128752590504</v>
      </c>
      <c r="X112" s="54">
        <v>0</v>
      </c>
      <c r="Y112">
        <v>0.136386300515971</v>
      </c>
      <c r="Z112" t="s">
        <v>52</v>
      </c>
      <c r="AA112" s="54">
        <v>1679869</v>
      </c>
      <c r="AC112" s="7">
        <v>0.93500000000000005</v>
      </c>
      <c r="AD112">
        <v>0</v>
      </c>
      <c r="AE112" s="7">
        <v>1</v>
      </c>
      <c r="AF112" s="54">
        <v>1679869</v>
      </c>
      <c r="AG112" s="54">
        <v>0</v>
      </c>
      <c r="AH112" s="7" t="s">
        <v>55</v>
      </c>
      <c r="AI112">
        <v>2142.1889557446857</v>
      </c>
      <c r="AJ112" s="7">
        <v>1</v>
      </c>
      <c r="AK112">
        <v>2142.1889557446857</v>
      </c>
      <c r="AL112">
        <v>1.2752118999999999E-3</v>
      </c>
      <c r="AM112">
        <v>1.2752118999999999E-3</v>
      </c>
    </row>
    <row r="113" spans="1:39" x14ac:dyDescent="0.2">
      <c r="A113">
        <v>112</v>
      </c>
      <c r="D113" t="s">
        <v>232</v>
      </c>
      <c r="E113">
        <v>1803</v>
      </c>
      <c r="F113" t="s">
        <v>117</v>
      </c>
      <c r="G113" t="s">
        <v>210</v>
      </c>
      <c r="H113" t="s">
        <v>186</v>
      </c>
      <c r="I113" t="s">
        <v>49</v>
      </c>
      <c r="J113">
        <v>1</v>
      </c>
      <c r="K113" t="s">
        <v>120</v>
      </c>
      <c r="L113">
        <v>1</v>
      </c>
      <c r="M113" t="s">
        <v>121</v>
      </c>
      <c r="N113">
        <v>2</v>
      </c>
      <c r="O113" t="s">
        <v>122</v>
      </c>
      <c r="P113">
        <v>1</v>
      </c>
      <c r="T113" s="54">
        <v>1679869</v>
      </c>
      <c r="U113">
        <v>0.136386300515971</v>
      </c>
      <c r="V113" s="54">
        <v>0</v>
      </c>
      <c r="W113">
        <v>0.142128752590504</v>
      </c>
      <c r="X113" s="54">
        <v>0</v>
      </c>
      <c r="Y113">
        <v>0.136386300515971</v>
      </c>
      <c r="Z113" t="s">
        <v>52</v>
      </c>
      <c r="AA113" s="54">
        <v>1679869</v>
      </c>
      <c r="AC113" s="7">
        <v>0.93500000000000005</v>
      </c>
      <c r="AD113">
        <v>0</v>
      </c>
      <c r="AE113" s="7">
        <v>1</v>
      </c>
      <c r="AF113" s="54">
        <v>1679869</v>
      </c>
      <c r="AG113" s="54">
        <v>0</v>
      </c>
      <c r="AH113" s="7" t="s">
        <v>55</v>
      </c>
      <c r="AI113">
        <v>2142.1889557446857</v>
      </c>
      <c r="AJ113" s="7">
        <v>1</v>
      </c>
      <c r="AK113">
        <v>2142.1889557446857</v>
      </c>
      <c r="AL113">
        <v>1.2752118999999999E-3</v>
      </c>
      <c r="AM113">
        <v>1.2752118999999999E-3</v>
      </c>
    </row>
    <row r="114" spans="1:39" x14ac:dyDescent="0.2">
      <c r="A114">
        <v>113</v>
      </c>
      <c r="D114" t="s">
        <v>232</v>
      </c>
      <c r="E114">
        <v>1803</v>
      </c>
      <c r="F114" t="s">
        <v>117</v>
      </c>
      <c r="G114" t="s">
        <v>210</v>
      </c>
      <c r="H114" t="s">
        <v>186</v>
      </c>
      <c r="I114" t="s">
        <v>49</v>
      </c>
      <c r="J114">
        <v>1</v>
      </c>
      <c r="K114" t="s">
        <v>120</v>
      </c>
      <c r="L114">
        <v>1</v>
      </c>
      <c r="M114" t="s">
        <v>121</v>
      </c>
      <c r="N114">
        <v>2</v>
      </c>
      <c r="O114" t="s">
        <v>122</v>
      </c>
      <c r="P114">
        <v>1</v>
      </c>
      <c r="T114" s="54">
        <v>1679869</v>
      </c>
      <c r="U114">
        <v>0.136386300515971</v>
      </c>
      <c r="V114" s="54">
        <v>0</v>
      </c>
      <c r="W114">
        <v>0.142128752590504</v>
      </c>
      <c r="X114" s="54">
        <v>0</v>
      </c>
      <c r="Y114">
        <v>0.136386300515971</v>
      </c>
      <c r="Z114" t="s">
        <v>52</v>
      </c>
      <c r="AA114" s="54">
        <v>1679869</v>
      </c>
      <c r="AC114" s="7">
        <v>0.93500000000000005</v>
      </c>
      <c r="AD114">
        <v>0</v>
      </c>
      <c r="AE114" s="7">
        <v>1</v>
      </c>
      <c r="AF114" s="54">
        <v>1679869</v>
      </c>
      <c r="AG114" s="54">
        <v>0</v>
      </c>
      <c r="AH114" s="7" t="s">
        <v>55</v>
      </c>
      <c r="AI114">
        <v>2142.1889557446857</v>
      </c>
      <c r="AJ114" s="7">
        <v>1</v>
      </c>
      <c r="AK114">
        <v>2142.1889557446857</v>
      </c>
      <c r="AL114">
        <v>1.2752118999999999E-3</v>
      </c>
      <c r="AM114">
        <v>1.2752118999999999E-3</v>
      </c>
    </row>
    <row r="115" spans="1:39" x14ac:dyDescent="0.2">
      <c r="A115">
        <v>114</v>
      </c>
      <c r="D115" t="s">
        <v>232</v>
      </c>
      <c r="E115">
        <v>1803</v>
      </c>
      <c r="F115" t="s">
        <v>117</v>
      </c>
      <c r="G115" t="s">
        <v>210</v>
      </c>
      <c r="H115" t="s">
        <v>186</v>
      </c>
      <c r="I115" t="s">
        <v>49</v>
      </c>
      <c r="J115">
        <v>1</v>
      </c>
      <c r="K115" t="s">
        <v>120</v>
      </c>
      <c r="L115">
        <v>1</v>
      </c>
      <c r="M115" t="s">
        <v>121</v>
      </c>
      <c r="N115">
        <v>2</v>
      </c>
      <c r="O115" t="s">
        <v>122</v>
      </c>
      <c r="P115">
        <v>1</v>
      </c>
      <c r="T115" s="54">
        <v>1679869</v>
      </c>
      <c r="U115">
        <v>0.136386300515971</v>
      </c>
      <c r="V115" s="54">
        <v>0</v>
      </c>
      <c r="W115">
        <v>0.142128752590504</v>
      </c>
      <c r="X115" s="54">
        <v>0</v>
      </c>
      <c r="Y115">
        <v>0.136386300515971</v>
      </c>
      <c r="Z115" t="s">
        <v>52</v>
      </c>
      <c r="AA115" s="54">
        <v>1679869</v>
      </c>
      <c r="AC115" s="7">
        <v>0.93500000000000005</v>
      </c>
      <c r="AD115">
        <v>0</v>
      </c>
      <c r="AE115" s="7">
        <v>1</v>
      </c>
      <c r="AF115" s="54">
        <v>1679869</v>
      </c>
      <c r="AG115" s="54">
        <v>0</v>
      </c>
      <c r="AH115" s="7" t="s">
        <v>55</v>
      </c>
      <c r="AI115">
        <v>2142.1889557446857</v>
      </c>
      <c r="AJ115" s="7">
        <v>1</v>
      </c>
      <c r="AK115">
        <v>2142.1889557446857</v>
      </c>
      <c r="AL115">
        <v>1.2752118999999999E-3</v>
      </c>
      <c r="AM115">
        <v>1.2752118999999999E-3</v>
      </c>
    </row>
    <row r="116" spans="1:39" x14ac:dyDescent="0.2">
      <c r="A116">
        <v>115</v>
      </c>
      <c r="D116" t="s">
        <v>232</v>
      </c>
      <c r="E116">
        <v>1803</v>
      </c>
      <c r="F116" t="s">
        <v>117</v>
      </c>
      <c r="G116" t="s">
        <v>210</v>
      </c>
      <c r="H116" t="s">
        <v>186</v>
      </c>
      <c r="I116" t="s">
        <v>49</v>
      </c>
      <c r="J116">
        <v>1</v>
      </c>
      <c r="K116" t="s">
        <v>120</v>
      </c>
      <c r="L116">
        <v>1</v>
      </c>
      <c r="M116" t="s">
        <v>121</v>
      </c>
      <c r="N116">
        <v>2</v>
      </c>
      <c r="O116" t="s">
        <v>122</v>
      </c>
      <c r="P116">
        <v>1</v>
      </c>
      <c r="T116" s="54">
        <v>1679869</v>
      </c>
      <c r="U116">
        <v>0.136386300515971</v>
      </c>
      <c r="V116" s="54">
        <v>0</v>
      </c>
      <c r="W116">
        <v>0.142128752590504</v>
      </c>
      <c r="X116" s="54">
        <v>0</v>
      </c>
      <c r="Y116">
        <v>0.136386300515971</v>
      </c>
      <c r="Z116" t="s">
        <v>52</v>
      </c>
      <c r="AA116" s="54">
        <v>1679869</v>
      </c>
      <c r="AC116" s="7">
        <v>0.93500000000000005</v>
      </c>
      <c r="AD116">
        <v>0</v>
      </c>
      <c r="AE116" s="7">
        <v>1</v>
      </c>
      <c r="AF116" s="54">
        <v>1679869</v>
      </c>
      <c r="AG116" s="54">
        <v>0</v>
      </c>
      <c r="AH116" s="7" t="s">
        <v>55</v>
      </c>
      <c r="AI116">
        <v>2142.1889557446857</v>
      </c>
      <c r="AJ116" s="7">
        <v>1</v>
      </c>
      <c r="AK116">
        <v>2142.1889557446857</v>
      </c>
      <c r="AL116">
        <v>1.2752118999999999E-3</v>
      </c>
      <c r="AM116">
        <v>1.2752118999999999E-3</v>
      </c>
    </row>
    <row r="117" spans="1:39" x14ac:dyDescent="0.2">
      <c r="A117">
        <v>116</v>
      </c>
      <c r="D117" t="s">
        <v>232</v>
      </c>
      <c r="E117">
        <v>1803</v>
      </c>
      <c r="F117" t="s">
        <v>117</v>
      </c>
      <c r="G117" t="s">
        <v>210</v>
      </c>
      <c r="H117" t="s">
        <v>186</v>
      </c>
      <c r="I117" t="s">
        <v>49</v>
      </c>
      <c r="J117">
        <v>1</v>
      </c>
      <c r="K117" t="s">
        <v>120</v>
      </c>
      <c r="L117">
        <v>1</v>
      </c>
      <c r="M117" t="s">
        <v>121</v>
      </c>
      <c r="N117">
        <v>2</v>
      </c>
      <c r="O117" t="s">
        <v>122</v>
      </c>
      <c r="P117">
        <v>1</v>
      </c>
      <c r="T117" s="54">
        <v>1679869</v>
      </c>
      <c r="U117">
        <v>0.136386300515971</v>
      </c>
      <c r="V117" s="54">
        <v>0</v>
      </c>
      <c r="W117">
        <v>0.142128752590504</v>
      </c>
      <c r="X117" s="54">
        <v>0</v>
      </c>
      <c r="Y117">
        <v>0.136386300515971</v>
      </c>
      <c r="Z117" t="s">
        <v>52</v>
      </c>
      <c r="AA117" s="54">
        <v>1679869</v>
      </c>
      <c r="AC117" s="7">
        <v>0.93500000000000005</v>
      </c>
      <c r="AD117">
        <v>0</v>
      </c>
      <c r="AE117" s="7">
        <v>1</v>
      </c>
      <c r="AF117" s="54">
        <v>1679869</v>
      </c>
      <c r="AG117" s="54">
        <v>0</v>
      </c>
      <c r="AH117" s="7" t="s">
        <v>55</v>
      </c>
      <c r="AI117">
        <v>2142.1889557446857</v>
      </c>
      <c r="AJ117" s="7">
        <v>1</v>
      </c>
      <c r="AK117">
        <v>2142.1889557446857</v>
      </c>
      <c r="AL117">
        <v>1.2752118999999999E-3</v>
      </c>
      <c r="AM117">
        <v>1.2752118999999999E-3</v>
      </c>
    </row>
    <row r="118" spans="1:39" x14ac:dyDescent="0.2">
      <c r="A118">
        <v>117</v>
      </c>
      <c r="D118" t="s">
        <v>232</v>
      </c>
      <c r="E118">
        <v>1803</v>
      </c>
      <c r="F118" t="s">
        <v>117</v>
      </c>
      <c r="G118" t="s">
        <v>210</v>
      </c>
      <c r="H118" t="s">
        <v>186</v>
      </c>
      <c r="I118" t="s">
        <v>49</v>
      </c>
      <c r="J118">
        <v>1</v>
      </c>
      <c r="K118" t="s">
        <v>120</v>
      </c>
      <c r="L118">
        <v>1</v>
      </c>
      <c r="M118" t="s">
        <v>121</v>
      </c>
      <c r="N118">
        <v>2</v>
      </c>
      <c r="O118" t="s">
        <v>122</v>
      </c>
      <c r="P118">
        <v>1</v>
      </c>
      <c r="T118" s="54">
        <v>1679869</v>
      </c>
      <c r="U118">
        <v>0.136386300515971</v>
      </c>
      <c r="V118" s="54">
        <v>0</v>
      </c>
      <c r="W118">
        <v>0.142128752590504</v>
      </c>
      <c r="X118" s="54">
        <v>0</v>
      </c>
      <c r="Y118">
        <v>0.136386300515971</v>
      </c>
      <c r="Z118" t="s">
        <v>52</v>
      </c>
      <c r="AA118" s="54">
        <v>1679869</v>
      </c>
      <c r="AC118" s="7">
        <v>0.93500000000000005</v>
      </c>
      <c r="AD118">
        <v>0</v>
      </c>
      <c r="AE118" s="7">
        <v>1</v>
      </c>
      <c r="AF118" s="54">
        <v>1679869</v>
      </c>
      <c r="AG118" s="54">
        <v>0</v>
      </c>
      <c r="AH118" s="7" t="s">
        <v>55</v>
      </c>
      <c r="AI118">
        <v>2142.1889557446857</v>
      </c>
      <c r="AJ118" s="7">
        <v>1</v>
      </c>
      <c r="AK118">
        <v>2142.1889557446857</v>
      </c>
      <c r="AL118">
        <v>1.2752118999999999E-3</v>
      </c>
      <c r="AM118">
        <v>1.2752118999999999E-3</v>
      </c>
    </row>
    <row r="119" spans="1:39" x14ac:dyDescent="0.2">
      <c r="A119">
        <v>118</v>
      </c>
      <c r="D119" t="s">
        <v>232</v>
      </c>
      <c r="E119">
        <v>1803</v>
      </c>
      <c r="F119" t="s">
        <v>117</v>
      </c>
      <c r="G119" t="s">
        <v>210</v>
      </c>
      <c r="H119" t="s">
        <v>186</v>
      </c>
      <c r="I119" t="s">
        <v>49</v>
      </c>
      <c r="J119">
        <v>1</v>
      </c>
      <c r="K119" t="s">
        <v>120</v>
      </c>
      <c r="L119">
        <v>1</v>
      </c>
      <c r="M119" t="s">
        <v>121</v>
      </c>
      <c r="N119">
        <v>2</v>
      </c>
      <c r="O119" t="s">
        <v>122</v>
      </c>
      <c r="P119">
        <v>1</v>
      </c>
      <c r="T119" s="54">
        <v>1679869</v>
      </c>
      <c r="U119">
        <v>0.136386300515971</v>
      </c>
      <c r="V119" s="54">
        <v>0</v>
      </c>
      <c r="W119">
        <v>0.142128752590504</v>
      </c>
      <c r="X119" s="54">
        <v>0</v>
      </c>
      <c r="Y119">
        <v>0.136386300515971</v>
      </c>
      <c r="Z119" t="s">
        <v>52</v>
      </c>
      <c r="AA119" s="54">
        <v>1679869</v>
      </c>
      <c r="AC119" s="7">
        <v>0.93500000000000005</v>
      </c>
      <c r="AD119">
        <v>0</v>
      </c>
      <c r="AE119" s="7">
        <v>1</v>
      </c>
      <c r="AF119" s="54">
        <v>1679869</v>
      </c>
      <c r="AG119" s="54">
        <v>0</v>
      </c>
      <c r="AH119" s="7" t="s">
        <v>55</v>
      </c>
      <c r="AI119">
        <v>2142.1889557446857</v>
      </c>
      <c r="AJ119" s="7">
        <v>1</v>
      </c>
      <c r="AK119">
        <v>2142.1889557446857</v>
      </c>
      <c r="AL119">
        <v>1.2752118999999999E-3</v>
      </c>
      <c r="AM119">
        <v>1.2752118999999999E-3</v>
      </c>
    </row>
    <row r="120" spans="1:39" x14ac:dyDescent="0.2">
      <c r="A120">
        <v>119</v>
      </c>
      <c r="D120" t="s">
        <v>232</v>
      </c>
      <c r="E120">
        <v>1803</v>
      </c>
      <c r="F120" t="s">
        <v>117</v>
      </c>
      <c r="G120" t="s">
        <v>210</v>
      </c>
      <c r="H120" t="s">
        <v>186</v>
      </c>
      <c r="I120" t="s">
        <v>49</v>
      </c>
      <c r="J120">
        <v>1</v>
      </c>
      <c r="K120" t="s">
        <v>120</v>
      </c>
      <c r="L120">
        <v>1</v>
      </c>
      <c r="M120" t="s">
        <v>121</v>
      </c>
      <c r="N120">
        <v>2</v>
      </c>
      <c r="O120" t="s">
        <v>122</v>
      </c>
      <c r="P120">
        <v>1</v>
      </c>
      <c r="T120" s="54">
        <v>1679869</v>
      </c>
      <c r="U120">
        <v>0.136386300515971</v>
      </c>
      <c r="V120" s="54">
        <v>0</v>
      </c>
      <c r="W120">
        <v>0.142128752590504</v>
      </c>
      <c r="X120" s="54">
        <v>0</v>
      </c>
      <c r="Y120">
        <v>0.136386300515971</v>
      </c>
      <c r="Z120" t="s">
        <v>52</v>
      </c>
      <c r="AA120" s="54">
        <v>1679869</v>
      </c>
      <c r="AC120" s="7">
        <v>0.93500000000000005</v>
      </c>
      <c r="AD120">
        <v>0</v>
      </c>
      <c r="AE120" s="7">
        <v>1</v>
      </c>
      <c r="AF120" s="54">
        <v>1679869</v>
      </c>
      <c r="AG120" s="54">
        <v>0</v>
      </c>
      <c r="AH120" s="7" t="s">
        <v>55</v>
      </c>
      <c r="AI120">
        <v>2142.1889557446857</v>
      </c>
      <c r="AJ120" s="7">
        <v>1</v>
      </c>
      <c r="AK120">
        <v>2142.1889557446857</v>
      </c>
      <c r="AL120">
        <v>1.2752118999999999E-3</v>
      </c>
      <c r="AM120">
        <v>1.2752118999999999E-3</v>
      </c>
    </row>
    <row r="121" spans="1:39" x14ac:dyDescent="0.2">
      <c r="A121">
        <v>120</v>
      </c>
      <c r="D121" t="s">
        <v>232</v>
      </c>
      <c r="E121">
        <v>1803</v>
      </c>
      <c r="F121" t="s">
        <v>117</v>
      </c>
      <c r="G121" t="s">
        <v>210</v>
      </c>
      <c r="H121" t="s">
        <v>186</v>
      </c>
      <c r="I121" t="s">
        <v>49</v>
      </c>
      <c r="J121">
        <v>1</v>
      </c>
      <c r="K121" t="s">
        <v>120</v>
      </c>
      <c r="L121">
        <v>1</v>
      </c>
      <c r="M121" t="s">
        <v>121</v>
      </c>
      <c r="N121">
        <v>2</v>
      </c>
      <c r="O121" t="s">
        <v>122</v>
      </c>
      <c r="P121">
        <v>1</v>
      </c>
      <c r="T121" s="54">
        <v>1679869</v>
      </c>
      <c r="U121">
        <v>0.136386300515971</v>
      </c>
      <c r="V121" s="54">
        <v>0</v>
      </c>
      <c r="W121">
        <v>0.142128752590504</v>
      </c>
      <c r="X121" s="54">
        <v>0</v>
      </c>
      <c r="Y121">
        <v>0.136386300515971</v>
      </c>
      <c r="Z121" t="s">
        <v>52</v>
      </c>
      <c r="AA121" s="54">
        <v>1679869</v>
      </c>
      <c r="AC121" s="7">
        <v>0.93500000000000005</v>
      </c>
      <c r="AD121">
        <v>0</v>
      </c>
      <c r="AE121" s="7">
        <v>1</v>
      </c>
      <c r="AF121" s="54">
        <v>1679869</v>
      </c>
      <c r="AG121" s="54">
        <v>0</v>
      </c>
      <c r="AH121" s="7" t="s">
        <v>55</v>
      </c>
      <c r="AI121">
        <v>2142.1889557446857</v>
      </c>
      <c r="AJ121" s="7">
        <v>1</v>
      </c>
      <c r="AK121">
        <v>2142.1889557446857</v>
      </c>
      <c r="AL121">
        <v>1.2752118999999999E-3</v>
      </c>
      <c r="AM121">
        <v>1.2752118999999999E-3</v>
      </c>
    </row>
    <row r="122" spans="1:39" x14ac:dyDescent="0.2">
      <c r="A122">
        <v>121</v>
      </c>
      <c r="D122" t="s">
        <v>232</v>
      </c>
      <c r="E122">
        <v>1803</v>
      </c>
      <c r="F122" t="s">
        <v>117</v>
      </c>
      <c r="G122" t="s">
        <v>210</v>
      </c>
      <c r="H122" t="s">
        <v>186</v>
      </c>
      <c r="I122" t="s">
        <v>49</v>
      </c>
      <c r="J122">
        <v>1</v>
      </c>
      <c r="K122" t="s">
        <v>120</v>
      </c>
      <c r="L122">
        <v>1</v>
      </c>
      <c r="M122" t="s">
        <v>121</v>
      </c>
      <c r="N122">
        <v>2</v>
      </c>
      <c r="O122" t="s">
        <v>122</v>
      </c>
      <c r="P122">
        <v>1</v>
      </c>
      <c r="T122" s="54">
        <v>1794562</v>
      </c>
      <c r="U122">
        <v>0.136386300515971</v>
      </c>
      <c r="V122" s="54">
        <v>0</v>
      </c>
      <c r="W122">
        <v>0.142128752590504</v>
      </c>
      <c r="X122" s="54">
        <v>0</v>
      </c>
      <c r="Y122">
        <v>0.136386300515971</v>
      </c>
      <c r="Z122" t="s">
        <v>52</v>
      </c>
      <c r="AA122" s="54">
        <v>1794562</v>
      </c>
      <c r="AC122" s="7">
        <v>0.93500000000000005</v>
      </c>
      <c r="AD122">
        <v>0</v>
      </c>
      <c r="AE122" s="7">
        <v>1</v>
      </c>
      <c r="AF122" s="54">
        <v>1794562</v>
      </c>
      <c r="AG122" s="54">
        <v>0</v>
      </c>
      <c r="AH122" s="7" t="s">
        <v>55</v>
      </c>
      <c r="AI122">
        <v>2288.4468353181674</v>
      </c>
      <c r="AJ122" s="7">
        <v>1</v>
      </c>
      <c r="AK122">
        <v>2288.4468353181674</v>
      </c>
      <c r="AL122">
        <v>1.2752118999999999E-3</v>
      </c>
      <c r="AM122">
        <v>1.2752118999999999E-3</v>
      </c>
    </row>
    <row r="123" spans="1:39" x14ac:dyDescent="0.2">
      <c r="A123">
        <v>122</v>
      </c>
      <c r="D123" t="s">
        <v>232</v>
      </c>
      <c r="E123">
        <v>1803</v>
      </c>
      <c r="F123" t="s">
        <v>117</v>
      </c>
      <c r="G123" t="s">
        <v>210</v>
      </c>
      <c r="H123" t="s">
        <v>186</v>
      </c>
      <c r="I123" t="s">
        <v>49</v>
      </c>
      <c r="J123">
        <v>1</v>
      </c>
      <c r="K123" t="s">
        <v>120</v>
      </c>
      <c r="L123">
        <v>1</v>
      </c>
      <c r="M123" t="s">
        <v>121</v>
      </c>
      <c r="N123">
        <v>2</v>
      </c>
      <c r="O123" t="s">
        <v>122</v>
      </c>
      <c r="P123">
        <v>1</v>
      </c>
      <c r="T123" s="54">
        <v>1679869</v>
      </c>
      <c r="U123">
        <v>0.136386300515971</v>
      </c>
      <c r="V123" s="54">
        <v>0</v>
      </c>
      <c r="W123">
        <v>0.142128752590504</v>
      </c>
      <c r="X123" s="54">
        <v>0</v>
      </c>
      <c r="Y123">
        <v>0.136386300515971</v>
      </c>
      <c r="Z123" t="s">
        <v>52</v>
      </c>
      <c r="AA123" s="54">
        <v>1679869</v>
      </c>
      <c r="AC123" s="7">
        <v>0.93500000000000005</v>
      </c>
      <c r="AD123">
        <v>0</v>
      </c>
      <c r="AE123" s="7">
        <v>1</v>
      </c>
      <c r="AF123" s="54">
        <v>1679869</v>
      </c>
      <c r="AG123" s="54">
        <v>0</v>
      </c>
      <c r="AH123" s="7" t="s">
        <v>55</v>
      </c>
      <c r="AI123">
        <v>2142.1889557446857</v>
      </c>
      <c r="AJ123" s="7">
        <v>1</v>
      </c>
      <c r="AK123">
        <v>2142.1889557446857</v>
      </c>
      <c r="AL123">
        <v>1.2752118999999999E-3</v>
      </c>
      <c r="AM123">
        <v>1.2752118999999999E-3</v>
      </c>
    </row>
    <row r="124" spans="1:39" x14ac:dyDescent="0.2">
      <c r="A124">
        <v>123</v>
      </c>
      <c r="D124" t="s">
        <v>232</v>
      </c>
      <c r="E124">
        <v>1803</v>
      </c>
      <c r="F124" t="s">
        <v>117</v>
      </c>
      <c r="G124" t="s">
        <v>210</v>
      </c>
      <c r="H124" t="s">
        <v>186</v>
      </c>
      <c r="I124" t="s">
        <v>49</v>
      </c>
      <c r="J124">
        <v>1</v>
      </c>
      <c r="K124" t="s">
        <v>120</v>
      </c>
      <c r="L124">
        <v>1</v>
      </c>
      <c r="M124" t="s">
        <v>121</v>
      </c>
      <c r="N124">
        <v>2</v>
      </c>
      <c r="O124" t="s">
        <v>122</v>
      </c>
      <c r="P124">
        <v>1</v>
      </c>
      <c r="T124" s="54">
        <v>1679869</v>
      </c>
      <c r="U124">
        <v>0.136386300515971</v>
      </c>
      <c r="V124" s="54">
        <v>0</v>
      </c>
      <c r="W124">
        <v>0.142128752590504</v>
      </c>
      <c r="X124" s="54">
        <v>0</v>
      </c>
      <c r="Y124">
        <v>0.136386300515971</v>
      </c>
      <c r="Z124" t="s">
        <v>52</v>
      </c>
      <c r="AA124" s="54">
        <v>1679869</v>
      </c>
      <c r="AC124" s="7">
        <v>0.93500000000000005</v>
      </c>
      <c r="AD124">
        <v>0</v>
      </c>
      <c r="AE124" s="7">
        <v>1</v>
      </c>
      <c r="AF124" s="54">
        <v>1679869</v>
      </c>
      <c r="AG124" s="54">
        <v>0</v>
      </c>
      <c r="AH124" s="7" t="s">
        <v>55</v>
      </c>
      <c r="AI124">
        <v>2142.1889557446857</v>
      </c>
      <c r="AJ124" s="7">
        <v>1</v>
      </c>
      <c r="AK124">
        <v>2142.1889557446857</v>
      </c>
      <c r="AL124">
        <v>1.2752118999999999E-3</v>
      </c>
      <c r="AM124">
        <v>1.2752118999999999E-3</v>
      </c>
    </row>
    <row r="125" spans="1:39" x14ac:dyDescent="0.2">
      <c r="A125">
        <v>124</v>
      </c>
      <c r="D125" t="s">
        <v>232</v>
      </c>
      <c r="E125">
        <v>1803</v>
      </c>
      <c r="F125" t="s">
        <v>117</v>
      </c>
      <c r="G125" t="s">
        <v>210</v>
      </c>
      <c r="H125" t="s">
        <v>186</v>
      </c>
      <c r="I125" t="s">
        <v>49</v>
      </c>
      <c r="J125">
        <v>1</v>
      </c>
      <c r="K125" t="s">
        <v>120</v>
      </c>
      <c r="L125">
        <v>1</v>
      </c>
      <c r="M125" t="s">
        <v>121</v>
      </c>
      <c r="N125">
        <v>2</v>
      </c>
      <c r="O125" t="s">
        <v>122</v>
      </c>
      <c r="P125">
        <v>1</v>
      </c>
      <c r="T125" s="54">
        <v>1794562</v>
      </c>
      <c r="U125">
        <v>0.136386300515971</v>
      </c>
      <c r="V125" s="54">
        <v>0</v>
      </c>
      <c r="W125">
        <v>0.142128752590504</v>
      </c>
      <c r="X125" s="54">
        <v>0</v>
      </c>
      <c r="Y125">
        <v>0.136386300515971</v>
      </c>
      <c r="Z125" t="s">
        <v>52</v>
      </c>
      <c r="AA125" s="54">
        <v>1794562</v>
      </c>
      <c r="AC125" s="7">
        <v>0.93500000000000005</v>
      </c>
      <c r="AD125">
        <v>0</v>
      </c>
      <c r="AE125" s="7">
        <v>1</v>
      </c>
      <c r="AF125" s="54">
        <v>1794562</v>
      </c>
      <c r="AG125" s="54">
        <v>0</v>
      </c>
      <c r="AH125" s="7" t="s">
        <v>55</v>
      </c>
      <c r="AI125">
        <v>2288.4468353181674</v>
      </c>
      <c r="AJ125" s="7">
        <v>1</v>
      </c>
      <c r="AK125">
        <v>2288.4468353181674</v>
      </c>
      <c r="AL125">
        <v>1.2752118999999999E-3</v>
      </c>
      <c r="AM125">
        <v>1.2752118999999999E-3</v>
      </c>
    </row>
    <row r="126" spans="1:39" x14ac:dyDescent="0.2">
      <c r="A126">
        <v>125</v>
      </c>
      <c r="D126" t="s">
        <v>232</v>
      </c>
      <c r="E126">
        <v>1803</v>
      </c>
      <c r="F126" t="s">
        <v>117</v>
      </c>
      <c r="G126" t="s">
        <v>210</v>
      </c>
      <c r="H126" t="s">
        <v>186</v>
      </c>
      <c r="I126" t="s">
        <v>49</v>
      </c>
      <c r="J126">
        <v>1</v>
      </c>
      <c r="K126" t="s">
        <v>120</v>
      </c>
      <c r="L126">
        <v>1</v>
      </c>
      <c r="M126" t="s">
        <v>121</v>
      </c>
      <c r="N126">
        <v>2</v>
      </c>
      <c r="O126" t="s">
        <v>122</v>
      </c>
      <c r="P126">
        <v>1</v>
      </c>
      <c r="T126" s="54">
        <v>827273</v>
      </c>
      <c r="U126">
        <v>0.136386300515971</v>
      </c>
      <c r="V126" s="54">
        <v>0</v>
      </c>
      <c r="W126">
        <v>0.142128752590504</v>
      </c>
      <c r="X126" s="54">
        <v>0</v>
      </c>
      <c r="Y126">
        <v>0.136386300515971</v>
      </c>
      <c r="Z126" t="s">
        <v>52</v>
      </c>
      <c r="AA126" s="54">
        <v>827273</v>
      </c>
      <c r="AC126" s="7">
        <v>0.93500000000000005</v>
      </c>
      <c r="AD126">
        <v>0</v>
      </c>
      <c r="AE126" s="7">
        <v>1</v>
      </c>
      <c r="AF126" s="54">
        <v>827273</v>
      </c>
      <c r="AG126" s="54">
        <v>0</v>
      </c>
      <c r="AH126" s="7" t="s">
        <v>55</v>
      </c>
      <c r="AI126">
        <v>1054.9483822761019</v>
      </c>
      <c r="AJ126" s="7">
        <v>1</v>
      </c>
      <c r="AK126">
        <v>1054.9483822761019</v>
      </c>
      <c r="AL126">
        <v>1.2752118999999999E-3</v>
      </c>
      <c r="AM126">
        <v>1.2752118999999999E-3</v>
      </c>
    </row>
    <row r="127" spans="1:39" x14ac:dyDescent="0.2">
      <c r="A127">
        <v>126</v>
      </c>
      <c r="D127" t="s">
        <v>232</v>
      </c>
      <c r="E127">
        <v>1803</v>
      </c>
      <c r="F127" t="s">
        <v>117</v>
      </c>
      <c r="G127" t="s">
        <v>210</v>
      </c>
      <c r="H127" t="s">
        <v>186</v>
      </c>
      <c r="I127" t="s">
        <v>49</v>
      </c>
      <c r="J127">
        <v>1</v>
      </c>
      <c r="K127" t="s">
        <v>120</v>
      </c>
      <c r="L127">
        <v>1</v>
      </c>
      <c r="M127" t="s">
        <v>121</v>
      </c>
      <c r="N127">
        <v>2</v>
      </c>
      <c r="O127" t="s">
        <v>122</v>
      </c>
      <c r="P127">
        <v>1</v>
      </c>
      <c r="T127" s="54">
        <v>1679869</v>
      </c>
      <c r="U127">
        <v>0.136386300515971</v>
      </c>
      <c r="V127" s="54">
        <v>0</v>
      </c>
      <c r="W127">
        <v>0.142128752590504</v>
      </c>
      <c r="X127" s="54">
        <v>0</v>
      </c>
      <c r="Y127">
        <v>0.136386300515971</v>
      </c>
      <c r="Z127" t="s">
        <v>52</v>
      </c>
      <c r="AA127" s="54">
        <v>1679869</v>
      </c>
      <c r="AC127" s="7">
        <v>0.93500000000000005</v>
      </c>
      <c r="AD127">
        <v>0</v>
      </c>
      <c r="AE127" s="7">
        <v>1</v>
      </c>
      <c r="AF127" s="54">
        <v>1679869</v>
      </c>
      <c r="AG127" s="54">
        <v>0</v>
      </c>
      <c r="AH127" s="7" t="s">
        <v>55</v>
      </c>
      <c r="AI127">
        <v>2142.1889557446857</v>
      </c>
      <c r="AJ127" s="7">
        <v>1</v>
      </c>
      <c r="AK127">
        <v>2142.1889557446857</v>
      </c>
      <c r="AL127">
        <v>1.2752118999999999E-3</v>
      </c>
      <c r="AM127">
        <v>1.2752118999999999E-3</v>
      </c>
    </row>
    <row r="128" spans="1:39" x14ac:dyDescent="0.2">
      <c r="A128">
        <v>127</v>
      </c>
      <c r="D128" t="s">
        <v>232</v>
      </c>
      <c r="E128">
        <v>1803</v>
      </c>
      <c r="F128" t="s">
        <v>117</v>
      </c>
      <c r="G128" t="s">
        <v>210</v>
      </c>
      <c r="H128" t="s">
        <v>186</v>
      </c>
      <c r="I128" t="s">
        <v>49</v>
      </c>
      <c r="J128">
        <v>1</v>
      </c>
      <c r="K128" t="s">
        <v>120</v>
      </c>
      <c r="L128">
        <v>1</v>
      </c>
      <c r="M128" t="s">
        <v>121</v>
      </c>
      <c r="N128">
        <v>2</v>
      </c>
      <c r="O128" t="s">
        <v>122</v>
      </c>
      <c r="P128">
        <v>1</v>
      </c>
      <c r="T128" s="54">
        <v>1679869</v>
      </c>
      <c r="U128">
        <v>0.136386300515971</v>
      </c>
      <c r="V128" s="54">
        <v>0</v>
      </c>
      <c r="W128">
        <v>0.142128752590504</v>
      </c>
      <c r="X128" s="54">
        <v>0</v>
      </c>
      <c r="Y128">
        <v>0.136386300515971</v>
      </c>
      <c r="Z128" t="s">
        <v>52</v>
      </c>
      <c r="AA128" s="54">
        <v>1679869</v>
      </c>
      <c r="AC128" s="7">
        <v>0.93500000000000005</v>
      </c>
      <c r="AD128">
        <v>0</v>
      </c>
      <c r="AE128" s="7">
        <v>1</v>
      </c>
      <c r="AF128" s="54">
        <v>1679869</v>
      </c>
      <c r="AG128" s="54">
        <v>0</v>
      </c>
      <c r="AH128" s="7" t="s">
        <v>55</v>
      </c>
      <c r="AI128">
        <v>2142.1889557446857</v>
      </c>
      <c r="AJ128" s="7">
        <v>1</v>
      </c>
      <c r="AK128">
        <v>2142.1889557446857</v>
      </c>
      <c r="AL128">
        <v>1.2752118999999999E-3</v>
      </c>
      <c r="AM128">
        <v>1.2752118999999999E-3</v>
      </c>
    </row>
    <row r="129" spans="1:39" x14ac:dyDescent="0.2">
      <c r="A129">
        <v>128</v>
      </c>
      <c r="D129" t="s">
        <v>232</v>
      </c>
      <c r="E129">
        <v>1803</v>
      </c>
      <c r="F129" t="s">
        <v>117</v>
      </c>
      <c r="G129" t="s">
        <v>210</v>
      </c>
      <c r="H129" t="s">
        <v>186</v>
      </c>
      <c r="I129" t="s">
        <v>49</v>
      </c>
      <c r="J129">
        <v>1</v>
      </c>
      <c r="K129" t="s">
        <v>120</v>
      </c>
      <c r="L129">
        <v>1</v>
      </c>
      <c r="M129" t="s">
        <v>121</v>
      </c>
      <c r="N129">
        <v>2</v>
      </c>
      <c r="O129" t="s">
        <v>122</v>
      </c>
      <c r="P129">
        <v>1</v>
      </c>
      <c r="T129" s="54">
        <v>2970274</v>
      </c>
      <c r="U129">
        <v>0.136386300515971</v>
      </c>
      <c r="V129" s="54">
        <v>0</v>
      </c>
      <c r="W129">
        <v>0.142128752590504</v>
      </c>
      <c r="X129" s="54">
        <v>0</v>
      </c>
      <c r="Y129">
        <v>0.136386300515971</v>
      </c>
      <c r="Z129" t="s">
        <v>52</v>
      </c>
      <c r="AA129" s="54">
        <v>2970274</v>
      </c>
      <c r="AC129" s="7">
        <v>0.93500000000000005</v>
      </c>
      <c r="AD129">
        <v>0</v>
      </c>
      <c r="AE129" s="7">
        <v>1</v>
      </c>
      <c r="AF129" s="54">
        <v>2970274</v>
      </c>
      <c r="AG129" s="54">
        <v>0</v>
      </c>
      <c r="AH129" s="7" t="s">
        <v>55</v>
      </c>
      <c r="AI129">
        <v>3787.7287802415485</v>
      </c>
      <c r="AJ129" s="7">
        <v>1</v>
      </c>
      <c r="AK129">
        <v>3787.7287802415485</v>
      </c>
      <c r="AL129">
        <v>1.2752118999999999E-3</v>
      </c>
      <c r="AM129">
        <v>1.2752118999999999E-3</v>
      </c>
    </row>
    <row r="130" spans="1:39" x14ac:dyDescent="0.2">
      <c r="A130">
        <v>129</v>
      </c>
      <c r="D130" t="s">
        <v>232</v>
      </c>
      <c r="E130">
        <v>1803</v>
      </c>
      <c r="F130" t="s">
        <v>117</v>
      </c>
      <c r="G130" t="s">
        <v>210</v>
      </c>
      <c r="H130" t="s">
        <v>186</v>
      </c>
      <c r="I130" t="s">
        <v>49</v>
      </c>
      <c r="J130">
        <v>1</v>
      </c>
      <c r="K130" t="s">
        <v>120</v>
      </c>
      <c r="L130">
        <v>1</v>
      </c>
      <c r="M130" t="s">
        <v>121</v>
      </c>
      <c r="N130">
        <v>2</v>
      </c>
      <c r="O130" t="s">
        <v>122</v>
      </c>
      <c r="P130">
        <v>1</v>
      </c>
      <c r="T130" s="54">
        <v>1679869</v>
      </c>
      <c r="U130">
        <v>0.136386300515971</v>
      </c>
      <c r="V130" s="54">
        <v>0</v>
      </c>
      <c r="W130">
        <v>0.142128752590504</v>
      </c>
      <c r="X130" s="54">
        <v>0</v>
      </c>
      <c r="Y130">
        <v>0.136386300515971</v>
      </c>
      <c r="Z130" t="s">
        <v>52</v>
      </c>
      <c r="AA130" s="54">
        <v>1679869</v>
      </c>
      <c r="AC130" s="7">
        <v>0.93500000000000005</v>
      </c>
      <c r="AD130">
        <v>0</v>
      </c>
      <c r="AE130" s="7">
        <v>1</v>
      </c>
      <c r="AF130" s="54">
        <v>1679869</v>
      </c>
      <c r="AG130" s="54">
        <v>0</v>
      </c>
      <c r="AH130" s="7" t="s">
        <v>55</v>
      </c>
      <c r="AI130">
        <v>2142.1889557446857</v>
      </c>
      <c r="AJ130" s="7">
        <v>1</v>
      </c>
      <c r="AK130">
        <v>2142.1889557446857</v>
      </c>
      <c r="AL130">
        <v>1.2752118999999999E-3</v>
      </c>
      <c r="AM130">
        <v>1.2752118999999999E-3</v>
      </c>
    </row>
    <row r="131" spans="1:39" x14ac:dyDescent="0.2">
      <c r="A131">
        <v>130</v>
      </c>
      <c r="D131" t="s">
        <v>232</v>
      </c>
      <c r="E131">
        <v>1803</v>
      </c>
      <c r="F131" t="s">
        <v>117</v>
      </c>
      <c r="G131" t="s">
        <v>210</v>
      </c>
      <c r="H131" t="s">
        <v>186</v>
      </c>
      <c r="I131" t="s">
        <v>49</v>
      </c>
      <c r="J131">
        <v>1</v>
      </c>
      <c r="K131" t="s">
        <v>120</v>
      </c>
      <c r="L131">
        <v>1</v>
      </c>
      <c r="M131" t="s">
        <v>121</v>
      </c>
      <c r="N131">
        <v>2</v>
      </c>
      <c r="O131" t="s">
        <v>122</v>
      </c>
      <c r="P131">
        <v>1</v>
      </c>
      <c r="T131" s="54">
        <v>2970274</v>
      </c>
      <c r="U131">
        <v>0.136386300515971</v>
      </c>
      <c r="V131" s="54">
        <v>0</v>
      </c>
      <c r="W131">
        <v>0.142128752590504</v>
      </c>
      <c r="X131" s="54">
        <v>0</v>
      </c>
      <c r="Y131">
        <v>0.136386300515971</v>
      </c>
      <c r="Z131" t="s">
        <v>52</v>
      </c>
      <c r="AA131" s="54">
        <v>2970274</v>
      </c>
      <c r="AC131" s="7">
        <v>0.93500000000000005</v>
      </c>
      <c r="AD131">
        <v>0</v>
      </c>
      <c r="AE131" s="7">
        <v>1</v>
      </c>
      <c r="AF131" s="54">
        <v>2970274</v>
      </c>
      <c r="AG131" s="54">
        <v>0</v>
      </c>
      <c r="AH131" s="7" t="s">
        <v>55</v>
      </c>
      <c r="AI131">
        <v>3787.7287802415485</v>
      </c>
      <c r="AJ131" s="7">
        <v>1</v>
      </c>
      <c r="AK131">
        <v>3787.7287802415485</v>
      </c>
      <c r="AL131">
        <v>1.2752118999999999E-3</v>
      </c>
      <c r="AM131">
        <v>1.2752118999999999E-3</v>
      </c>
    </row>
    <row r="132" spans="1:39" x14ac:dyDescent="0.2">
      <c r="A132">
        <v>131</v>
      </c>
      <c r="D132" t="s">
        <v>232</v>
      </c>
      <c r="E132">
        <v>1803</v>
      </c>
      <c r="F132" t="s">
        <v>117</v>
      </c>
      <c r="G132" t="s">
        <v>210</v>
      </c>
      <c r="H132" t="s">
        <v>186</v>
      </c>
      <c r="I132" t="s">
        <v>49</v>
      </c>
      <c r="J132">
        <v>1</v>
      </c>
      <c r="K132" t="s">
        <v>120</v>
      </c>
      <c r="L132">
        <v>1</v>
      </c>
      <c r="M132" t="s">
        <v>121</v>
      </c>
      <c r="N132">
        <v>2</v>
      </c>
      <c r="O132" t="s">
        <v>122</v>
      </c>
      <c r="P132">
        <v>1</v>
      </c>
      <c r="T132" s="54">
        <v>1679869</v>
      </c>
      <c r="U132">
        <v>0.136386300515971</v>
      </c>
      <c r="V132" s="54">
        <v>0</v>
      </c>
      <c r="W132">
        <v>0.142128752590504</v>
      </c>
      <c r="X132" s="54">
        <v>0</v>
      </c>
      <c r="Y132">
        <v>0.136386300515971</v>
      </c>
      <c r="Z132" t="s">
        <v>52</v>
      </c>
      <c r="AA132" s="54">
        <v>1679869</v>
      </c>
      <c r="AC132" s="7">
        <v>0.93500000000000005</v>
      </c>
      <c r="AD132">
        <v>0</v>
      </c>
      <c r="AE132" s="7">
        <v>1</v>
      </c>
      <c r="AF132" s="54">
        <v>1679869</v>
      </c>
      <c r="AG132" s="54">
        <v>0</v>
      </c>
      <c r="AH132" s="7" t="s">
        <v>55</v>
      </c>
      <c r="AI132">
        <v>2142.1889557446857</v>
      </c>
      <c r="AJ132" s="7">
        <v>1</v>
      </c>
      <c r="AK132">
        <v>2142.1889557446857</v>
      </c>
      <c r="AL132">
        <v>1.2752118999999999E-3</v>
      </c>
      <c r="AM132">
        <v>1.2752118999999999E-3</v>
      </c>
    </row>
    <row r="133" spans="1:39" x14ac:dyDescent="0.2">
      <c r="A133">
        <v>132</v>
      </c>
      <c r="D133" t="s">
        <v>232</v>
      </c>
      <c r="E133">
        <v>1803</v>
      </c>
      <c r="F133" t="s">
        <v>117</v>
      </c>
      <c r="G133" t="s">
        <v>210</v>
      </c>
      <c r="H133" t="s">
        <v>186</v>
      </c>
      <c r="I133" t="s">
        <v>49</v>
      </c>
      <c r="J133">
        <v>1</v>
      </c>
      <c r="K133" t="s">
        <v>120</v>
      </c>
      <c r="L133">
        <v>1</v>
      </c>
      <c r="M133" t="s">
        <v>121</v>
      </c>
      <c r="N133">
        <v>2</v>
      </c>
      <c r="O133" t="s">
        <v>122</v>
      </c>
      <c r="P133">
        <v>1</v>
      </c>
      <c r="T133" s="54">
        <v>1679869</v>
      </c>
      <c r="U133">
        <v>0.136386300515971</v>
      </c>
      <c r="V133" s="54">
        <v>0</v>
      </c>
      <c r="W133">
        <v>0.142128752590504</v>
      </c>
      <c r="X133" s="54">
        <v>0</v>
      </c>
      <c r="Y133">
        <v>0.136386300515971</v>
      </c>
      <c r="Z133" t="s">
        <v>52</v>
      </c>
      <c r="AA133" s="54">
        <v>1679869</v>
      </c>
      <c r="AC133" s="7">
        <v>0.93500000000000005</v>
      </c>
      <c r="AD133">
        <v>0</v>
      </c>
      <c r="AE133" s="7">
        <v>1</v>
      </c>
      <c r="AF133" s="54">
        <v>1679869</v>
      </c>
      <c r="AG133" s="54">
        <v>0</v>
      </c>
      <c r="AH133" s="7" t="s">
        <v>55</v>
      </c>
      <c r="AI133">
        <v>2142.1889557446857</v>
      </c>
      <c r="AJ133" s="7">
        <v>1</v>
      </c>
      <c r="AK133">
        <v>2142.1889557446857</v>
      </c>
      <c r="AL133">
        <v>1.2752118999999999E-3</v>
      </c>
      <c r="AM133">
        <v>1.2752118999999999E-3</v>
      </c>
    </row>
    <row r="134" spans="1:39" x14ac:dyDescent="0.2">
      <c r="A134">
        <v>133</v>
      </c>
      <c r="D134" t="s">
        <v>232</v>
      </c>
      <c r="E134">
        <v>1803</v>
      </c>
      <c r="F134" t="s">
        <v>117</v>
      </c>
      <c r="G134" t="s">
        <v>210</v>
      </c>
      <c r="H134" t="s">
        <v>186</v>
      </c>
      <c r="I134" t="s">
        <v>49</v>
      </c>
      <c r="J134">
        <v>1</v>
      </c>
      <c r="K134" t="s">
        <v>120</v>
      </c>
      <c r="L134">
        <v>1</v>
      </c>
      <c r="M134" t="s">
        <v>121</v>
      </c>
      <c r="N134">
        <v>2</v>
      </c>
      <c r="O134" t="s">
        <v>122</v>
      </c>
      <c r="P134">
        <v>1</v>
      </c>
      <c r="T134" s="54">
        <v>215619</v>
      </c>
      <c r="U134">
        <v>0.136386300515971</v>
      </c>
      <c r="V134" s="54">
        <v>0</v>
      </c>
      <c r="W134">
        <v>0.142128752590504</v>
      </c>
      <c r="X134" s="54">
        <v>0</v>
      </c>
      <c r="Y134">
        <v>0.136386300515971</v>
      </c>
      <c r="Z134" t="s">
        <v>52</v>
      </c>
      <c r="AA134" s="54">
        <v>215619</v>
      </c>
      <c r="AC134" s="7">
        <v>0.93500000000000005</v>
      </c>
      <c r="AD134">
        <v>0</v>
      </c>
      <c r="AE134" s="7">
        <v>1</v>
      </c>
      <c r="AF134" s="54">
        <v>215619</v>
      </c>
      <c r="AG134" s="54">
        <v>0</v>
      </c>
      <c r="AH134" s="7" t="s">
        <v>55</v>
      </c>
      <c r="AI134">
        <v>274.95991678441197</v>
      </c>
      <c r="AJ134" s="7">
        <v>1</v>
      </c>
      <c r="AK134">
        <v>274.95991678441197</v>
      </c>
      <c r="AL134">
        <v>1.2752118999999999E-3</v>
      </c>
      <c r="AM134">
        <v>1.2752118999999999E-3</v>
      </c>
    </row>
    <row r="135" spans="1:39" x14ac:dyDescent="0.2">
      <c r="A135">
        <v>134</v>
      </c>
      <c r="D135" t="s">
        <v>232</v>
      </c>
      <c r="E135">
        <v>1803</v>
      </c>
      <c r="F135" t="s">
        <v>117</v>
      </c>
      <c r="G135" t="s">
        <v>210</v>
      </c>
      <c r="H135" t="s">
        <v>186</v>
      </c>
      <c r="I135" t="s">
        <v>49</v>
      </c>
      <c r="J135">
        <v>1</v>
      </c>
      <c r="K135" t="s">
        <v>120</v>
      </c>
      <c r="L135">
        <v>1</v>
      </c>
      <c r="M135" t="s">
        <v>121</v>
      </c>
      <c r="N135">
        <v>2</v>
      </c>
      <c r="O135" t="s">
        <v>122</v>
      </c>
      <c r="P135">
        <v>1</v>
      </c>
      <c r="T135" s="54">
        <v>139986</v>
      </c>
      <c r="U135">
        <v>0.136386300515971</v>
      </c>
      <c r="V135" s="54">
        <v>0</v>
      </c>
      <c r="W135">
        <v>0.142128752590504</v>
      </c>
      <c r="X135" s="54">
        <v>0</v>
      </c>
      <c r="Y135">
        <v>0.136386300515971</v>
      </c>
      <c r="Z135" t="s">
        <v>52</v>
      </c>
      <c r="AA135" s="54">
        <v>139986</v>
      </c>
      <c r="AC135" s="7">
        <v>0.93500000000000005</v>
      </c>
      <c r="AD135">
        <v>0</v>
      </c>
      <c r="AE135" s="7">
        <v>1</v>
      </c>
      <c r="AF135" s="54">
        <v>139986</v>
      </c>
      <c r="AG135" s="54">
        <v>0</v>
      </c>
      <c r="AH135" s="7" t="s">
        <v>55</v>
      </c>
      <c r="AI135">
        <v>178.5118144086685</v>
      </c>
      <c r="AJ135" s="7">
        <v>1</v>
      </c>
      <c r="AK135">
        <v>178.5118144086685</v>
      </c>
      <c r="AL135">
        <v>1.2752118999999999E-3</v>
      </c>
      <c r="AM135">
        <v>1.2752118999999999E-3</v>
      </c>
    </row>
    <row r="136" spans="1:39" x14ac:dyDescent="0.2">
      <c r="A136">
        <v>135</v>
      </c>
      <c r="D136" t="s">
        <v>232</v>
      </c>
      <c r="E136">
        <v>1803</v>
      </c>
      <c r="F136" t="s">
        <v>117</v>
      </c>
      <c r="G136" t="s">
        <v>210</v>
      </c>
      <c r="H136" t="s">
        <v>186</v>
      </c>
      <c r="I136" t="s">
        <v>49</v>
      </c>
      <c r="J136">
        <v>1</v>
      </c>
      <c r="K136" t="s">
        <v>120</v>
      </c>
      <c r="L136">
        <v>1</v>
      </c>
      <c r="M136" t="s">
        <v>121</v>
      </c>
      <c r="N136">
        <v>2</v>
      </c>
      <c r="O136" t="s">
        <v>122</v>
      </c>
      <c r="P136">
        <v>1</v>
      </c>
      <c r="T136" s="54">
        <v>27300</v>
      </c>
      <c r="U136">
        <v>0.136386300515971</v>
      </c>
      <c r="V136" s="54">
        <v>0</v>
      </c>
      <c r="W136">
        <v>0.142128752590504</v>
      </c>
      <c r="X136" s="54">
        <v>0</v>
      </c>
      <c r="Y136">
        <v>0.136386300515971</v>
      </c>
      <c r="Z136" t="s">
        <v>52</v>
      </c>
      <c r="AA136" s="54">
        <v>27300</v>
      </c>
      <c r="AC136" s="7">
        <v>0.93500000000000005</v>
      </c>
      <c r="AD136">
        <v>0</v>
      </c>
      <c r="AE136" s="7">
        <v>1</v>
      </c>
      <c r="AF136" s="54">
        <v>27300</v>
      </c>
      <c r="AG136" s="54">
        <v>0</v>
      </c>
      <c r="AH136" s="7" t="s">
        <v>55</v>
      </c>
      <c r="AI136">
        <v>34.813285138204172</v>
      </c>
      <c r="AJ136" s="7">
        <v>1</v>
      </c>
      <c r="AK136">
        <v>34.813285138204172</v>
      </c>
      <c r="AL136">
        <v>1.2752118999999999E-3</v>
      </c>
      <c r="AM136">
        <v>1.2752118999999999E-3</v>
      </c>
    </row>
    <row r="137" spans="1:39" x14ac:dyDescent="0.2">
      <c r="A137">
        <v>136</v>
      </c>
      <c r="D137" t="s">
        <v>232</v>
      </c>
      <c r="E137">
        <v>1803</v>
      </c>
      <c r="F137" t="s">
        <v>117</v>
      </c>
      <c r="G137" t="s">
        <v>210</v>
      </c>
      <c r="H137" t="s">
        <v>186</v>
      </c>
      <c r="I137" t="s">
        <v>49</v>
      </c>
      <c r="J137">
        <v>1</v>
      </c>
      <c r="K137" t="s">
        <v>120</v>
      </c>
      <c r="L137">
        <v>1</v>
      </c>
      <c r="M137" t="s">
        <v>121</v>
      </c>
      <c r="N137">
        <v>2</v>
      </c>
      <c r="O137" t="s">
        <v>122</v>
      </c>
      <c r="P137">
        <v>1</v>
      </c>
      <c r="T137" s="54">
        <v>52000</v>
      </c>
      <c r="U137">
        <v>0.136386300515971</v>
      </c>
      <c r="V137" s="54">
        <v>0</v>
      </c>
      <c r="W137">
        <v>0.142128752590504</v>
      </c>
      <c r="X137" s="54">
        <v>0</v>
      </c>
      <c r="Y137">
        <v>0.136386300515971</v>
      </c>
      <c r="Z137" t="s">
        <v>52</v>
      </c>
      <c r="AA137" s="54">
        <v>52000</v>
      </c>
      <c r="AC137" s="7">
        <v>0.93500000000000005</v>
      </c>
      <c r="AD137">
        <v>0</v>
      </c>
      <c r="AE137" s="7">
        <v>1</v>
      </c>
      <c r="AF137" s="54">
        <v>52000</v>
      </c>
      <c r="AG137" s="54">
        <v>0</v>
      </c>
      <c r="AH137" s="7" t="s">
        <v>55</v>
      </c>
      <c r="AI137">
        <v>66.311019310865106</v>
      </c>
      <c r="AJ137" s="7">
        <v>1</v>
      </c>
      <c r="AK137">
        <v>66.311019310865106</v>
      </c>
      <c r="AL137">
        <v>1.2752118999999999E-3</v>
      </c>
      <c r="AM137">
        <v>1.2752118999999999E-3</v>
      </c>
    </row>
    <row r="138" spans="1:39" x14ac:dyDescent="0.2">
      <c r="A138">
        <v>137</v>
      </c>
      <c r="D138" t="s">
        <v>232</v>
      </c>
      <c r="E138">
        <v>1803</v>
      </c>
      <c r="F138" t="s">
        <v>117</v>
      </c>
      <c r="G138" t="s">
        <v>210</v>
      </c>
      <c r="H138" t="s">
        <v>186</v>
      </c>
      <c r="I138" t="s">
        <v>49</v>
      </c>
      <c r="J138">
        <v>0</v>
      </c>
      <c r="K138" t="s">
        <v>197</v>
      </c>
      <c r="L138">
        <v>0</v>
      </c>
      <c r="M138" t="s">
        <v>197</v>
      </c>
      <c r="N138">
        <v>2</v>
      </c>
      <c r="O138" t="s">
        <v>122</v>
      </c>
      <c r="P138">
        <v>1</v>
      </c>
      <c r="T138" s="54">
        <v>6240</v>
      </c>
      <c r="U138">
        <v>8.7202233276287996E-2</v>
      </c>
      <c r="V138" s="54">
        <v>0</v>
      </c>
      <c r="W138">
        <v>9.5814402982119004E-2</v>
      </c>
      <c r="X138" s="54">
        <v>0</v>
      </c>
      <c r="Y138">
        <v>8.7202233276287996E-2</v>
      </c>
      <c r="Z138" t="s">
        <v>52</v>
      </c>
      <c r="AA138" s="54">
        <v>6240</v>
      </c>
      <c r="AC138" s="7">
        <v>0.94099999999999995</v>
      </c>
      <c r="AD138">
        <v>0</v>
      </c>
      <c r="AE138" s="7">
        <v>1</v>
      </c>
      <c r="AF138" s="54">
        <v>6240</v>
      </c>
      <c r="AG138" s="54">
        <v>0</v>
      </c>
      <c r="AH138" s="7" t="s">
        <v>55</v>
      </c>
      <c r="AI138">
        <v>5.1203756144103796</v>
      </c>
      <c r="AJ138" s="7">
        <v>1</v>
      </c>
      <c r="AK138">
        <v>5.1203756144103796</v>
      </c>
      <c r="AL138">
        <v>8.2057300999999997E-4</v>
      </c>
      <c r="AM138">
        <v>8.2057300999999997E-4</v>
      </c>
    </row>
    <row r="139" spans="1:39" x14ac:dyDescent="0.2">
      <c r="A139">
        <v>138</v>
      </c>
      <c r="D139" t="s">
        <v>233</v>
      </c>
      <c r="E139">
        <v>1801</v>
      </c>
      <c r="F139" t="s">
        <v>117</v>
      </c>
      <c r="G139" t="s">
        <v>234</v>
      </c>
      <c r="H139" t="s">
        <v>186</v>
      </c>
      <c r="I139" t="s">
        <v>49</v>
      </c>
      <c r="J139">
        <v>2</v>
      </c>
      <c r="K139" t="s">
        <v>187</v>
      </c>
      <c r="L139">
        <v>2</v>
      </c>
      <c r="M139" t="s">
        <v>188</v>
      </c>
      <c r="N139">
        <v>2</v>
      </c>
      <c r="O139" t="s">
        <v>122</v>
      </c>
      <c r="P139">
        <v>1</v>
      </c>
      <c r="S139">
        <v>1975</v>
      </c>
      <c r="T139" s="54">
        <v>4365000</v>
      </c>
      <c r="U139">
        <v>0.101469305305583</v>
      </c>
      <c r="V139" s="54">
        <v>0</v>
      </c>
      <c r="W139">
        <v>0.118447947666697</v>
      </c>
      <c r="X139" s="54">
        <v>0</v>
      </c>
      <c r="Y139">
        <v>0.101469305305583</v>
      </c>
      <c r="Z139" t="s">
        <v>52</v>
      </c>
      <c r="AA139" s="54">
        <v>4365000</v>
      </c>
      <c r="AC139" s="7">
        <v>0.93500000000000005</v>
      </c>
      <c r="AD139">
        <v>2</v>
      </c>
      <c r="AE139" s="7">
        <v>1</v>
      </c>
      <c r="AF139" s="54">
        <v>4365000</v>
      </c>
      <c r="AG139" s="54">
        <v>0</v>
      </c>
      <c r="AH139" s="7" t="s">
        <v>55</v>
      </c>
      <c r="AI139">
        <v>4141.2413901104328</v>
      </c>
      <c r="AJ139" s="7">
        <v>1</v>
      </c>
      <c r="AK139">
        <v>4141.2413901104328</v>
      </c>
      <c r="AL139">
        <v>9.4873799999999997E-4</v>
      </c>
      <c r="AM139">
        <v>9.4873799999999997E-4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R58"/>
  <sheetViews>
    <sheetView showGridLines="0" zoomScaleNormal="100" workbookViewId="0">
      <selection activeCell="C7" sqref="C7"/>
    </sheetView>
  </sheetViews>
  <sheetFormatPr defaultRowHeight="15" x14ac:dyDescent="0.25"/>
  <cols>
    <col min="1" max="1" width="9.33203125" style="55"/>
    <col min="2" max="2" width="19.6640625" style="55" customWidth="1"/>
    <col min="3" max="3" width="33.5" style="55" customWidth="1"/>
    <col min="4" max="5" width="9.33203125" style="55"/>
    <col min="6" max="6" width="21" style="55" customWidth="1"/>
    <col min="7" max="7" width="23.6640625" style="55" customWidth="1"/>
    <col min="8" max="16384" width="9.33203125" style="55"/>
  </cols>
  <sheetData>
    <row r="1" spans="1:18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</row>
    <row r="2" spans="1:18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</row>
    <row r="3" spans="1:18" x14ac:dyDescent="0.25">
      <c r="A3" s="76"/>
      <c r="B3" s="77" t="s">
        <v>0</v>
      </c>
      <c r="C3" s="56" t="str">
        <f>assured</f>
        <v>BRICKPOINT</v>
      </c>
      <c r="D3" s="76"/>
      <c r="E3" s="76"/>
      <c r="F3" s="77" t="s">
        <v>253</v>
      </c>
      <c r="G3" s="78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</row>
    <row r="4" spans="1:18" x14ac:dyDescent="0.25">
      <c r="A4" s="76"/>
      <c r="B4" s="77" t="s">
        <v>6</v>
      </c>
      <c r="C4" s="57">
        <f>inception</f>
        <v>42710</v>
      </c>
      <c r="D4" s="76"/>
      <c r="E4" s="76"/>
      <c r="F4" s="77" t="s">
        <v>254</v>
      </c>
      <c r="G4" s="78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</row>
    <row r="5" spans="1:18" x14ac:dyDescent="0.25">
      <c r="A5" s="76"/>
      <c r="B5" s="77" t="s">
        <v>312</v>
      </c>
      <c r="C5" s="57">
        <f>expiry</f>
        <v>42709</v>
      </c>
      <c r="D5" s="76"/>
      <c r="E5" s="76"/>
      <c r="F5"/>
      <c r="G5" s="54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</row>
    <row r="6" spans="1:18" x14ac:dyDescent="0.25">
      <c r="A6" s="76"/>
      <c r="B6" s="76"/>
      <c r="C6" s="76"/>
      <c r="D6" s="76"/>
      <c r="E6" s="76"/>
      <c r="F6" s="77" t="s">
        <v>255</v>
      </c>
      <c r="G6" s="78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</row>
    <row r="7" spans="1:18" x14ac:dyDescent="0.25">
      <c r="A7" s="76"/>
      <c r="B7" s="77" t="s">
        <v>294</v>
      </c>
      <c r="C7" s="5" t="s">
        <v>20</v>
      </c>
      <c r="D7" s="76"/>
      <c r="F7" s="77" t="s">
        <v>256</v>
      </c>
      <c r="G7" s="78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</row>
    <row r="8" spans="1:18" x14ac:dyDescent="0.25">
      <c r="A8" s="76"/>
      <c r="B8" s="76"/>
      <c r="C8" s="79"/>
      <c r="D8" s="76"/>
      <c r="E8" s="76"/>
      <c r="F8" s="77" t="s">
        <v>257</v>
      </c>
      <c r="G8" s="78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</row>
    <row r="9" spans="1:18" x14ac:dyDescent="0.25">
      <c r="A9" s="76"/>
      <c r="B9" s="77" t="s">
        <v>336</v>
      </c>
      <c r="C9" s="78">
        <v>9</v>
      </c>
      <c r="D9" s="76"/>
      <c r="E9" s="76"/>
      <c r="F9" s="77" t="s">
        <v>250</v>
      </c>
      <c r="G9" s="78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</row>
    <row r="10" spans="1:18" x14ac:dyDescent="0.25">
      <c r="A10" s="76"/>
      <c r="B10" s="77" t="s">
        <v>337</v>
      </c>
      <c r="C10" s="78">
        <v>6185117.9653000003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</row>
    <row r="11" spans="1:18" x14ac:dyDescent="0.25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</row>
    <row r="12" spans="1:18" x14ac:dyDescent="0.25">
      <c r="A12" s="76"/>
      <c r="C12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</row>
    <row r="13" spans="1:18" x14ac:dyDescent="0.25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</row>
    <row r="14" spans="1:18" x14ac:dyDescent="0.25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</row>
    <row r="15" spans="1:18" x14ac:dyDescent="0.25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</row>
    <row r="16" spans="1:18" x14ac:dyDescent="0.25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</row>
    <row r="17" spans="1:18" x14ac:dyDescent="0.25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25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25">
      <c r="A19" s="76"/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</row>
    <row r="20" spans="1:18" x14ac:dyDescent="0.25">
      <c r="A20" s="76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</row>
    <row r="21" spans="1:18" x14ac:dyDescent="0.25">
      <c r="A21" s="76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</row>
    <row r="22" spans="1:18" x14ac:dyDescent="0.25">
      <c r="A22" s="76"/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</row>
    <row r="23" spans="1:18" x14ac:dyDescent="0.25">
      <c r="A23" s="76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</row>
    <row r="24" spans="1:18" x14ac:dyDescent="0.25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</row>
    <row r="25" spans="1:18" x14ac:dyDescent="0.25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25">
      <c r="A26" s="76"/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2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spans="1:18" x14ac:dyDescent="0.25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</row>
    <row r="29" spans="1:18" x14ac:dyDescent="0.25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</row>
    <row r="30" spans="1:18" x14ac:dyDescent="0.25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</row>
    <row r="31" spans="1:18" x14ac:dyDescent="0.25">
      <c r="A31" s="76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</row>
    <row r="32" spans="1:18" x14ac:dyDescent="0.25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</row>
    <row r="33" spans="1:18" x14ac:dyDescent="0.25">
      <c r="A33" s="76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</row>
    <row r="34" spans="1:18" x14ac:dyDescent="0.25">
      <c r="A34" s="76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</row>
    <row r="35" spans="1:18" x14ac:dyDescent="0.25">
      <c r="A35" s="76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</row>
    <row r="36" spans="1:18" x14ac:dyDescent="0.25">
      <c r="A36" s="76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</row>
    <row r="37" spans="1:18" x14ac:dyDescent="0.25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</row>
    <row r="38" spans="1:18" x14ac:dyDescent="0.25">
      <c r="A38" s="76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</row>
    <row r="39" spans="1:18" x14ac:dyDescent="0.25">
      <c r="A39" s="76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</row>
    <row r="40" spans="1:18" x14ac:dyDescent="0.25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</row>
    <row r="41" spans="1:18" x14ac:dyDescent="0.25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</row>
    <row r="42" spans="1:18" x14ac:dyDescent="0.25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</row>
    <row r="43" spans="1:18" x14ac:dyDescent="0.25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</row>
    <row r="44" spans="1:18" x14ac:dyDescent="0.25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18" x14ac:dyDescent="0.25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</row>
    <row r="46" spans="1:18" x14ac:dyDescent="0.25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</row>
    <row r="47" spans="1:18" x14ac:dyDescent="0.25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</row>
    <row r="48" spans="1:18" x14ac:dyDescent="0.25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</row>
    <row r="49" spans="1:18" x14ac:dyDescent="0.25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x14ac:dyDescent="0.25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x14ac:dyDescent="0.25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x14ac:dyDescent="0.25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x14ac:dyDescent="0.25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x14ac:dyDescent="0.25">
      <c r="A54" s="76"/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  <row r="55" spans="1:18" x14ac:dyDescent="0.25">
      <c r="A55" s="76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</row>
    <row r="56" spans="1:18" x14ac:dyDescent="0.25">
      <c r="A56" s="76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</row>
    <row r="57" spans="1:18" x14ac:dyDescent="0.25">
      <c r="A57" s="76"/>
      <c r="B57" s="76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</row>
    <row r="58" spans="1:18" x14ac:dyDescent="0.25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</row>
  </sheetData>
  <dataValidations count="1">
    <dataValidation type="list" allowBlank="1" showInputMessage="1" showErrorMessage="1" sqref="C7">
      <formula1>"State, County"</formula1>
    </dataValidation>
  </dataValidations>
  <pageMargins left="0.70866141732283472" right="0.70866141732283472" top="0.74803149606299213" bottom="0.74803149606299213" header="0.31496062992125984" footer="0.31496062992125984"/>
  <pageSetup paperSize="9" scale="83" orientation="portrait" r:id="rId1"/>
  <headerFooter>
    <oddHeader>&amp;C&amp;"Calibri,Bold"&amp;16Locations Summary</oddHeader>
    <oddFooter>&amp;L&amp;Z&amp;F&amp;R&amp;P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M35"/>
  <sheetViews>
    <sheetView showGridLines="0" topLeftCell="B13" zoomScaleNormal="100" workbookViewId="0">
      <selection activeCell="D25" sqref="D25"/>
    </sheetView>
  </sheetViews>
  <sheetFormatPr defaultColWidth="16.6640625" defaultRowHeight="12.75" x14ac:dyDescent="0.2"/>
  <cols>
    <col min="1" max="1" width="2" style="11" customWidth="1"/>
    <col min="2" max="8" width="16.6640625" style="12"/>
    <col min="9" max="9" width="4.1640625" style="12" customWidth="1"/>
    <col min="10" max="10" width="19" style="12" bestFit="1" customWidth="1"/>
    <col min="11" max="16384" width="16.6640625" style="12"/>
  </cols>
  <sheetData>
    <row r="1" spans="1:12" ht="18.75" customHeight="1" x14ac:dyDescent="0.2">
      <c r="B1" s="85" t="s">
        <v>236</v>
      </c>
      <c r="C1" s="86"/>
      <c r="D1" s="86"/>
      <c r="E1" s="86"/>
      <c r="F1" s="86"/>
      <c r="G1" s="86"/>
      <c r="H1" s="86"/>
      <c r="I1" s="87"/>
    </row>
    <row r="2" spans="1:12" ht="18.75" customHeight="1" x14ac:dyDescent="0.2">
      <c r="B2" s="88"/>
      <c r="C2" s="89"/>
      <c r="D2" s="89"/>
      <c r="E2" s="89"/>
      <c r="F2" s="89"/>
      <c r="G2" s="89"/>
      <c r="H2" s="89"/>
      <c r="I2" s="90"/>
    </row>
    <row r="3" spans="1:12" ht="6.75" customHeight="1" x14ac:dyDescent="0.2"/>
    <row r="4" spans="1:12" ht="18.75" customHeight="1" x14ac:dyDescent="0.2">
      <c r="D4"/>
      <c r="E4"/>
      <c r="K4"/>
      <c r="L4"/>
    </row>
    <row r="5" spans="1:12" ht="18.75" customHeight="1" x14ac:dyDescent="0.2">
      <c r="B5" s="91" t="s">
        <v>239</v>
      </c>
      <c r="C5" s="91"/>
      <c r="D5" s="14">
        <v>0.03</v>
      </c>
      <c r="F5" s="11"/>
      <c r="G5" s="11"/>
      <c r="I5"/>
      <c r="J5"/>
    </row>
    <row r="6" spans="1:12" ht="17.25" customHeight="1" x14ac:dyDescent="0.2">
      <c r="I6" s="17"/>
      <c r="J6"/>
    </row>
    <row r="7" spans="1:12" s="19" customFormat="1" ht="18.75" customHeight="1" x14ac:dyDescent="0.2">
      <c r="A7" s="11"/>
      <c r="B7" s="18"/>
      <c r="C7" s="18"/>
      <c r="D7" s="18"/>
      <c r="E7" s="92" t="s">
        <v>240</v>
      </c>
      <c r="F7" s="92"/>
      <c r="I7"/>
    </row>
    <row r="8" spans="1:12" s="21" customFormat="1" ht="22.5" customHeight="1" x14ac:dyDescent="0.2">
      <c r="A8" s="11"/>
      <c r="B8" s="13" t="s">
        <v>5</v>
      </c>
      <c r="C8" s="15" t="s">
        <v>241</v>
      </c>
      <c r="D8" s="15" t="s">
        <v>252</v>
      </c>
      <c r="E8" s="20" t="s">
        <v>242</v>
      </c>
      <c r="F8" s="20" t="s">
        <v>243</v>
      </c>
      <c r="G8" s="15" t="s">
        <v>251</v>
      </c>
      <c r="H8" s="15" t="s">
        <v>250</v>
      </c>
      <c r="I8"/>
    </row>
    <row r="9" spans="1:12" s="19" customFormat="1" ht="18.75" customHeight="1" x14ac:dyDescent="0.2">
      <c r="A9" s="11"/>
      <c r="B9" s="13">
        <f t="shared" ref="B9:B16" si="0">B10-1</f>
        <v>2006</v>
      </c>
      <c r="C9" s="22" t="s">
        <v>53</v>
      </c>
      <c r="D9" s="23"/>
      <c r="E9" s="24">
        <v>1</v>
      </c>
      <c r="F9" s="25">
        <v>0.98899999999999999</v>
      </c>
      <c r="G9" s="16">
        <f t="shared" ref="G9:G18" si="1">D9*F9*(1+$D$5)^(yoa-B9)</f>
        <v>0</v>
      </c>
      <c r="H9" s="26">
        <v>1000000000</v>
      </c>
      <c r="I9"/>
    </row>
    <row r="10" spans="1:12" s="19" customFormat="1" ht="18.75" customHeight="1" x14ac:dyDescent="0.2">
      <c r="A10" s="11"/>
      <c r="B10" s="13">
        <f t="shared" si="0"/>
        <v>2007</v>
      </c>
      <c r="C10" s="22" t="s">
        <v>53</v>
      </c>
      <c r="D10" s="23"/>
      <c r="E10" s="24">
        <v>1</v>
      </c>
      <c r="F10" s="25">
        <v>0.98</v>
      </c>
      <c r="G10" s="16">
        <f t="shared" si="1"/>
        <v>0</v>
      </c>
      <c r="H10" s="26">
        <v>1000000000</v>
      </c>
      <c r="I10"/>
    </row>
    <row r="11" spans="1:12" s="19" customFormat="1" ht="18.75" customHeight="1" x14ac:dyDescent="0.2">
      <c r="A11" s="11"/>
      <c r="B11" s="13">
        <f t="shared" si="0"/>
        <v>2008</v>
      </c>
      <c r="C11" s="22" t="s">
        <v>53</v>
      </c>
      <c r="D11" s="23"/>
      <c r="E11" s="24">
        <v>1</v>
      </c>
      <c r="F11" s="25">
        <v>0.97399999999999998</v>
      </c>
      <c r="G11" s="16">
        <f t="shared" si="1"/>
        <v>0</v>
      </c>
      <c r="H11" s="26">
        <v>1000000000</v>
      </c>
      <c r="I11"/>
    </row>
    <row r="12" spans="1:12" s="19" customFormat="1" ht="18.75" customHeight="1" x14ac:dyDescent="0.2">
      <c r="A12" s="11"/>
      <c r="B12" s="13">
        <f t="shared" si="0"/>
        <v>2009</v>
      </c>
      <c r="C12" s="22" t="s">
        <v>53</v>
      </c>
      <c r="D12" s="23"/>
      <c r="E12" s="24">
        <v>1</v>
      </c>
      <c r="F12" s="25">
        <v>0.95099999999999996</v>
      </c>
      <c r="G12" s="16">
        <f t="shared" si="1"/>
        <v>0</v>
      </c>
      <c r="H12" s="26">
        <v>1000000000</v>
      </c>
      <c r="I12"/>
    </row>
    <row r="13" spans="1:12" s="19" customFormat="1" ht="18.75" customHeight="1" x14ac:dyDescent="0.2">
      <c r="A13" s="11"/>
      <c r="B13" s="13">
        <f t="shared" si="0"/>
        <v>2010</v>
      </c>
      <c r="C13" s="22" t="s">
        <v>53</v>
      </c>
      <c r="D13" s="23"/>
      <c r="E13" s="24">
        <v>1</v>
      </c>
      <c r="F13" s="25">
        <v>0.93700000000000006</v>
      </c>
      <c r="G13" s="16">
        <f t="shared" si="1"/>
        <v>0</v>
      </c>
      <c r="H13" s="26">
        <v>1000000000</v>
      </c>
      <c r="I13"/>
    </row>
    <row r="14" spans="1:12" s="19" customFormat="1" ht="18.75" customHeight="1" x14ac:dyDescent="0.2">
      <c r="A14" s="11"/>
      <c r="B14" s="13">
        <f t="shared" si="0"/>
        <v>2011</v>
      </c>
      <c r="C14" s="22" t="s">
        <v>244</v>
      </c>
      <c r="D14" s="23"/>
      <c r="E14" s="24">
        <v>1</v>
      </c>
      <c r="F14" s="25">
        <v>0.91300000000000003</v>
      </c>
      <c r="G14" s="16">
        <f t="shared" si="1"/>
        <v>0</v>
      </c>
      <c r="H14" s="26">
        <v>1000000000</v>
      </c>
      <c r="I14"/>
    </row>
    <row r="15" spans="1:12" s="19" customFormat="1" ht="18.75" customHeight="1" x14ac:dyDescent="0.2">
      <c r="A15" s="11"/>
      <c r="B15" s="13">
        <f t="shared" si="0"/>
        <v>2012</v>
      </c>
      <c r="C15" s="22" t="s">
        <v>244</v>
      </c>
      <c r="D15" s="23"/>
      <c r="E15" s="24">
        <v>0.99009999999999998</v>
      </c>
      <c r="F15" s="25">
        <v>0.88800000000000001</v>
      </c>
      <c r="G15" s="16">
        <f t="shared" si="1"/>
        <v>0</v>
      </c>
      <c r="H15" s="26">
        <v>1000000000</v>
      </c>
      <c r="I15"/>
    </row>
    <row r="16" spans="1:12" s="19" customFormat="1" ht="18.75" customHeight="1" x14ac:dyDescent="0.2">
      <c r="A16" s="11"/>
      <c r="B16" s="13">
        <f t="shared" si="0"/>
        <v>2013</v>
      </c>
      <c r="C16" s="22" t="s">
        <v>244</v>
      </c>
      <c r="D16" s="23"/>
      <c r="E16" s="24">
        <v>0.95589999999999997</v>
      </c>
      <c r="F16" s="25">
        <v>0.89900000000000002</v>
      </c>
      <c r="G16" s="16">
        <f t="shared" si="1"/>
        <v>0</v>
      </c>
      <c r="H16" s="26">
        <v>1000000000</v>
      </c>
      <c r="I16"/>
    </row>
    <row r="17" spans="1:13" s="19" customFormat="1" ht="18.75" customHeight="1" x14ac:dyDescent="0.2">
      <c r="A17" s="11"/>
      <c r="B17" s="13">
        <f>B18-1</f>
        <v>2014</v>
      </c>
      <c r="C17" s="22" t="s">
        <v>244</v>
      </c>
      <c r="D17" s="23"/>
      <c r="E17" s="24">
        <v>0.85870000000000002</v>
      </c>
      <c r="F17" s="25">
        <v>0.90500000000000003</v>
      </c>
      <c r="G17" s="16">
        <f t="shared" si="1"/>
        <v>0</v>
      </c>
      <c r="H17" s="26">
        <v>1000000000</v>
      </c>
      <c r="I17"/>
    </row>
    <row r="18" spans="1:13" s="19" customFormat="1" ht="18.75" customHeight="1" x14ac:dyDescent="0.2">
      <c r="A18" s="11"/>
      <c r="B18" s="13">
        <f>IF(yoa="",0,yoa) -1</f>
        <v>2015</v>
      </c>
      <c r="C18" s="22" t="s">
        <v>244</v>
      </c>
      <c r="D18" s="23"/>
      <c r="E18" s="24">
        <v>0.68100000000000005</v>
      </c>
      <c r="F18" s="25">
        <v>1.0149999999999999</v>
      </c>
      <c r="G18" s="16">
        <f t="shared" si="1"/>
        <v>0</v>
      </c>
      <c r="H18" s="26">
        <v>1000000000</v>
      </c>
      <c r="I18"/>
    </row>
    <row r="19" spans="1:13" s="19" customFormat="1" ht="6.75" customHeight="1" x14ac:dyDescent="0.2">
      <c r="A19" s="11"/>
      <c r="B19" s="27"/>
      <c r="C19" s="28"/>
      <c r="D19" s="29"/>
      <c r="E19" s="30"/>
      <c r="F19" s="31"/>
      <c r="G19" s="31"/>
      <c r="H19" s="32"/>
      <c r="I19" s="32"/>
      <c r="J19"/>
    </row>
    <row r="20" spans="1:13" s="19" customFormat="1" ht="18.75" customHeight="1" x14ac:dyDescent="0.2">
      <c r="A20" s="11"/>
      <c r="B20" s="33" t="s">
        <v>245</v>
      </c>
      <c r="C20" s="34"/>
      <c r="D20" s="16">
        <f>SUMIF($C$9:$C$18, "=Y", D9:D18)</f>
        <v>0</v>
      </c>
      <c r="E20" s="35"/>
      <c r="F20" s="35"/>
      <c r="G20" s="33" t="s">
        <v>245</v>
      </c>
      <c r="H20" s="16">
        <f>SUMIF($C$9:$C$18, "=Y", H9:H18)</f>
        <v>5000000000</v>
      </c>
      <c r="I20"/>
    </row>
    <row r="21" spans="1:13" s="19" customFormat="1" ht="18.75" customHeight="1" x14ac:dyDescent="0.2">
      <c r="A21" s="11"/>
      <c r="B21" s="36" t="s">
        <v>246</v>
      </c>
      <c r="C21" s="37"/>
      <c r="D21" s="16">
        <f>SUMIF($C$9:$C$18, "=Y", D9:D18)/COUNTIF($C$9:$C$18, "=Y")</f>
        <v>0</v>
      </c>
      <c r="E21" s="35"/>
      <c r="F21" s="35"/>
      <c r="G21" s="36" t="s">
        <v>246</v>
      </c>
      <c r="H21" s="16">
        <f>SUMIF($C$9:$C$18, "=Y", H9:H18)/COUNTIF($C$9:$C$18, "=Y")</f>
        <v>1000000000</v>
      </c>
      <c r="I21"/>
    </row>
    <row r="22" spans="1:13" s="38" customFormat="1" ht="18.75" customHeight="1" x14ac:dyDescent="0.2">
      <c r="A22" s="11"/>
      <c r="B22" s="36" t="s">
        <v>247</v>
      </c>
      <c r="D22" s="16">
        <f>IFERROR(AVERAGE(D14:D18),0)</f>
        <v>0</v>
      </c>
      <c r="E22" s="35"/>
      <c r="F22" s="35"/>
      <c r="G22" s="36" t="s">
        <v>247</v>
      </c>
      <c r="H22" s="16">
        <f>IFERROR(AVERAGE(H14:H18),0)</f>
        <v>1000000000</v>
      </c>
      <c r="I22"/>
    </row>
    <row r="23" spans="1:13" s="38" customFormat="1" ht="18.75" customHeight="1" x14ac:dyDescent="0.2">
      <c r="A23" s="11"/>
      <c r="B23" s="11"/>
      <c r="C23" s="11"/>
      <c r="D23" s="11"/>
      <c r="E23" s="11"/>
      <c r="F23" s="35"/>
      <c r="G23" s="35"/>
      <c r="H23" s="35"/>
      <c r="I23" s="39"/>
      <c r="J23" s="40"/>
    </row>
    <row r="24" spans="1:13" s="19" customFormat="1" ht="18.75" customHeight="1" x14ac:dyDescent="0.2">
      <c r="A24" s="11"/>
      <c r="D24" s="13" t="s">
        <v>237</v>
      </c>
      <c r="E24" s="13" t="s">
        <v>238</v>
      </c>
      <c r="F24" s="35"/>
      <c r="G24" s="41"/>
      <c r="H24" s="41"/>
      <c r="I24" s="35"/>
      <c r="J24" s="35"/>
    </row>
    <row r="25" spans="1:13" s="19" customFormat="1" ht="18.75" customHeight="1" x14ac:dyDescent="0.2">
      <c r="A25" s="11"/>
      <c r="B25" s="93" t="s">
        <v>248</v>
      </c>
      <c r="C25" s="93"/>
      <c r="D25" s="16" t="e">
        <f>SUMIF(C9:C18,"Y",G9:G18)/SUMPRODUCT(--(C9:C18="Y"),E9:E18,H9:H18)*tiv</f>
        <v>#NAME?</v>
      </c>
      <c r="E25" s="16" t="e">
        <f>SUMIF(C9:C18,"Y",#REF!)/SUMPRODUCT(--(C9:C18="Y"),E9:E18,H9:H18)*tiv</f>
        <v>#REF!</v>
      </c>
      <c r="F25" s="35"/>
      <c r="G25" s="41"/>
      <c r="H25" s="41"/>
      <c r="I25" s="35"/>
      <c r="J25" s="35"/>
      <c r="M25" s="42"/>
    </row>
    <row r="26" spans="1:13" s="19" customFormat="1" ht="18.75" customHeight="1" x14ac:dyDescent="0.2">
      <c r="A26" s="11"/>
      <c r="B26" s="94" t="s">
        <v>249</v>
      </c>
      <c r="C26" s="95"/>
      <c r="D26" s="96" t="e">
        <f>hull_experience+liab_experience</f>
        <v>#NAME?</v>
      </c>
      <c r="E26" s="97"/>
      <c r="F26" s="35"/>
      <c r="G26" s="35"/>
      <c r="H26" s="35"/>
      <c r="I26" s="35"/>
      <c r="J26" s="35"/>
    </row>
    <row r="27" spans="1:13" ht="18.75" customHeight="1" x14ac:dyDescent="0.2"/>
    <row r="28" spans="1:13" ht="18.75" customHeight="1" x14ac:dyDescent="0.2"/>
    <row r="29" spans="1:13" ht="18.75" customHeight="1" x14ac:dyDescent="0.2"/>
    <row r="30" spans="1:13" ht="18.75" customHeight="1" x14ac:dyDescent="0.2"/>
    <row r="31" spans="1:13" ht="18.75" customHeight="1" x14ac:dyDescent="0.2"/>
    <row r="32" spans="1:13" ht="18.75" customHeight="1" x14ac:dyDescent="0.2"/>
    <row r="33" ht="18.75" customHeight="1" x14ac:dyDescent="0.2"/>
    <row r="34" ht="18.75" customHeight="1" x14ac:dyDescent="0.2"/>
    <row r="35" ht="18.75" customHeight="1" x14ac:dyDescent="0.2"/>
  </sheetData>
  <protectedRanges>
    <protectedRange sqref="J19 H9:H18 C9:D19" name="Range1"/>
    <protectedRange sqref="D5 G5" name="Range1_1"/>
  </protectedRanges>
  <mergeCells count="6">
    <mergeCell ref="B1:I2"/>
    <mergeCell ref="B5:C5"/>
    <mergeCell ref="E7:F7"/>
    <mergeCell ref="B25:C25"/>
    <mergeCell ref="B26:C26"/>
    <mergeCell ref="D26:E26"/>
  </mergeCells>
  <conditionalFormatting sqref="D20:D21 H19:I19 G9:G18 H20:H21">
    <cfRule type="cellIs" dxfId="16" priority="14" operator="equal">
      <formula>#REF!</formula>
    </cfRule>
  </conditionalFormatting>
  <conditionalFormatting sqref="D22">
    <cfRule type="cellIs" dxfId="15" priority="12" operator="equal">
      <formula>#REF!</formula>
    </cfRule>
  </conditionalFormatting>
  <conditionalFormatting sqref="H22">
    <cfRule type="cellIs" dxfId="14" priority="6" operator="equal">
      <formula>#REF!</formula>
    </cfRule>
  </conditionalFormatting>
  <conditionalFormatting sqref="D25:E25">
    <cfRule type="cellIs" dxfId="13" priority="5" operator="equal">
      <formula>#REF!</formula>
    </cfRule>
  </conditionalFormatting>
  <conditionalFormatting sqref="I6">
    <cfRule type="expression" dxfId="12" priority="15">
      <formula>AND(MAX($H$9:$H$18)&gt;0, ABS(MAX($H$9:$H$18) - $J$5)/MAX($H$9:$H$18) &gt; 0.4)</formula>
    </cfRule>
  </conditionalFormatting>
  <dataValidations disablePrompts="1" count="1">
    <dataValidation type="list" allowBlank="1" showInputMessage="1" showErrorMessage="1" sqref="C9:C18">
      <formula1>"Y,N"</formula1>
    </dataValidation>
  </dataValidations>
  <pageMargins left="0.70866141732283472" right="0.70866141732283472" top="0.74803149606299213" bottom="0.74803149606299213" header="0.31496062992125984" footer="0.31496062992125984"/>
  <pageSetup paperSize="9" scale="98" orientation="portrait" r:id="rId1"/>
  <headerFooter>
    <oddHeader>&amp;C&amp;"Calibri,Bold"&amp;11Experience Rating</oddHeader>
    <oddFooter>&amp;L&amp;Z&amp;F&amp;R&amp;P</oddFooter>
  </headerFooter>
  <colBreaks count="1" manualBreakCount="1">
    <brk id="9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M36"/>
  <sheetViews>
    <sheetView showGridLines="0" topLeftCell="B1" workbookViewId="0">
      <selection activeCell="J48" sqref="J48"/>
    </sheetView>
  </sheetViews>
  <sheetFormatPr defaultRowHeight="11.25" x14ac:dyDescent="0.2"/>
  <cols>
    <col min="3" max="5" width="14.83203125" customWidth="1"/>
    <col min="6" max="6" width="2.6640625" customWidth="1"/>
    <col min="7" max="10" width="16" customWidth="1"/>
    <col min="11" max="11" width="17.33203125" customWidth="1"/>
    <col min="12" max="12" width="1.33203125" customWidth="1"/>
    <col min="13" max="13" width="21.1640625" customWidth="1"/>
  </cols>
  <sheetData>
    <row r="1" spans="3:13" ht="11.25" customHeight="1" x14ac:dyDescent="0.2">
      <c r="C1" s="98" t="s">
        <v>258</v>
      </c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3:13" ht="11.25" customHeight="1" x14ac:dyDescent="0.2">
      <c r="C2" s="98"/>
      <c r="D2" s="99"/>
      <c r="E2" s="99"/>
      <c r="F2" s="99"/>
      <c r="G2" s="99"/>
      <c r="H2" s="99"/>
      <c r="I2" s="99"/>
      <c r="J2" s="99"/>
      <c r="K2" s="99"/>
      <c r="L2" s="99"/>
      <c r="M2" s="99"/>
    </row>
    <row r="4" spans="3:13" x14ac:dyDescent="0.2">
      <c r="C4" s="1" t="s">
        <v>0</v>
      </c>
      <c r="D4" s="100" t="str">
        <f>'Quote Info'!C4</f>
        <v>BRICKPOINT</v>
      </c>
      <c r="E4" s="101"/>
      <c r="G4" s="1" t="s">
        <v>253</v>
      </c>
      <c r="H4" s="6">
        <f>COUNT('Fire Locations'!A1:A139)</f>
        <v>138</v>
      </c>
      <c r="K4" s="1" t="s">
        <v>280</v>
      </c>
      <c r="L4" s="50"/>
      <c r="M4" s="52"/>
    </row>
    <row r="5" spans="3:13" x14ac:dyDescent="0.2">
      <c r="C5" s="1" t="s">
        <v>115</v>
      </c>
      <c r="D5" s="100" t="str">
        <f>IF('Quote Info'!C6="","",'Quote Info'!C6)</f>
        <v/>
      </c>
      <c r="E5" s="101"/>
      <c r="G5" s="1" t="s">
        <v>254</v>
      </c>
      <c r="H5" s="6">
        <f>H4</f>
        <v>138</v>
      </c>
      <c r="K5" s="1" t="s">
        <v>59</v>
      </c>
      <c r="M5" s="52" t="s">
        <v>281</v>
      </c>
    </row>
    <row r="6" spans="3:13" x14ac:dyDescent="0.2">
      <c r="C6" s="1" t="s">
        <v>6</v>
      </c>
      <c r="D6" s="102">
        <f>'Quote Info'!C13</f>
        <v>42710</v>
      </c>
      <c r="E6" s="103"/>
      <c r="G6" s="1" t="s">
        <v>255</v>
      </c>
      <c r="H6" s="43">
        <f>SUM('Fire Locations'!T2:T139)</f>
        <v>261421712.99149993</v>
      </c>
      <c r="K6" s="1" t="s">
        <v>72</v>
      </c>
      <c r="M6" s="52" t="s">
        <v>342</v>
      </c>
    </row>
    <row r="7" spans="3:13" x14ac:dyDescent="0.2">
      <c r="G7" s="1" t="s">
        <v>256</v>
      </c>
      <c r="H7" s="43">
        <f>SUM('Fire Locations'!V2:V139)</f>
        <v>100000</v>
      </c>
      <c r="K7" s="1" t="s">
        <v>282</v>
      </c>
      <c r="M7" s="52"/>
    </row>
    <row r="8" spans="3:13" x14ac:dyDescent="0.2">
      <c r="G8" s="1" t="s">
        <v>257</v>
      </c>
      <c r="H8" s="43">
        <f>SUM('Fire Locations'!X2:X139)</f>
        <v>18821679</v>
      </c>
      <c r="K8" s="1" t="s">
        <v>284</v>
      </c>
      <c r="M8" s="52"/>
    </row>
    <row r="9" spans="3:13" x14ac:dyDescent="0.2">
      <c r="G9" s="1" t="s">
        <v>250</v>
      </c>
      <c r="H9" s="43">
        <f>SUM(H6:H8)</f>
        <v>280343391.9914999</v>
      </c>
      <c r="K9" s="1" t="s">
        <v>286</v>
      </c>
      <c r="L9" s="50"/>
      <c r="M9" s="52"/>
    </row>
    <row r="10" spans="3:13" x14ac:dyDescent="0.2">
      <c r="J10" s="50"/>
      <c r="K10" s="50"/>
      <c r="L10" s="50"/>
      <c r="M10" s="51"/>
    </row>
    <row r="11" spans="3:13" x14ac:dyDescent="0.2">
      <c r="C11" s="98" t="s">
        <v>265</v>
      </c>
      <c r="D11" s="99"/>
      <c r="E11" s="99"/>
      <c r="F11" s="99"/>
      <c r="G11" s="99"/>
      <c r="H11" s="99"/>
      <c r="I11" s="99"/>
      <c r="J11" s="99"/>
      <c r="K11" s="99"/>
      <c r="L11" s="99"/>
      <c r="M11" s="99"/>
    </row>
    <row r="12" spans="3:13" x14ac:dyDescent="0.2">
      <c r="C12" s="98"/>
      <c r="D12" s="99"/>
      <c r="E12" s="99"/>
      <c r="F12" s="99"/>
      <c r="G12" s="99"/>
      <c r="H12" s="99"/>
      <c r="I12" s="99"/>
      <c r="J12" s="99"/>
      <c r="K12" s="99"/>
      <c r="L12" s="99"/>
      <c r="M12" s="99"/>
    </row>
    <row r="14" spans="3:13" x14ac:dyDescent="0.2">
      <c r="G14" s="1" t="s">
        <v>288</v>
      </c>
      <c r="H14" s="10">
        <v>10000</v>
      </c>
    </row>
    <row r="15" spans="3:13" x14ac:dyDescent="0.2">
      <c r="J15" s="45" t="s">
        <v>263</v>
      </c>
      <c r="K15" s="46" t="s">
        <v>272</v>
      </c>
    </row>
    <row r="16" spans="3:13" s="44" customFormat="1" ht="22.5" x14ac:dyDescent="0.2">
      <c r="J16" s="45" t="s">
        <v>262</v>
      </c>
      <c r="K16" s="46" t="s">
        <v>260</v>
      </c>
    </row>
    <row r="17" spans="3:13" s="44" customFormat="1" x14ac:dyDescent="0.2"/>
    <row r="18" spans="3:13" s="44" customFormat="1" ht="22.5" x14ac:dyDescent="0.2">
      <c r="D18" s="45" t="s">
        <v>10</v>
      </c>
      <c r="E18" s="45" t="s">
        <v>11</v>
      </c>
      <c r="G18" s="45" t="s">
        <v>266</v>
      </c>
      <c r="H18" s="47" t="s">
        <v>267</v>
      </c>
      <c r="I18" s="47" t="s">
        <v>268</v>
      </c>
      <c r="J18" s="45" t="s">
        <v>269</v>
      </c>
      <c r="K18" s="45" t="s">
        <v>270</v>
      </c>
      <c r="M18" s="45" t="s">
        <v>271</v>
      </c>
    </row>
    <row r="19" spans="3:13" x14ac:dyDescent="0.2">
      <c r="C19" s="1">
        <v>1</v>
      </c>
      <c r="D19" s="10">
        <v>1000000000</v>
      </c>
      <c r="E19" s="10">
        <v>1000000</v>
      </c>
      <c r="G19" s="43"/>
      <c r="H19" s="43"/>
      <c r="I19" s="43"/>
      <c r="J19" s="43"/>
      <c r="K19" s="43"/>
      <c r="M19" s="43"/>
    </row>
    <row r="20" spans="3:13" x14ac:dyDescent="0.2">
      <c r="C20" s="1">
        <v>2</v>
      </c>
      <c r="D20" s="10"/>
      <c r="E20" s="10"/>
      <c r="G20" s="43"/>
      <c r="H20" s="43"/>
      <c r="I20" s="43"/>
      <c r="J20" s="43"/>
      <c r="K20" s="43"/>
      <c r="M20" s="43"/>
    </row>
    <row r="21" spans="3:13" x14ac:dyDescent="0.2">
      <c r="C21" s="1">
        <v>3</v>
      </c>
      <c r="D21" s="10"/>
      <c r="E21" s="10"/>
      <c r="G21" s="43"/>
      <c r="H21" s="43"/>
      <c r="I21" s="43"/>
      <c r="J21" s="43"/>
      <c r="K21" s="43"/>
      <c r="M21" s="43"/>
    </row>
    <row r="22" spans="3:13" x14ac:dyDescent="0.2">
      <c r="C22" s="1">
        <v>4</v>
      </c>
      <c r="D22" s="10"/>
      <c r="E22" s="10"/>
      <c r="G22" s="43"/>
      <c r="H22" s="43"/>
      <c r="I22" s="43"/>
      <c r="J22" s="43"/>
      <c r="K22" s="43"/>
      <c r="M22" s="43"/>
    </row>
    <row r="23" spans="3:13" x14ac:dyDescent="0.2">
      <c r="C23" s="1">
        <v>5</v>
      </c>
      <c r="D23" s="10"/>
      <c r="E23" s="10"/>
      <c r="G23" s="43"/>
      <c r="H23" s="43"/>
      <c r="I23" s="43"/>
      <c r="J23" s="43"/>
      <c r="K23" s="43"/>
      <c r="M23" s="43"/>
    </row>
    <row r="25" spans="3:13" x14ac:dyDescent="0.2">
      <c r="C25" s="8" t="s">
        <v>287</v>
      </c>
    </row>
    <row r="33" spans="3:13" x14ac:dyDescent="0.2">
      <c r="C33" s="98" t="s">
        <v>289</v>
      </c>
      <c r="D33" s="99"/>
      <c r="E33" s="99"/>
      <c r="F33" s="99"/>
      <c r="G33" s="99"/>
      <c r="H33" s="99"/>
      <c r="I33" s="99"/>
      <c r="J33" s="99"/>
      <c r="K33" s="99"/>
      <c r="L33" s="99"/>
      <c r="M33" s="99"/>
    </row>
    <row r="34" spans="3:13" x14ac:dyDescent="0.2">
      <c r="C34" s="98"/>
      <c r="D34" s="99"/>
      <c r="E34" s="99"/>
      <c r="F34" s="99"/>
      <c r="G34" s="99"/>
      <c r="H34" s="99"/>
      <c r="I34" s="99"/>
      <c r="J34" s="99"/>
      <c r="K34" s="99"/>
      <c r="L34" s="99"/>
      <c r="M34" s="99"/>
    </row>
    <row r="36" spans="3:13" x14ac:dyDescent="0.2">
      <c r="C36" t="s">
        <v>291</v>
      </c>
    </row>
  </sheetData>
  <mergeCells count="6">
    <mergeCell ref="C33:M34"/>
    <mergeCell ref="C1:M2"/>
    <mergeCell ref="C11:M12"/>
    <mergeCell ref="D4:E4"/>
    <mergeCell ref="D5:E5"/>
    <mergeCell ref="D6:E6"/>
  </mergeCells>
  <conditionalFormatting sqref="H4:H6 H9">
    <cfRule type="expression" dxfId="11" priority="18">
      <formula>ABS(H4-G4)/G4&gt;0.1</formula>
    </cfRule>
  </conditionalFormatting>
  <conditionalFormatting sqref="H7">
    <cfRule type="expression" dxfId="10" priority="17">
      <formula>ABS(H7-E7)/E7&gt;0.1</formula>
    </cfRule>
  </conditionalFormatting>
  <conditionalFormatting sqref="H8">
    <cfRule type="expression" dxfId="9" priority="16">
      <formula>ABS(H8-#REF!)/#REF!&gt;0.1</formula>
    </cfRule>
  </conditionalFormatting>
  <conditionalFormatting sqref="M19:M23">
    <cfRule type="expression" dxfId="8" priority="14">
      <formula>ABS(M19-L19)/L19&gt;0.1</formula>
    </cfRule>
  </conditionalFormatting>
  <conditionalFormatting sqref="G19:K23">
    <cfRule type="expression" dxfId="7" priority="15">
      <formula>ABS(G19-F19)/F19&gt;0.1</formula>
    </cfRule>
  </conditionalFormatting>
  <conditionalFormatting sqref="M4:M10">
    <cfRule type="cellIs" dxfId="6" priority="4" stopIfTrue="1" operator="equal">
      <formula>"Poor"</formula>
    </cfRule>
    <cfRule type="cellIs" dxfId="5" priority="5" stopIfTrue="1" operator="equal">
      <formula>"Fair"</formula>
    </cfRule>
    <cfRule type="cellIs" dxfId="4" priority="6" stopIfTrue="1" operator="equal">
      <formula>"Good"</formula>
    </cfRule>
    <cfRule type="cellIs" dxfId="3" priority="7" stopIfTrue="1" operator="equal">
      <formula>"Very good"</formula>
    </cfRule>
  </conditionalFormatting>
  <conditionalFormatting sqref="M9:M10">
    <cfRule type="cellIs" dxfId="2" priority="2" stopIfTrue="1" operator="equal">
      <formula>"Known"</formula>
    </cfRule>
    <cfRule type="cellIs" dxfId="1" priority="3" stopIfTrue="1" operator="equal">
      <formula>"Unknown"</formula>
    </cfRule>
  </conditionalFormatting>
  <conditionalFormatting sqref="D4:D6">
    <cfRule type="expression" dxfId="0" priority="1">
      <formula>ABS(D4-C4)/C4&gt;0.1</formula>
    </cfRule>
  </conditionalFormatting>
  <dataValidations count="2">
    <dataValidation type="list" allowBlank="1" showInputMessage="1" showErrorMessage="1" sqref="K16">
      <formula1>v_cat_model</formula1>
    </dataValidation>
    <dataValidation type="list" allowBlank="1" showInputMessage="1" showErrorMessage="1" sqref="K15">
      <formula1>v_fire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workbookViewId="0">
      <selection activeCell="M35" sqref="M35"/>
    </sheetView>
  </sheetViews>
  <sheetFormatPr defaultRowHeight="11.2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  <pageSetUpPr fitToPage="1"/>
  </sheetPr>
  <dimension ref="B1:O13"/>
  <sheetViews>
    <sheetView showGridLines="0" zoomScaleNormal="100" workbookViewId="0">
      <selection activeCell="O45" sqref="O45"/>
    </sheetView>
  </sheetViews>
  <sheetFormatPr defaultRowHeight="11.25" x14ac:dyDescent="0.2"/>
  <cols>
    <col min="1" max="2" width="9.33203125" style="58"/>
    <col min="3" max="3" width="9.33203125" style="74"/>
    <col min="4" max="16384" width="9.33203125" style="58"/>
  </cols>
  <sheetData>
    <row r="1" spans="2:15" x14ac:dyDescent="0.2">
      <c r="C1" s="59" t="s">
        <v>332</v>
      </c>
    </row>
    <row r="2" spans="2:15" x14ac:dyDescent="0.2">
      <c r="C2" s="59"/>
    </row>
    <row r="3" spans="2:15" x14ac:dyDescent="0.2">
      <c r="C3" s="60"/>
      <c r="D3" s="1" t="s">
        <v>313</v>
      </c>
      <c r="E3" s="1" t="s">
        <v>314</v>
      </c>
      <c r="F3" s="1" t="s">
        <v>315</v>
      </c>
      <c r="G3" s="1" t="s">
        <v>316</v>
      </c>
      <c r="H3" s="1" t="s">
        <v>317</v>
      </c>
      <c r="I3" s="1" t="s">
        <v>318</v>
      </c>
      <c r="J3" s="1" t="s">
        <v>319</v>
      </c>
      <c r="K3" s="1" t="s">
        <v>320</v>
      </c>
      <c r="L3" s="1" t="s">
        <v>321</v>
      </c>
      <c r="M3" s="1" t="s">
        <v>322</v>
      </c>
      <c r="N3" s="1" t="s">
        <v>323</v>
      </c>
      <c r="O3" s="1" t="s">
        <v>324</v>
      </c>
    </row>
    <row r="4" spans="2:15" x14ac:dyDescent="0.2">
      <c r="C4" s="61" t="s">
        <v>325</v>
      </c>
      <c r="D4" s="62">
        <v>0</v>
      </c>
      <c r="E4" s="63">
        <v>0</v>
      </c>
      <c r="F4" s="63">
        <v>0</v>
      </c>
      <c r="G4" s="63">
        <v>0</v>
      </c>
      <c r="H4" s="63">
        <v>3.4013605442176867E-2</v>
      </c>
      <c r="I4" s="63">
        <v>8.1632653061224469E-2</v>
      </c>
      <c r="J4" s="63">
        <v>0.19047619047619047</v>
      </c>
      <c r="K4" s="63">
        <v>0.27210884353741494</v>
      </c>
      <c r="L4" s="63">
        <v>0.23809523809523805</v>
      </c>
      <c r="M4" s="63">
        <v>0.17006802721088432</v>
      </c>
      <c r="N4" s="63">
        <v>1.3605442176870746E-2</v>
      </c>
      <c r="O4" s="64">
        <v>0</v>
      </c>
    </row>
    <row r="5" spans="2:15" x14ac:dyDescent="0.2">
      <c r="C5" s="61" t="s">
        <v>326</v>
      </c>
      <c r="D5" s="65">
        <v>2.5236593059936911E-2</v>
      </c>
      <c r="E5" s="66">
        <v>6.3091482649842278E-3</v>
      </c>
      <c r="F5" s="66">
        <v>1.8927444794952682E-2</v>
      </c>
      <c r="G5" s="66">
        <v>3.1545741324921141E-2</v>
      </c>
      <c r="H5" s="66">
        <v>3.7854889589905363E-2</v>
      </c>
      <c r="I5" s="66">
        <v>6.3091482649842281E-2</v>
      </c>
      <c r="J5" s="66">
        <v>0.12618296529968456</v>
      </c>
      <c r="K5" s="66">
        <v>0.15772870662460567</v>
      </c>
      <c r="L5" s="66">
        <v>0.19242902208201892</v>
      </c>
      <c r="M5" s="66">
        <v>0.17350157728706628</v>
      </c>
      <c r="N5" s="66">
        <v>0.11041009463722397</v>
      </c>
      <c r="O5" s="67">
        <v>5.6782334384858045E-2</v>
      </c>
    </row>
    <row r="6" spans="2:15" x14ac:dyDescent="0.2">
      <c r="C6" s="61" t="s">
        <v>327</v>
      </c>
      <c r="D6" s="65">
        <v>0</v>
      </c>
      <c r="E6" s="66">
        <v>0</v>
      </c>
      <c r="F6" s="66">
        <v>0</v>
      </c>
      <c r="G6" s="66">
        <v>0</v>
      </c>
      <c r="H6" s="66">
        <v>0</v>
      </c>
      <c r="I6" s="66">
        <v>3.2520325203252036E-2</v>
      </c>
      <c r="J6" s="66">
        <v>4.0650406504065047E-2</v>
      </c>
      <c r="K6" s="66">
        <v>0.28455284552845528</v>
      </c>
      <c r="L6" s="66">
        <v>0.41463414634146345</v>
      </c>
      <c r="M6" s="66">
        <v>0.18699186991869921</v>
      </c>
      <c r="N6" s="66">
        <v>4.0650406504065047E-2</v>
      </c>
      <c r="O6" s="67">
        <v>0</v>
      </c>
    </row>
    <row r="7" spans="2:15" x14ac:dyDescent="0.2">
      <c r="C7" s="61" t="s">
        <v>328</v>
      </c>
      <c r="D7" s="65">
        <v>0</v>
      </c>
      <c r="E7" s="66">
        <v>0</v>
      </c>
      <c r="F7" s="66">
        <v>0</v>
      </c>
      <c r="G7" s="66">
        <v>5.8823529411764705E-2</v>
      </c>
      <c r="H7" s="66">
        <v>0.1764705882352941</v>
      </c>
      <c r="I7" s="66">
        <v>5.8823529411764705E-2</v>
      </c>
      <c r="J7" s="66">
        <v>0</v>
      </c>
      <c r="K7" s="66">
        <v>0</v>
      </c>
      <c r="L7" s="66">
        <v>5.8823529411764705E-2</v>
      </c>
      <c r="M7" s="66">
        <v>0.23529411764705882</v>
      </c>
      <c r="N7" s="66">
        <v>0.29411764705882354</v>
      </c>
      <c r="O7" s="67">
        <v>0.11764705882352941</v>
      </c>
    </row>
    <row r="8" spans="2:15" x14ac:dyDescent="0.2">
      <c r="C8" s="61" t="s">
        <v>329</v>
      </c>
      <c r="D8" s="65">
        <v>0.21818181818181814</v>
      </c>
      <c r="E8" s="66">
        <v>0.25454545454545457</v>
      </c>
      <c r="F8" s="66">
        <v>0.23636363636363636</v>
      </c>
      <c r="G8" s="66">
        <v>9.0909090909090912E-2</v>
      </c>
      <c r="H8" s="66">
        <v>0</v>
      </c>
      <c r="I8" s="66">
        <v>0</v>
      </c>
      <c r="J8" s="66">
        <v>0</v>
      </c>
      <c r="K8" s="66">
        <v>0</v>
      </c>
      <c r="L8" s="66">
        <v>0</v>
      </c>
      <c r="M8" s="66">
        <v>1.8181818181818181E-2</v>
      </c>
      <c r="N8" s="66">
        <v>3.6363636363636362E-2</v>
      </c>
      <c r="O8" s="67">
        <v>0.14545454545454545</v>
      </c>
    </row>
    <row r="9" spans="2:15" x14ac:dyDescent="0.2">
      <c r="C9" s="61" t="s">
        <v>330</v>
      </c>
      <c r="D9" s="65">
        <v>0.14102564102564102</v>
      </c>
      <c r="E9" s="66">
        <v>0.19230769230769229</v>
      </c>
      <c r="F9" s="66">
        <v>0.29487179487179488</v>
      </c>
      <c r="G9" s="66">
        <v>0.15384615384615383</v>
      </c>
      <c r="H9" s="66">
        <v>1.282051282051282E-2</v>
      </c>
      <c r="I9" s="66">
        <v>0</v>
      </c>
      <c r="J9" s="66">
        <v>0</v>
      </c>
      <c r="K9" s="66">
        <v>0</v>
      </c>
      <c r="L9" s="66">
        <v>0</v>
      </c>
      <c r="M9" s="66">
        <v>3.8461538461538457E-2</v>
      </c>
      <c r="N9" s="66">
        <v>6.4102564102564111E-2</v>
      </c>
      <c r="O9" s="67">
        <v>0.10256410256410256</v>
      </c>
    </row>
    <row r="10" spans="2:15" x14ac:dyDescent="0.2">
      <c r="C10" s="61" t="s">
        <v>331</v>
      </c>
      <c r="D10" s="68">
        <v>0.33980582524271841</v>
      </c>
      <c r="E10" s="69">
        <v>0.20388349514563106</v>
      </c>
      <c r="F10" s="69">
        <v>0.1553398058252427</v>
      </c>
      <c r="G10" s="69">
        <v>0.11650485436893203</v>
      </c>
      <c r="H10" s="69">
        <v>2.9126213592233007E-2</v>
      </c>
      <c r="I10" s="69">
        <v>0</v>
      </c>
      <c r="J10" s="69">
        <v>0</v>
      </c>
      <c r="K10" s="69">
        <v>0</v>
      </c>
      <c r="L10" s="69">
        <v>0</v>
      </c>
      <c r="M10" s="69">
        <v>2.9126213592233007E-2</v>
      </c>
      <c r="N10" s="69">
        <v>9.7087378640776691E-3</v>
      </c>
      <c r="O10" s="70">
        <v>0.11650485436893203</v>
      </c>
    </row>
    <row r="12" spans="2:15" x14ac:dyDescent="0.2">
      <c r="D12" s="75" t="str">
        <f>D3</f>
        <v>Jan</v>
      </c>
      <c r="E12" s="75" t="str">
        <f t="shared" ref="E12:O12" si="0">E3</f>
        <v>Feb</v>
      </c>
      <c r="F12" s="75" t="str">
        <f t="shared" si="0"/>
        <v>Mar</v>
      </c>
      <c r="G12" s="75" t="str">
        <f t="shared" si="0"/>
        <v>Apr</v>
      </c>
      <c r="H12" s="75" t="str">
        <f t="shared" si="0"/>
        <v>May</v>
      </c>
      <c r="I12" s="75" t="str">
        <f t="shared" si="0"/>
        <v>Jun</v>
      </c>
      <c r="J12" s="75" t="str">
        <f t="shared" si="0"/>
        <v>Jul</v>
      </c>
      <c r="K12" s="75" t="str">
        <f t="shared" si="0"/>
        <v>Aug</v>
      </c>
      <c r="L12" s="75" t="str">
        <f t="shared" si="0"/>
        <v>Sep</v>
      </c>
      <c r="M12" s="75" t="str">
        <f t="shared" si="0"/>
        <v>Oct</v>
      </c>
      <c r="N12" s="75" t="str">
        <f t="shared" si="0"/>
        <v>Nov</v>
      </c>
      <c r="O12" s="75" t="str">
        <f t="shared" si="0"/>
        <v>Dec</v>
      </c>
    </row>
    <row r="13" spans="2:15" ht="15" customHeight="1" x14ac:dyDescent="0.2">
      <c r="B13" s="104" t="s">
        <v>327</v>
      </c>
      <c r="C13" s="105"/>
      <c r="D13" s="71">
        <f>INDEX(D$4:D$10,MATCH($B13,$C$4:$C$10,0))</f>
        <v>0</v>
      </c>
      <c r="E13" s="72">
        <f t="shared" ref="E13:O13" si="1">INDEX(E$4:E$10,MATCH($B13,$C$4:$C$10,0))</f>
        <v>0</v>
      </c>
      <c r="F13" s="72">
        <f t="shared" si="1"/>
        <v>0</v>
      </c>
      <c r="G13" s="72">
        <f t="shared" si="1"/>
        <v>0</v>
      </c>
      <c r="H13" s="72">
        <f t="shared" si="1"/>
        <v>0</v>
      </c>
      <c r="I13" s="72">
        <f t="shared" si="1"/>
        <v>3.2520325203252036E-2</v>
      </c>
      <c r="J13" s="72">
        <f t="shared" si="1"/>
        <v>4.0650406504065047E-2</v>
      </c>
      <c r="K13" s="72">
        <f t="shared" si="1"/>
        <v>0.28455284552845528</v>
      </c>
      <c r="L13" s="72">
        <f t="shared" si="1"/>
        <v>0.41463414634146345</v>
      </c>
      <c r="M13" s="72">
        <f t="shared" si="1"/>
        <v>0.18699186991869921</v>
      </c>
      <c r="N13" s="72">
        <f t="shared" si="1"/>
        <v>4.0650406504065047E-2</v>
      </c>
      <c r="O13" s="73">
        <f t="shared" si="1"/>
        <v>0</v>
      </c>
    </row>
  </sheetData>
  <sheetProtection sheet="1" objects="1" scenarios="1"/>
  <mergeCells count="1">
    <mergeCell ref="B13:C13"/>
  </mergeCells>
  <dataValidations count="1">
    <dataValidation type="list" allowBlank="1" showInputMessage="1" showErrorMessage="1" sqref="B13">
      <formula1>$C$4:$C$10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R43" sqref="R43"/>
    </sheetView>
  </sheetViews>
  <sheetFormatPr defaultRowHeight="11.25" x14ac:dyDescent="0.2"/>
  <sheetData>
    <row r="1" spans="1:4" x14ac:dyDescent="0.2">
      <c r="A1" t="s">
        <v>62</v>
      </c>
      <c r="B1" t="s">
        <v>259</v>
      </c>
      <c r="C1" t="s">
        <v>264</v>
      </c>
      <c r="D1" t="s">
        <v>343</v>
      </c>
    </row>
    <row r="2" spans="1:4" x14ac:dyDescent="0.2">
      <c r="A2" t="s">
        <v>55</v>
      </c>
      <c r="B2" t="s">
        <v>260</v>
      </c>
      <c r="C2" t="s">
        <v>272</v>
      </c>
      <c r="D2" t="s">
        <v>281</v>
      </c>
    </row>
    <row r="3" spans="1:4" x14ac:dyDescent="0.2">
      <c r="A3" t="s">
        <v>56</v>
      </c>
      <c r="B3" t="s">
        <v>261</v>
      </c>
      <c r="C3" t="s">
        <v>273</v>
      </c>
      <c r="D3" t="s">
        <v>285</v>
      </c>
    </row>
    <row r="4" spans="1:4" x14ac:dyDescent="0.2">
      <c r="A4" t="s">
        <v>57</v>
      </c>
      <c r="C4" t="s">
        <v>274</v>
      </c>
      <c r="D4" t="s">
        <v>342</v>
      </c>
    </row>
    <row r="5" spans="1:4" x14ac:dyDescent="0.2">
      <c r="D5" t="s">
        <v>283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W39"/>
  <sheetViews>
    <sheetView workbookViewId="0">
      <selection activeCell="A2" sqref="A2"/>
    </sheetView>
  </sheetViews>
  <sheetFormatPr defaultRowHeight="15" x14ac:dyDescent="0.25"/>
  <cols>
    <col min="1" max="1" width="67.33203125" style="55" customWidth="1"/>
    <col min="2" max="16384" width="9.33203125" style="55"/>
  </cols>
  <sheetData>
    <row r="2" spans="1:1" x14ac:dyDescent="0.25">
      <c r="A2" s="55" t="str">
        <f>RExec(A4:A39,)</f>
        <v>#RExec# 0.3441808</v>
      </c>
    </row>
    <row r="4" spans="1:1" x14ac:dyDescent="0.25">
      <c r="A4" s="55" t="s">
        <v>295</v>
      </c>
    </row>
    <row r="5" spans="1:1" x14ac:dyDescent="0.25">
      <c r="A5" s="55" t="str">
        <f>"level = """&amp;LOWER(map_level) &amp; """"</f>
        <v>level = "county"</v>
      </c>
    </row>
    <row r="6" spans="1:1" x14ac:dyDescent="0.25">
      <c r="A6" s="55" t="s">
        <v>333</v>
      </c>
    </row>
    <row r="7" spans="1:1" x14ac:dyDescent="0.25">
      <c r="A7" s="55" t="s">
        <v>311</v>
      </c>
    </row>
    <row r="8" spans="1:1" x14ac:dyDescent="0.25">
      <c r="A8" s="55" t="s">
        <v>335</v>
      </c>
    </row>
    <row r="9" spans="1:1" x14ac:dyDescent="0.25">
      <c r="A9" s="55" t="s">
        <v>334</v>
      </c>
    </row>
    <row r="11" spans="1:1" x14ac:dyDescent="0.25">
      <c r="A11" s="55" t="s">
        <v>296</v>
      </c>
    </row>
    <row r="12" spans="1:1" x14ac:dyDescent="0.25">
      <c r="A12" s="55" t="s">
        <v>297</v>
      </c>
    </row>
    <row r="13" spans="1:1" x14ac:dyDescent="0.25">
      <c r="A13" s="55" t="s">
        <v>298</v>
      </c>
    </row>
    <row r="14" spans="1:1" x14ac:dyDescent="0.25">
      <c r="A14" s="55" t="s">
        <v>299</v>
      </c>
    </row>
    <row r="16" spans="1:1" x14ac:dyDescent="0.25">
      <c r="A16" s="55" t="s">
        <v>300</v>
      </c>
    </row>
    <row r="19" spans="1:23" x14ac:dyDescent="0.25">
      <c r="A19" s="55" t="s">
        <v>301</v>
      </c>
    </row>
    <row r="20" spans="1:23" x14ac:dyDescent="0.25">
      <c r="A20" s="55" t="s">
        <v>302</v>
      </c>
    </row>
    <row r="21" spans="1:23" x14ac:dyDescent="0.25">
      <c r="A21" s="55" t="s">
        <v>303</v>
      </c>
    </row>
    <row r="22" spans="1:23" x14ac:dyDescent="0.25">
      <c r="A22" s="55" t="str">
        <f>"xlc[""map_progress""] = ""Geocoding to " &amp; map_level &amp; " level"""</f>
        <v>xlc["map_progress"] = "Geocoding to County level"</v>
      </c>
    </row>
    <row r="24" spans="1:23" x14ac:dyDescent="0.25">
      <c r="W24" s="55">
        <v>1</v>
      </c>
    </row>
    <row r="25" spans="1:23" x14ac:dyDescent="0.25">
      <c r="A25" s="55" t="s">
        <v>304</v>
      </c>
    </row>
    <row r="26" spans="1:23" x14ac:dyDescent="0.25">
      <c r="A26" s="55" t="s">
        <v>305</v>
      </c>
    </row>
    <row r="27" spans="1:23" x14ac:dyDescent="0.25">
      <c r="A27" s="55" t="s">
        <v>306</v>
      </c>
    </row>
    <row r="28" spans="1:23" x14ac:dyDescent="0.25">
      <c r="A28" s="55" t="s">
        <v>307</v>
      </c>
    </row>
    <row r="30" spans="1:23" x14ac:dyDescent="0.25">
      <c r="A30" s="55" t="s">
        <v>308</v>
      </c>
    </row>
    <row r="31" spans="1:23" x14ac:dyDescent="0.25">
      <c r="A31" s="55" t="s">
        <v>338</v>
      </c>
    </row>
    <row r="33" spans="1:1" x14ac:dyDescent="0.25">
      <c r="A33" s="55" t="s">
        <v>309</v>
      </c>
    </row>
    <row r="35" spans="1:1" x14ac:dyDescent="0.25">
      <c r="A35" s="55" t="s">
        <v>339</v>
      </c>
    </row>
    <row r="36" spans="1:1" x14ac:dyDescent="0.25">
      <c r="A36" s="55" t="s">
        <v>340</v>
      </c>
    </row>
    <row r="37" spans="1:1" x14ac:dyDescent="0.25">
      <c r="A37" s="55" t="s">
        <v>341</v>
      </c>
    </row>
    <row r="38" spans="1:1" x14ac:dyDescent="0.25">
      <c r="A38" s="55" t="s">
        <v>310</v>
      </c>
    </row>
    <row r="39" spans="1:1" x14ac:dyDescent="0.25">
      <c r="A39" s="55" t="s">
        <v>311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6"/>
  <sheetViews>
    <sheetView workbookViewId="0">
      <selection activeCell="A14" sqref="A14"/>
    </sheetView>
  </sheetViews>
  <sheetFormatPr defaultRowHeight="11.25" x14ac:dyDescent="0.2"/>
  <sheetData>
    <row r="1" spans="1:1" ht="15" x14ac:dyDescent="0.25">
      <c r="A1" s="55" t="str">
        <f>RExec(A3:A38,)</f>
        <v>#RExec# 0.2075936</v>
      </c>
    </row>
    <row r="3" spans="1:1" x14ac:dyDescent="0.2">
      <c r="A3" t="s">
        <v>344</v>
      </c>
    </row>
    <row r="4" spans="1:1" x14ac:dyDescent="0.2">
      <c r="A4" t="s">
        <v>297</v>
      </c>
    </row>
    <row r="5" spans="1:1" x14ac:dyDescent="0.2">
      <c r="A5" t="s">
        <v>298</v>
      </c>
    </row>
    <row r="6" spans="1:1" x14ac:dyDescent="0.2">
      <c r="A6" t="s">
        <v>299</v>
      </c>
    </row>
    <row r="8" spans="1:1" x14ac:dyDescent="0.2">
      <c r="A8" t="s">
        <v>345</v>
      </c>
    </row>
    <row r="9" spans="1:1" x14ac:dyDescent="0.2">
      <c r="A9" t="s">
        <v>346</v>
      </c>
    </row>
    <row r="10" spans="1:1" x14ac:dyDescent="0.2">
      <c r="A10" t="s">
        <v>347</v>
      </c>
    </row>
    <row r="11" spans="1:1" x14ac:dyDescent="0.2">
      <c r="A11" t="s">
        <v>348</v>
      </c>
    </row>
    <row r="13" spans="1:1" x14ac:dyDescent="0.2">
      <c r="A13" t="s">
        <v>349</v>
      </c>
    </row>
    <row r="15" spans="1:1" x14ac:dyDescent="0.2">
      <c r="A15" t="s">
        <v>350</v>
      </c>
    </row>
    <row r="16" spans="1:1" x14ac:dyDescent="0.2">
      <c r="A16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34</vt:i4>
      </vt:variant>
    </vt:vector>
  </HeadingPairs>
  <TitlesOfParts>
    <vt:vector size="48" baseType="lpstr">
      <vt:lpstr>Account Link</vt:lpstr>
      <vt:lpstr>Quote Info</vt:lpstr>
      <vt:lpstr>Layers</vt:lpstr>
      <vt:lpstr>Assumptions Overview</vt:lpstr>
      <vt:lpstr>Base Rating</vt:lpstr>
      <vt:lpstr>Fire Locations</vt:lpstr>
      <vt:lpstr>Locations Summary</vt:lpstr>
      <vt:lpstr>Experience Rating</vt:lpstr>
      <vt:lpstr>Pricing Summary</vt:lpstr>
      <vt:lpstr>Final Terms</vt:lpstr>
      <vt:lpstr>Wind Seasons</vt:lpstr>
      <vt:lpstr>values</vt:lpstr>
      <vt:lpstr>map_code</vt:lpstr>
      <vt:lpstr>dq_code</vt:lpstr>
      <vt:lpstr>assured</vt:lpstr>
      <vt:lpstr>data_quality_labels</vt:lpstr>
      <vt:lpstr>dq_construction</vt:lpstr>
      <vt:lpstr>dq_geocoding</vt:lpstr>
      <vt:lpstr>dq_gocoding</vt:lpstr>
      <vt:lpstr>dq_ns</vt:lpstr>
      <vt:lpstr>dq_occupancy</vt:lpstr>
      <vt:lpstr>dq_sm</vt:lpstr>
      <vt:lpstr>dq_yb</vt:lpstr>
      <vt:lpstr>exp_total_cycles</vt:lpstr>
      <vt:lpstr>expiry</vt:lpstr>
      <vt:lpstr>faraday_lead</vt:lpstr>
      <vt:lpstr>hull_experience</vt:lpstr>
      <vt:lpstr>inception</vt:lpstr>
      <vt:lpstr>is_renewal</vt:lpstr>
      <vt:lpstr>liab_experience</vt:lpstr>
      <vt:lpstr>ls_count_not_mapped</vt:lpstr>
      <vt:lpstr>ls_value_not_mapped</vt:lpstr>
      <vt:lpstr>map_address</vt:lpstr>
      <vt:lpstr>map_level</vt:lpstr>
      <vt:lpstr>map_progress</vt:lpstr>
      <vt:lpstr>prev_sequel_id</vt:lpstr>
      <vt:lpstr>'Experience Rating'!Print_Area</vt:lpstr>
      <vt:lpstr>'Locations Summary'!Print_Area</vt:lpstr>
      <vt:lpstr>'Wind Seasons'!Print_Area</vt:lpstr>
      <vt:lpstr>qi_broker_contact</vt:lpstr>
      <vt:lpstr>qi_broker_pseud</vt:lpstr>
      <vt:lpstr>sequel_id</vt:lpstr>
      <vt:lpstr>team</vt:lpstr>
      <vt:lpstr>uw</vt:lpstr>
      <vt:lpstr>v_cat_model</vt:lpstr>
      <vt:lpstr>v_curves</vt:lpstr>
      <vt:lpstr>v_fire</vt:lpstr>
      <vt:lpstr>yoa</vt:lpstr>
    </vt:vector>
  </TitlesOfParts>
  <Company>GenRe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Johnathan McCabe</dc:creator>
  <cp:lastModifiedBy>Johnathan McCabe</cp:lastModifiedBy>
  <cp:lastPrinted>2017-01-25T11:23:30Z</cp:lastPrinted>
  <dcterms:created xsi:type="dcterms:W3CDTF">2017-01-03T10:39:43Z</dcterms:created>
  <dcterms:modified xsi:type="dcterms:W3CDTF">2017-01-26T14:27:44Z</dcterms:modified>
</cp:coreProperties>
</file>